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com 3030\Desktop\data\"/>
    </mc:Choice>
  </mc:AlternateContent>
  <xr:revisionPtr revIDLastSave="0" documentId="13_ncr:1_{14B6530E-F31C-4676-BAA6-2AAA50652964}" xr6:coauthVersionLast="47" xr6:coauthVersionMax="47" xr10:uidLastSave="{00000000-0000-0000-0000-000000000000}"/>
  <bookViews>
    <workbookView xWindow="-120" yWindow="-120" windowWidth="20730" windowHeight="11310" tabRatio="662" activeTab="2" xr2:uid="{00000000-000D-0000-FFFF-FFFF00000000}"/>
  </bookViews>
  <sheets>
    <sheet name="Sales_Data" sheetId="1" r:id="rId1"/>
    <sheet name="PivotTable" sheetId="6" r:id="rId2"/>
    <sheet name="Dashboard" sheetId="7" r:id="rId3"/>
  </sheets>
  <definedNames>
    <definedName name="_xlnm._FilterDatabase" localSheetId="0" hidden="1">Sales_Data!$A$1:$L$2001</definedName>
    <definedName name="NativeTimeline_Date1">#N/A</definedName>
    <definedName name="Slicer_Customer_Type1">#N/A</definedName>
    <definedName name="Slicer_Product_Category1">#N/A</definedName>
    <definedName name="Slicer_Region1">#N/A</definedName>
    <definedName name="Slicer_Sales_Channel1">#N/A</definedName>
    <definedName name="Slicer_Salesperson1">#N/A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7" i="6" l="1"/>
</calcChain>
</file>

<file path=xl/sharedStrings.xml><?xml version="1.0" encoding="utf-8"?>
<sst xmlns="http://schemas.openxmlformats.org/spreadsheetml/2006/main" count="14098" uniqueCount="2098">
  <si>
    <t>Order ID</t>
  </si>
  <si>
    <t>Date</t>
  </si>
  <si>
    <t>Region</t>
  </si>
  <si>
    <t>Sales Channel</t>
  </si>
  <si>
    <t>Customer Type</t>
  </si>
  <si>
    <t>Product Category</t>
  </si>
  <si>
    <t>Product</t>
  </si>
  <si>
    <t>Salesperson</t>
  </si>
  <si>
    <t>Quantity</t>
  </si>
  <si>
    <t>Unit Price</t>
  </si>
  <si>
    <t>Discount</t>
  </si>
  <si>
    <t>Revenue</t>
  </si>
  <si>
    <t>ORD-1001</t>
  </si>
  <si>
    <t>West</t>
  </si>
  <si>
    <t>Online</t>
  </si>
  <si>
    <t>New</t>
  </si>
  <si>
    <t>Accessories</t>
  </si>
  <si>
    <t>Mouse Pad</t>
  </si>
  <si>
    <t>Sofia Tan</t>
  </si>
  <si>
    <t>ORD-1002</t>
  </si>
  <si>
    <t>East</t>
  </si>
  <si>
    <t>Retail Store</t>
  </si>
  <si>
    <t>Returning</t>
  </si>
  <si>
    <t>Storage</t>
  </si>
  <si>
    <t>Memory Card 256GB</t>
  </si>
  <si>
    <t>Nora Chen</t>
  </si>
  <si>
    <t>ORD-1003</t>
  </si>
  <si>
    <t>Networking</t>
  </si>
  <si>
    <t>Ethernet Cable</t>
  </si>
  <si>
    <t>Ben Ho</t>
  </si>
  <si>
    <t>ORD-1004</t>
  </si>
  <si>
    <t>North</t>
  </si>
  <si>
    <t>Wi-Fi Router</t>
  </si>
  <si>
    <t>Aisha Lim</t>
  </si>
  <si>
    <t>ORD-1005</t>
  </si>
  <si>
    <t>Corporate Sales</t>
  </si>
  <si>
    <t>Mesh Wi-Fi Set</t>
  </si>
  <si>
    <t>ORD-1006</t>
  </si>
  <si>
    <t>External HDD 2TB</t>
  </si>
  <si>
    <t>Daniel Wong</t>
  </si>
  <si>
    <t>ORD-1007</t>
  </si>
  <si>
    <t>Marketplace</t>
  </si>
  <si>
    <t>Wireless Mouse</t>
  </si>
  <si>
    <t>Priya Shah</t>
  </si>
  <si>
    <t>ORD-1008</t>
  </si>
  <si>
    <t>ORD-1009</t>
  </si>
  <si>
    <t>ORD-1010</t>
  </si>
  <si>
    <t>Central</t>
  </si>
  <si>
    <t>Computers</t>
  </si>
  <si>
    <t>Gaming Laptop</t>
  </si>
  <si>
    <t>Chloe Lim</t>
  </si>
  <si>
    <t>ORD-1011</t>
  </si>
  <si>
    <t>External SSD 1TB</t>
  </si>
  <si>
    <t>ORD-1012</t>
  </si>
  <si>
    <t>Desktop Mini</t>
  </si>
  <si>
    <t>Kevin Yap</t>
  </si>
  <si>
    <t>ORD-1013</t>
  </si>
  <si>
    <t>Laptop Stand</t>
  </si>
  <si>
    <t>Grace Ng</t>
  </si>
  <si>
    <t>ORD-1014</t>
  </si>
  <si>
    <t>Monitors</t>
  </si>
  <si>
    <t>27-inch Monitor</t>
  </si>
  <si>
    <t>ORD-1015</t>
  </si>
  <si>
    <t>Amir Hassan</t>
  </si>
  <si>
    <t>ORD-1016</t>
  </si>
  <si>
    <t>Webcam</t>
  </si>
  <si>
    <t>ORD-1017</t>
  </si>
  <si>
    <t>Ultrawide Monitor</t>
  </si>
  <si>
    <t>ORD-1018</t>
  </si>
  <si>
    <t>USB-C Hub</t>
  </si>
  <si>
    <t>ORD-1019</t>
  </si>
  <si>
    <t>Laptop Pro 14</t>
  </si>
  <si>
    <t>ORD-1020</t>
  </si>
  <si>
    <t>Office Supplies</t>
  </si>
  <si>
    <t>Sticky Notes</t>
  </si>
  <si>
    <t>ORD-1021</t>
  </si>
  <si>
    <t>Portable Monitor</t>
  </si>
  <si>
    <t>ORD-1022</t>
  </si>
  <si>
    <t>ORD-1023</t>
  </si>
  <si>
    <t>Mei Tan</t>
  </si>
  <si>
    <t>ORD-1024</t>
  </si>
  <si>
    <t>Pen Pack</t>
  </si>
  <si>
    <t>ORD-1025</t>
  </si>
  <si>
    <t>Hafiz Rahman</t>
  </si>
  <si>
    <t>ORD-1026</t>
  </si>
  <si>
    <t>ORD-1027</t>
  </si>
  <si>
    <t>South</t>
  </si>
  <si>
    <t>Jason Lee</t>
  </si>
  <si>
    <t>ORD-1028</t>
  </si>
  <si>
    <t>ORD-1029</t>
  </si>
  <si>
    <t>ORD-1030</t>
  </si>
  <si>
    <t>24-inch Monitor</t>
  </si>
  <si>
    <t>ORD-1031</t>
  </si>
  <si>
    <t>Raj Kumar</t>
  </si>
  <si>
    <t>ORD-1032</t>
  </si>
  <si>
    <t>ORD-1033</t>
  </si>
  <si>
    <t>Laptop Air 13</t>
  </si>
  <si>
    <t>ORD-1034</t>
  </si>
  <si>
    <t>ORD-1035</t>
  </si>
  <si>
    <t>All-in-One PC</t>
  </si>
  <si>
    <t>ORD-1036</t>
  </si>
  <si>
    <t>ORD-1037</t>
  </si>
  <si>
    <t>Farah Ali</t>
  </si>
  <si>
    <t>ORD-1038</t>
  </si>
  <si>
    <t>ORD-1039</t>
  </si>
  <si>
    <t>ORD-1040</t>
  </si>
  <si>
    <t>ORD-1041</t>
  </si>
  <si>
    <t>ORD-1042</t>
  </si>
  <si>
    <t>ORD-1043</t>
  </si>
  <si>
    <t>ORD-1044</t>
  </si>
  <si>
    <t>ORD-1045</t>
  </si>
  <si>
    <t>ORD-1046</t>
  </si>
  <si>
    <t>Keyboard</t>
  </si>
  <si>
    <t>ORD-1047</t>
  </si>
  <si>
    <t>ORD-1048</t>
  </si>
  <si>
    <t>ORD-1049</t>
  </si>
  <si>
    <t>ORD-1050</t>
  </si>
  <si>
    <t>ORD-1051</t>
  </si>
  <si>
    <t>ORD-1052</t>
  </si>
  <si>
    <t>ORD-1053</t>
  </si>
  <si>
    <t>ORD-1054</t>
  </si>
  <si>
    <t>ORD-1055</t>
  </si>
  <si>
    <t>ORD-1056</t>
  </si>
  <si>
    <t>ORD-1057</t>
  </si>
  <si>
    <t>ORD-1058</t>
  </si>
  <si>
    <t>ORD-1059</t>
  </si>
  <si>
    <t>ORD-1060</t>
  </si>
  <si>
    <t>Notebook Set</t>
  </si>
  <si>
    <t>ORD-1061</t>
  </si>
  <si>
    <t>Desk Organizer</t>
  </si>
  <si>
    <t>ORD-1062</t>
  </si>
  <si>
    <t>ORD-1063</t>
  </si>
  <si>
    <t>ORD-1064</t>
  </si>
  <si>
    <t>ORD-1065</t>
  </si>
  <si>
    <t>ORD-1066</t>
  </si>
  <si>
    <t>ORD-1067</t>
  </si>
  <si>
    <t>ORD-1068</t>
  </si>
  <si>
    <t>ORD-1069</t>
  </si>
  <si>
    <t>USB Drive 128GB</t>
  </si>
  <si>
    <t>ORD-1070</t>
  </si>
  <si>
    <t>ORD-1071</t>
  </si>
  <si>
    <t>ORD-1072</t>
  </si>
  <si>
    <t>ORD-1073</t>
  </si>
  <si>
    <t>ORD-1074</t>
  </si>
  <si>
    <t>ORD-1075</t>
  </si>
  <si>
    <t>Printer Paper</t>
  </si>
  <si>
    <t>ORD-1076</t>
  </si>
  <si>
    <t>ORD-1077</t>
  </si>
  <si>
    <t>ORD-1078</t>
  </si>
  <si>
    <t>ORD-1079</t>
  </si>
  <si>
    <t>ORD-1080</t>
  </si>
  <si>
    <t>ORD-1081</t>
  </si>
  <si>
    <t>ORD-1082</t>
  </si>
  <si>
    <t>ORD-1083</t>
  </si>
  <si>
    <t>ORD-1084</t>
  </si>
  <si>
    <t>Network Switch</t>
  </si>
  <si>
    <t>ORD-1085</t>
  </si>
  <si>
    <t>ORD-1086</t>
  </si>
  <si>
    <t>ORD-1087</t>
  </si>
  <si>
    <t>ORD-1088</t>
  </si>
  <si>
    <t>ORD-1089</t>
  </si>
  <si>
    <t>ORD-1090</t>
  </si>
  <si>
    <t>ORD-1091</t>
  </si>
  <si>
    <t>ORD-1092</t>
  </si>
  <si>
    <t>ORD-1093</t>
  </si>
  <si>
    <t>ORD-1094</t>
  </si>
  <si>
    <t>ORD-1095</t>
  </si>
  <si>
    <t>ORD-1096</t>
  </si>
  <si>
    <t>ORD-1097</t>
  </si>
  <si>
    <t>ORD-1098</t>
  </si>
  <si>
    <t>ORD-1099</t>
  </si>
  <si>
    <t>ORD-1100</t>
  </si>
  <si>
    <t>ORD-1101</t>
  </si>
  <si>
    <t>ORD-1102</t>
  </si>
  <si>
    <t>ORD-1103</t>
  </si>
  <si>
    <t>ORD-1104</t>
  </si>
  <si>
    <t>ORD-1105</t>
  </si>
  <si>
    <t>ORD-1106</t>
  </si>
  <si>
    <t>ORD-1107</t>
  </si>
  <si>
    <t>ORD-1108</t>
  </si>
  <si>
    <t>ORD-1109</t>
  </si>
  <si>
    <t>ORD-1110</t>
  </si>
  <si>
    <t>ORD-1111</t>
  </si>
  <si>
    <t>ORD-1112</t>
  </si>
  <si>
    <t>ORD-1113</t>
  </si>
  <si>
    <t>ORD-1114</t>
  </si>
  <si>
    <t>ORD-1115</t>
  </si>
  <si>
    <t>ORD-1116</t>
  </si>
  <si>
    <t>ORD-1117</t>
  </si>
  <si>
    <t>ORD-1118</t>
  </si>
  <si>
    <t>ORD-1119</t>
  </si>
  <si>
    <t>ORD-1120</t>
  </si>
  <si>
    <t>ORD-1121</t>
  </si>
  <si>
    <t>ORD-1122</t>
  </si>
  <si>
    <t>ORD-1123</t>
  </si>
  <si>
    <t>ORD-1124</t>
  </si>
  <si>
    <t>ORD-1125</t>
  </si>
  <si>
    <t>ORD-1126</t>
  </si>
  <si>
    <t>ORD-1127</t>
  </si>
  <si>
    <t>ORD-1128</t>
  </si>
  <si>
    <t>ORD-1129</t>
  </si>
  <si>
    <t>ORD-1130</t>
  </si>
  <si>
    <t>ORD-1131</t>
  </si>
  <si>
    <t>ORD-1132</t>
  </si>
  <si>
    <t>ORD-1133</t>
  </si>
  <si>
    <t>ORD-1134</t>
  </si>
  <si>
    <t>ORD-1135</t>
  </si>
  <si>
    <t>ORD-1136</t>
  </si>
  <si>
    <t>ORD-1137</t>
  </si>
  <si>
    <t>ORD-1138</t>
  </si>
  <si>
    <t>ORD-1139</t>
  </si>
  <si>
    <t>ORD-1140</t>
  </si>
  <si>
    <t>ORD-1141</t>
  </si>
  <si>
    <t>ORD-1142</t>
  </si>
  <si>
    <t>ORD-1143</t>
  </si>
  <si>
    <t>ORD-1144</t>
  </si>
  <si>
    <t>ORD-1145</t>
  </si>
  <si>
    <t>ORD-1146</t>
  </si>
  <si>
    <t>ORD-1147</t>
  </si>
  <si>
    <t>ORD-1148</t>
  </si>
  <si>
    <t>ORD-1149</t>
  </si>
  <si>
    <t>ORD-1150</t>
  </si>
  <si>
    <t>ORD-1151</t>
  </si>
  <si>
    <t>ORD-1152</t>
  </si>
  <si>
    <t>ORD-1153</t>
  </si>
  <si>
    <t>ORD-1154</t>
  </si>
  <si>
    <t>ORD-1155</t>
  </si>
  <si>
    <t>ORD-1156</t>
  </si>
  <si>
    <t>ORD-1157</t>
  </si>
  <si>
    <t>ORD-1158</t>
  </si>
  <si>
    <t>ORD-1159</t>
  </si>
  <si>
    <t>ORD-1160</t>
  </si>
  <si>
    <t>ORD-1161</t>
  </si>
  <si>
    <t>ORD-1162</t>
  </si>
  <si>
    <t>ORD-1163</t>
  </si>
  <si>
    <t>ORD-1164</t>
  </si>
  <si>
    <t>ORD-1165</t>
  </si>
  <si>
    <t>ORD-1166</t>
  </si>
  <si>
    <t>ORD-1167</t>
  </si>
  <si>
    <t>ORD-1168</t>
  </si>
  <si>
    <t>ORD-1169</t>
  </si>
  <si>
    <t>ORD-1170</t>
  </si>
  <si>
    <t>ORD-1171</t>
  </si>
  <si>
    <t>ORD-1172</t>
  </si>
  <si>
    <t>ORD-1173</t>
  </si>
  <si>
    <t>ORD-1174</t>
  </si>
  <si>
    <t>ORD-1175</t>
  </si>
  <si>
    <t>ORD-1176</t>
  </si>
  <si>
    <t>ORD-1177</t>
  </si>
  <si>
    <t>ORD-1178</t>
  </si>
  <si>
    <t>ORD-1179</t>
  </si>
  <si>
    <t>ORD-1180</t>
  </si>
  <si>
    <t>ORD-1181</t>
  </si>
  <si>
    <t>ORD-1182</t>
  </si>
  <si>
    <t>ORD-1183</t>
  </si>
  <si>
    <t>ORD-1184</t>
  </si>
  <si>
    <t>ORD-1185</t>
  </si>
  <si>
    <t>ORD-1186</t>
  </si>
  <si>
    <t>ORD-1187</t>
  </si>
  <si>
    <t>ORD-1188</t>
  </si>
  <si>
    <t>ORD-1189</t>
  </si>
  <si>
    <t>ORD-1190</t>
  </si>
  <si>
    <t>ORD-1191</t>
  </si>
  <si>
    <t>ORD-1192</t>
  </si>
  <si>
    <t>ORD-1193</t>
  </si>
  <si>
    <t>ORD-1194</t>
  </si>
  <si>
    <t>ORD-1195</t>
  </si>
  <si>
    <t>ORD-1196</t>
  </si>
  <si>
    <t>ORD-1197</t>
  </si>
  <si>
    <t>ORD-1198</t>
  </si>
  <si>
    <t>ORD-1199</t>
  </si>
  <si>
    <t>ORD-1200</t>
  </si>
  <si>
    <t>ORD-1201</t>
  </si>
  <si>
    <t>ORD-1202</t>
  </si>
  <si>
    <t>ORD-1203</t>
  </si>
  <si>
    <t>ORD-1204</t>
  </si>
  <si>
    <t>ORD-1205</t>
  </si>
  <si>
    <t>ORD-1206</t>
  </si>
  <si>
    <t>ORD-1207</t>
  </si>
  <si>
    <t>ORD-1208</t>
  </si>
  <si>
    <t>ORD-1209</t>
  </si>
  <si>
    <t>ORD-1210</t>
  </si>
  <si>
    <t>ORD-1211</t>
  </si>
  <si>
    <t>ORD-1212</t>
  </si>
  <si>
    <t>ORD-1213</t>
  </si>
  <si>
    <t>ORD-1214</t>
  </si>
  <si>
    <t>ORD-1215</t>
  </si>
  <si>
    <t>ORD-1216</t>
  </si>
  <si>
    <t>ORD-1217</t>
  </si>
  <si>
    <t>ORD-1218</t>
  </si>
  <si>
    <t>ORD-1219</t>
  </si>
  <si>
    <t>ORD-1220</t>
  </si>
  <si>
    <t>ORD-1221</t>
  </si>
  <si>
    <t>ORD-1222</t>
  </si>
  <si>
    <t>ORD-1223</t>
  </si>
  <si>
    <t>ORD-1224</t>
  </si>
  <si>
    <t>ORD-1225</t>
  </si>
  <si>
    <t>ORD-1226</t>
  </si>
  <si>
    <t>ORD-1227</t>
  </si>
  <si>
    <t>ORD-1228</t>
  </si>
  <si>
    <t>ORD-1229</t>
  </si>
  <si>
    <t>ORD-1230</t>
  </si>
  <si>
    <t>ORD-1231</t>
  </si>
  <si>
    <t>ORD-1232</t>
  </si>
  <si>
    <t>ORD-1233</t>
  </si>
  <si>
    <t>ORD-1234</t>
  </si>
  <si>
    <t>ORD-1235</t>
  </si>
  <si>
    <t>ORD-1236</t>
  </si>
  <si>
    <t>ORD-1237</t>
  </si>
  <si>
    <t>ORD-1238</t>
  </si>
  <si>
    <t>ORD-1239</t>
  </si>
  <si>
    <t>ORD-1240</t>
  </si>
  <si>
    <t>ORD-1241</t>
  </si>
  <si>
    <t>ORD-1242</t>
  </si>
  <si>
    <t>ORD-1243</t>
  </si>
  <si>
    <t>ORD-1244</t>
  </si>
  <si>
    <t>ORD-1245</t>
  </si>
  <si>
    <t>ORD-1246</t>
  </si>
  <si>
    <t>ORD-1247</t>
  </si>
  <si>
    <t>ORD-1248</t>
  </si>
  <si>
    <t>ORD-1249</t>
  </si>
  <si>
    <t>ORD-1250</t>
  </si>
  <si>
    <t>ORD-1251</t>
  </si>
  <si>
    <t>ORD-1252</t>
  </si>
  <si>
    <t>ORD-1253</t>
  </si>
  <si>
    <t>ORD-1254</t>
  </si>
  <si>
    <t>ORD-1255</t>
  </si>
  <si>
    <t>ORD-1256</t>
  </si>
  <si>
    <t>ORD-1257</t>
  </si>
  <si>
    <t>ORD-1258</t>
  </si>
  <si>
    <t>ORD-1259</t>
  </si>
  <si>
    <t>ORD-1260</t>
  </si>
  <si>
    <t>ORD-1261</t>
  </si>
  <si>
    <t>ORD-1262</t>
  </si>
  <si>
    <t>ORD-1263</t>
  </si>
  <si>
    <t>ORD-1264</t>
  </si>
  <si>
    <t>ORD-1265</t>
  </si>
  <si>
    <t>ORD-1266</t>
  </si>
  <si>
    <t>ORD-1267</t>
  </si>
  <si>
    <t>ORD-1268</t>
  </si>
  <si>
    <t>ORD-1269</t>
  </si>
  <si>
    <t>ORD-1270</t>
  </si>
  <si>
    <t>ORD-1271</t>
  </si>
  <si>
    <t>ORD-1272</t>
  </si>
  <si>
    <t>ORD-1273</t>
  </si>
  <si>
    <t>ORD-1274</t>
  </si>
  <si>
    <t>ORD-1275</t>
  </si>
  <si>
    <t>ORD-1276</t>
  </si>
  <si>
    <t>ORD-1277</t>
  </si>
  <si>
    <t>ORD-1278</t>
  </si>
  <si>
    <t>ORD-1279</t>
  </si>
  <si>
    <t>ORD-1280</t>
  </si>
  <si>
    <t>ORD-1281</t>
  </si>
  <si>
    <t>ORD-1282</t>
  </si>
  <si>
    <t>ORD-1283</t>
  </si>
  <si>
    <t>ORD-1284</t>
  </si>
  <si>
    <t>ORD-1285</t>
  </si>
  <si>
    <t>ORD-1286</t>
  </si>
  <si>
    <t>ORD-1287</t>
  </si>
  <si>
    <t>ORD-1288</t>
  </si>
  <si>
    <t>ORD-1289</t>
  </si>
  <si>
    <t>ORD-1290</t>
  </si>
  <si>
    <t>ORD-1291</t>
  </si>
  <si>
    <t>ORD-1292</t>
  </si>
  <si>
    <t>ORD-1293</t>
  </si>
  <si>
    <t>ORD-1294</t>
  </si>
  <si>
    <t>ORD-1295</t>
  </si>
  <si>
    <t>ORD-1296</t>
  </si>
  <si>
    <t>ORD-1297</t>
  </si>
  <si>
    <t>ORD-1298</t>
  </si>
  <si>
    <t>ORD-1299</t>
  </si>
  <si>
    <t>ORD-1300</t>
  </si>
  <si>
    <t>ORD-1301</t>
  </si>
  <si>
    <t>ORD-1302</t>
  </si>
  <si>
    <t>ORD-1303</t>
  </si>
  <si>
    <t>ORD-1304</t>
  </si>
  <si>
    <t>ORD-1305</t>
  </si>
  <si>
    <t>ORD-1306</t>
  </si>
  <si>
    <t>ORD-1307</t>
  </si>
  <si>
    <t>ORD-1308</t>
  </si>
  <si>
    <t>ORD-1309</t>
  </si>
  <si>
    <t>ORD-1310</t>
  </si>
  <si>
    <t>ORD-1311</t>
  </si>
  <si>
    <t>ORD-1312</t>
  </si>
  <si>
    <t>ORD-1313</t>
  </si>
  <si>
    <t>ORD-1314</t>
  </si>
  <si>
    <t>ORD-1315</t>
  </si>
  <si>
    <t>ORD-1316</t>
  </si>
  <si>
    <t>ORD-1317</t>
  </si>
  <si>
    <t>ORD-1318</t>
  </si>
  <si>
    <t>ORD-1319</t>
  </si>
  <si>
    <t>ORD-1320</t>
  </si>
  <si>
    <t>ORD-1321</t>
  </si>
  <si>
    <t>ORD-1322</t>
  </si>
  <si>
    <t>ORD-1323</t>
  </si>
  <si>
    <t>ORD-1324</t>
  </si>
  <si>
    <t>ORD-1325</t>
  </si>
  <si>
    <t>ORD-1326</t>
  </si>
  <si>
    <t>ORD-1327</t>
  </si>
  <si>
    <t>ORD-1328</t>
  </si>
  <si>
    <t>ORD-1329</t>
  </si>
  <si>
    <t>ORD-1330</t>
  </si>
  <si>
    <t>ORD-1331</t>
  </si>
  <si>
    <t>ORD-1332</t>
  </si>
  <si>
    <t>ORD-1333</t>
  </si>
  <si>
    <t>ORD-1334</t>
  </si>
  <si>
    <t>ORD-1335</t>
  </si>
  <si>
    <t>ORD-1336</t>
  </si>
  <si>
    <t>ORD-1337</t>
  </si>
  <si>
    <t>ORD-1338</t>
  </si>
  <si>
    <t>ORD-1339</t>
  </si>
  <si>
    <t>ORD-1340</t>
  </si>
  <si>
    <t>ORD-1341</t>
  </si>
  <si>
    <t>ORD-1342</t>
  </si>
  <si>
    <t>ORD-1343</t>
  </si>
  <si>
    <t>ORD-1344</t>
  </si>
  <si>
    <t>ORD-1345</t>
  </si>
  <si>
    <t>ORD-1346</t>
  </si>
  <si>
    <t>ORD-1347</t>
  </si>
  <si>
    <t>ORD-1348</t>
  </si>
  <si>
    <t>ORD-1349</t>
  </si>
  <si>
    <t>ORD-1350</t>
  </si>
  <si>
    <t>ORD-1351</t>
  </si>
  <si>
    <t>ORD-1352</t>
  </si>
  <si>
    <t>ORD-1353</t>
  </si>
  <si>
    <t>ORD-1354</t>
  </si>
  <si>
    <t>ORD-1355</t>
  </si>
  <si>
    <t>ORD-1356</t>
  </si>
  <si>
    <t>ORD-1357</t>
  </si>
  <si>
    <t>ORD-1358</t>
  </si>
  <si>
    <t>ORD-1359</t>
  </si>
  <si>
    <t>ORD-1360</t>
  </si>
  <si>
    <t>ORD-1361</t>
  </si>
  <si>
    <t>ORD-1362</t>
  </si>
  <si>
    <t>ORD-1363</t>
  </si>
  <si>
    <t>ORD-1364</t>
  </si>
  <si>
    <t>ORD-1365</t>
  </si>
  <si>
    <t>ORD-1366</t>
  </si>
  <si>
    <t>ORD-1367</t>
  </si>
  <si>
    <t>ORD-1368</t>
  </si>
  <si>
    <t>ORD-1369</t>
  </si>
  <si>
    <t>ORD-1370</t>
  </si>
  <si>
    <t>ORD-1371</t>
  </si>
  <si>
    <t>ORD-1372</t>
  </si>
  <si>
    <t>ORD-1373</t>
  </si>
  <si>
    <t>ORD-1374</t>
  </si>
  <si>
    <t>ORD-1375</t>
  </si>
  <si>
    <t>ORD-1376</t>
  </si>
  <si>
    <t>ORD-1377</t>
  </si>
  <si>
    <t>ORD-1378</t>
  </si>
  <si>
    <t>ORD-1379</t>
  </si>
  <si>
    <t>ORD-1380</t>
  </si>
  <si>
    <t>ORD-1381</t>
  </si>
  <si>
    <t>ORD-1382</t>
  </si>
  <si>
    <t>ORD-1383</t>
  </si>
  <si>
    <t>ORD-1384</t>
  </si>
  <si>
    <t>ORD-1385</t>
  </si>
  <si>
    <t>ORD-1386</t>
  </si>
  <si>
    <t>ORD-1387</t>
  </si>
  <si>
    <t>ORD-1388</t>
  </si>
  <si>
    <t>ORD-1389</t>
  </si>
  <si>
    <t>ORD-1390</t>
  </si>
  <si>
    <t>ORD-1391</t>
  </si>
  <si>
    <t>ORD-1392</t>
  </si>
  <si>
    <t>ORD-1393</t>
  </si>
  <si>
    <t>ORD-1394</t>
  </si>
  <si>
    <t>ORD-1395</t>
  </si>
  <si>
    <t>ORD-1396</t>
  </si>
  <si>
    <t>ORD-1397</t>
  </si>
  <si>
    <t>ORD-1398</t>
  </si>
  <si>
    <t>ORD-1399</t>
  </si>
  <si>
    <t>ORD-1400</t>
  </si>
  <si>
    <t>ORD-1401</t>
  </si>
  <si>
    <t>ORD-1402</t>
  </si>
  <si>
    <t>ORD-1403</t>
  </si>
  <si>
    <t>ORD-1404</t>
  </si>
  <si>
    <t>ORD-1405</t>
  </si>
  <si>
    <t>ORD-1406</t>
  </si>
  <si>
    <t>ORD-1407</t>
  </si>
  <si>
    <t>ORD-1408</t>
  </si>
  <si>
    <t>ORD-1409</t>
  </si>
  <si>
    <t>ORD-1410</t>
  </si>
  <si>
    <t>ORD-1411</t>
  </si>
  <si>
    <t>ORD-1412</t>
  </si>
  <si>
    <t>ORD-1413</t>
  </si>
  <si>
    <t>ORD-1414</t>
  </si>
  <si>
    <t>ORD-1415</t>
  </si>
  <si>
    <t>ORD-1416</t>
  </si>
  <si>
    <t>ORD-1417</t>
  </si>
  <si>
    <t>ORD-1418</t>
  </si>
  <si>
    <t>ORD-1419</t>
  </si>
  <si>
    <t>ORD-1420</t>
  </si>
  <si>
    <t>ORD-1421</t>
  </si>
  <si>
    <t>ORD-1422</t>
  </si>
  <si>
    <t>ORD-1423</t>
  </si>
  <si>
    <t>ORD-1424</t>
  </si>
  <si>
    <t>ORD-1425</t>
  </si>
  <si>
    <t>ORD-1426</t>
  </si>
  <si>
    <t>ORD-1427</t>
  </si>
  <si>
    <t>ORD-1428</t>
  </si>
  <si>
    <t>ORD-1429</t>
  </si>
  <si>
    <t>ORD-1430</t>
  </si>
  <si>
    <t>ORD-1431</t>
  </si>
  <si>
    <t>ORD-1432</t>
  </si>
  <si>
    <t>ORD-1433</t>
  </si>
  <si>
    <t>ORD-1434</t>
  </si>
  <si>
    <t>ORD-1435</t>
  </si>
  <si>
    <t>ORD-1436</t>
  </si>
  <si>
    <t>ORD-1437</t>
  </si>
  <si>
    <t>ORD-1438</t>
  </si>
  <si>
    <t>ORD-1439</t>
  </si>
  <si>
    <t>ORD-1440</t>
  </si>
  <si>
    <t>ORD-1441</t>
  </si>
  <si>
    <t>ORD-1442</t>
  </si>
  <si>
    <t>ORD-1443</t>
  </si>
  <si>
    <t>ORD-1444</t>
  </si>
  <si>
    <t>ORD-1445</t>
  </si>
  <si>
    <t>ORD-1446</t>
  </si>
  <si>
    <t>ORD-1447</t>
  </si>
  <si>
    <t>ORD-1448</t>
  </si>
  <si>
    <t>ORD-1449</t>
  </si>
  <si>
    <t>ORD-1450</t>
  </si>
  <si>
    <t>ORD-1451</t>
  </si>
  <si>
    <t>ORD-1452</t>
  </si>
  <si>
    <t>ORD-1453</t>
  </si>
  <si>
    <t>ORD-1454</t>
  </si>
  <si>
    <t>ORD-1455</t>
  </si>
  <si>
    <t>ORD-1456</t>
  </si>
  <si>
    <t>ORD-1457</t>
  </si>
  <si>
    <t>ORD-1458</t>
  </si>
  <si>
    <t>ORD-1459</t>
  </si>
  <si>
    <t>ORD-1460</t>
  </si>
  <si>
    <t>ORD-1461</t>
  </si>
  <si>
    <t>ORD-1462</t>
  </si>
  <si>
    <t>ORD-1463</t>
  </si>
  <si>
    <t>ORD-1464</t>
  </si>
  <si>
    <t>ORD-1465</t>
  </si>
  <si>
    <t>ORD-1466</t>
  </si>
  <si>
    <t>ORD-1467</t>
  </si>
  <si>
    <t>ORD-1468</t>
  </si>
  <si>
    <t>ORD-1469</t>
  </si>
  <si>
    <t>ORD-1470</t>
  </si>
  <si>
    <t>ORD-1471</t>
  </si>
  <si>
    <t>ORD-1472</t>
  </si>
  <si>
    <t>ORD-1473</t>
  </si>
  <si>
    <t>ORD-1474</t>
  </si>
  <si>
    <t>ORD-1475</t>
  </si>
  <si>
    <t>ORD-1476</t>
  </si>
  <si>
    <t>ORD-1477</t>
  </si>
  <si>
    <t>ORD-1478</t>
  </si>
  <si>
    <t>ORD-1479</t>
  </si>
  <si>
    <t>ORD-1480</t>
  </si>
  <si>
    <t>ORD-1481</t>
  </si>
  <si>
    <t>ORD-1482</t>
  </si>
  <si>
    <t>ORD-1483</t>
  </si>
  <si>
    <t>ORD-1484</t>
  </si>
  <si>
    <t>ORD-1485</t>
  </si>
  <si>
    <t>ORD-1486</t>
  </si>
  <si>
    <t>ORD-1487</t>
  </si>
  <si>
    <t>ORD-1488</t>
  </si>
  <si>
    <t>ORD-1489</t>
  </si>
  <si>
    <t>ORD-1490</t>
  </si>
  <si>
    <t>ORD-1491</t>
  </si>
  <si>
    <t>ORD-1492</t>
  </si>
  <si>
    <t>ORD-1493</t>
  </si>
  <si>
    <t>ORD-1494</t>
  </si>
  <si>
    <t>ORD-1495</t>
  </si>
  <si>
    <t>ORD-1496</t>
  </si>
  <si>
    <t>ORD-1497</t>
  </si>
  <si>
    <t>ORD-1498</t>
  </si>
  <si>
    <t>ORD-1499</t>
  </si>
  <si>
    <t>ORD-1500</t>
  </si>
  <si>
    <t>ORD-1501</t>
  </si>
  <si>
    <t>ORD-1502</t>
  </si>
  <si>
    <t>ORD-1503</t>
  </si>
  <si>
    <t>ORD-1504</t>
  </si>
  <si>
    <t>ORD-1505</t>
  </si>
  <si>
    <t>ORD-1506</t>
  </si>
  <si>
    <t>ORD-1507</t>
  </si>
  <si>
    <t>ORD-1508</t>
  </si>
  <si>
    <t>ORD-1509</t>
  </si>
  <si>
    <t>ORD-1510</t>
  </si>
  <si>
    <t>ORD-1511</t>
  </si>
  <si>
    <t>ORD-1512</t>
  </si>
  <si>
    <t>ORD-1513</t>
  </si>
  <si>
    <t>ORD-1514</t>
  </si>
  <si>
    <t>ORD-1515</t>
  </si>
  <si>
    <t>ORD-1516</t>
  </si>
  <si>
    <t>ORD-1517</t>
  </si>
  <si>
    <t>ORD-1518</t>
  </si>
  <si>
    <t>ORD-1519</t>
  </si>
  <si>
    <t>ORD-1520</t>
  </si>
  <si>
    <t>ORD-1521</t>
  </si>
  <si>
    <t>ORD-1522</t>
  </si>
  <si>
    <t>ORD-1523</t>
  </si>
  <si>
    <t>ORD-1524</t>
  </si>
  <si>
    <t>ORD-1525</t>
  </si>
  <si>
    <t>ORD-1526</t>
  </si>
  <si>
    <t>ORD-1527</t>
  </si>
  <si>
    <t>ORD-1528</t>
  </si>
  <si>
    <t>ORD-1529</t>
  </si>
  <si>
    <t>ORD-1530</t>
  </si>
  <si>
    <t>ORD-1531</t>
  </si>
  <si>
    <t>ORD-1532</t>
  </si>
  <si>
    <t>ORD-1533</t>
  </si>
  <si>
    <t>ORD-1534</t>
  </si>
  <si>
    <t>ORD-1535</t>
  </si>
  <si>
    <t>ORD-1536</t>
  </si>
  <si>
    <t>ORD-1537</t>
  </si>
  <si>
    <t>ORD-1538</t>
  </si>
  <si>
    <t>ORD-1539</t>
  </si>
  <si>
    <t>ORD-1540</t>
  </si>
  <si>
    <t>ORD-1541</t>
  </si>
  <si>
    <t>ORD-1542</t>
  </si>
  <si>
    <t>ORD-1543</t>
  </si>
  <si>
    <t>ORD-1544</t>
  </si>
  <si>
    <t>ORD-1545</t>
  </si>
  <si>
    <t>ORD-1546</t>
  </si>
  <si>
    <t>ORD-1547</t>
  </si>
  <si>
    <t>ORD-1548</t>
  </si>
  <si>
    <t>ORD-1549</t>
  </si>
  <si>
    <t>ORD-1550</t>
  </si>
  <si>
    <t>ORD-1551</t>
  </si>
  <si>
    <t>ORD-1552</t>
  </si>
  <si>
    <t>ORD-1553</t>
  </si>
  <si>
    <t>ORD-1554</t>
  </si>
  <si>
    <t>ORD-1555</t>
  </si>
  <si>
    <t>ORD-1556</t>
  </si>
  <si>
    <t>ORD-1557</t>
  </si>
  <si>
    <t>ORD-1558</t>
  </si>
  <si>
    <t>ORD-1559</t>
  </si>
  <si>
    <t>ORD-1560</t>
  </si>
  <si>
    <t>ORD-1561</t>
  </si>
  <si>
    <t>ORD-1562</t>
  </si>
  <si>
    <t>ORD-1563</t>
  </si>
  <si>
    <t>ORD-1564</t>
  </si>
  <si>
    <t>ORD-1565</t>
  </si>
  <si>
    <t>ORD-1566</t>
  </si>
  <si>
    <t>ORD-1567</t>
  </si>
  <si>
    <t>ORD-1568</t>
  </si>
  <si>
    <t>ORD-1569</t>
  </si>
  <si>
    <t>ORD-1570</t>
  </si>
  <si>
    <t>ORD-1571</t>
  </si>
  <si>
    <t>ORD-1572</t>
  </si>
  <si>
    <t>ORD-1573</t>
  </si>
  <si>
    <t>ORD-1574</t>
  </si>
  <si>
    <t>ORD-1575</t>
  </si>
  <si>
    <t>ORD-1576</t>
  </si>
  <si>
    <t>ORD-1577</t>
  </si>
  <si>
    <t>ORD-1578</t>
  </si>
  <si>
    <t>ORD-1579</t>
  </si>
  <si>
    <t>ORD-1580</t>
  </si>
  <si>
    <t>ORD-1581</t>
  </si>
  <si>
    <t>ORD-1582</t>
  </si>
  <si>
    <t>ORD-1583</t>
  </si>
  <si>
    <t>ORD-1584</t>
  </si>
  <si>
    <t>ORD-1585</t>
  </si>
  <si>
    <t>ORD-1586</t>
  </si>
  <si>
    <t>ORD-1587</t>
  </si>
  <si>
    <t>ORD-1588</t>
  </si>
  <si>
    <t>ORD-1589</t>
  </si>
  <si>
    <t>ORD-1590</t>
  </si>
  <si>
    <t>ORD-1591</t>
  </si>
  <si>
    <t>ORD-1592</t>
  </si>
  <si>
    <t>ORD-1593</t>
  </si>
  <si>
    <t>ORD-1594</t>
  </si>
  <si>
    <t>ORD-1595</t>
  </si>
  <si>
    <t>ORD-1596</t>
  </si>
  <si>
    <t>ORD-1597</t>
  </si>
  <si>
    <t>ORD-1598</t>
  </si>
  <si>
    <t>ORD-1599</t>
  </si>
  <si>
    <t>ORD-1600</t>
  </si>
  <si>
    <t>ORD-1601</t>
  </si>
  <si>
    <t>ORD-1602</t>
  </si>
  <si>
    <t>ORD-1603</t>
  </si>
  <si>
    <t>ORD-1604</t>
  </si>
  <si>
    <t>ORD-1605</t>
  </si>
  <si>
    <t>ORD-1606</t>
  </si>
  <si>
    <t>ORD-1607</t>
  </si>
  <si>
    <t>ORD-1608</t>
  </si>
  <si>
    <t>ORD-1609</t>
  </si>
  <si>
    <t>ORD-1610</t>
  </si>
  <si>
    <t>ORD-1611</t>
  </si>
  <si>
    <t>ORD-1612</t>
  </si>
  <si>
    <t>ORD-1613</t>
  </si>
  <si>
    <t>ORD-1614</t>
  </si>
  <si>
    <t>ORD-1615</t>
  </si>
  <si>
    <t>ORD-1616</t>
  </si>
  <si>
    <t>ORD-1617</t>
  </si>
  <si>
    <t>ORD-1618</t>
  </si>
  <si>
    <t>ORD-1619</t>
  </si>
  <si>
    <t>ORD-1620</t>
  </si>
  <si>
    <t>ORD-1621</t>
  </si>
  <si>
    <t>ORD-1622</t>
  </si>
  <si>
    <t>ORD-1623</t>
  </si>
  <si>
    <t>ORD-1624</t>
  </si>
  <si>
    <t>ORD-1625</t>
  </si>
  <si>
    <t>ORD-1626</t>
  </si>
  <si>
    <t>ORD-1627</t>
  </si>
  <si>
    <t>ORD-1628</t>
  </si>
  <si>
    <t>ORD-1629</t>
  </si>
  <si>
    <t>ORD-1630</t>
  </si>
  <si>
    <t>ORD-1631</t>
  </si>
  <si>
    <t>ORD-1632</t>
  </si>
  <si>
    <t>ORD-1633</t>
  </si>
  <si>
    <t>ORD-1634</t>
  </si>
  <si>
    <t>ORD-1635</t>
  </si>
  <si>
    <t>ORD-1636</t>
  </si>
  <si>
    <t>ORD-1637</t>
  </si>
  <si>
    <t>ORD-1638</t>
  </si>
  <si>
    <t>ORD-1639</t>
  </si>
  <si>
    <t>ORD-1640</t>
  </si>
  <si>
    <t>ORD-1641</t>
  </si>
  <si>
    <t>ORD-1642</t>
  </si>
  <si>
    <t>ORD-1643</t>
  </si>
  <si>
    <t>ORD-1644</t>
  </si>
  <si>
    <t>ORD-1645</t>
  </si>
  <si>
    <t>ORD-1646</t>
  </si>
  <si>
    <t>ORD-1647</t>
  </si>
  <si>
    <t>ORD-1648</t>
  </si>
  <si>
    <t>ORD-1649</t>
  </si>
  <si>
    <t>ORD-1650</t>
  </si>
  <si>
    <t>ORD-1651</t>
  </si>
  <si>
    <t>ORD-1652</t>
  </si>
  <si>
    <t>ORD-1653</t>
  </si>
  <si>
    <t>ORD-1654</t>
  </si>
  <si>
    <t>ORD-1655</t>
  </si>
  <si>
    <t>ORD-1656</t>
  </si>
  <si>
    <t>ORD-1657</t>
  </si>
  <si>
    <t>ORD-1658</t>
  </si>
  <si>
    <t>ORD-1659</t>
  </si>
  <si>
    <t>ORD-1660</t>
  </si>
  <si>
    <t>ORD-1661</t>
  </si>
  <si>
    <t>ORD-1662</t>
  </si>
  <si>
    <t>ORD-1663</t>
  </si>
  <si>
    <t>ORD-1664</t>
  </si>
  <si>
    <t>ORD-1665</t>
  </si>
  <si>
    <t>ORD-1666</t>
  </si>
  <si>
    <t>ORD-1667</t>
  </si>
  <si>
    <t>ORD-1668</t>
  </si>
  <si>
    <t>ORD-1669</t>
  </si>
  <si>
    <t>ORD-1670</t>
  </si>
  <si>
    <t>ORD-1671</t>
  </si>
  <si>
    <t>ORD-1672</t>
  </si>
  <si>
    <t>ORD-1673</t>
  </si>
  <si>
    <t>ORD-1674</t>
  </si>
  <si>
    <t>ORD-1675</t>
  </si>
  <si>
    <t>ORD-1676</t>
  </si>
  <si>
    <t>ORD-1677</t>
  </si>
  <si>
    <t>ORD-1678</t>
  </si>
  <si>
    <t>ORD-1679</t>
  </si>
  <si>
    <t>ORD-1680</t>
  </si>
  <si>
    <t>ORD-1681</t>
  </si>
  <si>
    <t>ORD-1682</t>
  </si>
  <si>
    <t>ORD-1683</t>
  </si>
  <si>
    <t>ORD-1684</t>
  </si>
  <si>
    <t>ORD-1685</t>
  </si>
  <si>
    <t>ORD-1686</t>
  </si>
  <si>
    <t>ORD-1687</t>
  </si>
  <si>
    <t>ORD-1688</t>
  </si>
  <si>
    <t>ORD-1689</t>
  </si>
  <si>
    <t>ORD-1690</t>
  </si>
  <si>
    <t>ORD-1691</t>
  </si>
  <si>
    <t>ORD-1692</t>
  </si>
  <si>
    <t>ORD-1693</t>
  </si>
  <si>
    <t>ORD-1694</t>
  </si>
  <si>
    <t>ORD-1695</t>
  </si>
  <si>
    <t>ORD-1696</t>
  </si>
  <si>
    <t>ORD-1697</t>
  </si>
  <si>
    <t>ORD-1698</t>
  </si>
  <si>
    <t>ORD-1699</t>
  </si>
  <si>
    <t>ORD-1700</t>
  </si>
  <si>
    <t>ORD-1701</t>
  </si>
  <si>
    <t>ORD-1702</t>
  </si>
  <si>
    <t>ORD-1703</t>
  </si>
  <si>
    <t>ORD-1704</t>
  </si>
  <si>
    <t>ORD-1705</t>
  </si>
  <si>
    <t>ORD-1706</t>
  </si>
  <si>
    <t>ORD-1707</t>
  </si>
  <si>
    <t>ORD-1708</t>
  </si>
  <si>
    <t>ORD-1709</t>
  </si>
  <si>
    <t>ORD-1710</t>
  </si>
  <si>
    <t>ORD-1711</t>
  </si>
  <si>
    <t>ORD-1712</t>
  </si>
  <si>
    <t>ORD-1713</t>
  </si>
  <si>
    <t>ORD-1714</t>
  </si>
  <si>
    <t>ORD-1715</t>
  </si>
  <si>
    <t>ORD-1716</t>
  </si>
  <si>
    <t>ORD-1717</t>
  </si>
  <si>
    <t>ORD-1718</t>
  </si>
  <si>
    <t>ORD-1719</t>
  </si>
  <si>
    <t>ORD-1720</t>
  </si>
  <si>
    <t>ORD-1721</t>
  </si>
  <si>
    <t>ORD-1722</t>
  </si>
  <si>
    <t>ORD-1723</t>
  </si>
  <si>
    <t>ORD-1724</t>
  </si>
  <si>
    <t>ORD-1725</t>
  </si>
  <si>
    <t>ORD-1726</t>
  </si>
  <si>
    <t>ORD-1727</t>
  </si>
  <si>
    <t>ORD-1728</t>
  </si>
  <si>
    <t>ORD-1729</t>
  </si>
  <si>
    <t>ORD-1730</t>
  </si>
  <si>
    <t>ORD-1731</t>
  </si>
  <si>
    <t>ORD-1732</t>
  </si>
  <si>
    <t>ORD-1733</t>
  </si>
  <si>
    <t>ORD-1734</t>
  </si>
  <si>
    <t>ORD-1735</t>
  </si>
  <si>
    <t>ORD-1736</t>
  </si>
  <si>
    <t>ORD-1737</t>
  </si>
  <si>
    <t>ORD-1738</t>
  </si>
  <si>
    <t>ORD-1739</t>
  </si>
  <si>
    <t>ORD-1740</t>
  </si>
  <si>
    <t>ORD-1741</t>
  </si>
  <si>
    <t>ORD-1742</t>
  </si>
  <si>
    <t>ORD-1743</t>
  </si>
  <si>
    <t>ORD-1744</t>
  </si>
  <si>
    <t>ORD-1745</t>
  </si>
  <si>
    <t>ORD-1746</t>
  </si>
  <si>
    <t>ORD-1747</t>
  </si>
  <si>
    <t>ORD-1748</t>
  </si>
  <si>
    <t>ORD-1749</t>
  </si>
  <si>
    <t>ORD-1750</t>
  </si>
  <si>
    <t>ORD-1751</t>
  </si>
  <si>
    <t>ORD-1752</t>
  </si>
  <si>
    <t>ORD-1753</t>
  </si>
  <si>
    <t>ORD-1754</t>
  </si>
  <si>
    <t>ORD-1755</t>
  </si>
  <si>
    <t>ORD-1756</t>
  </si>
  <si>
    <t>ORD-1757</t>
  </si>
  <si>
    <t>ORD-1758</t>
  </si>
  <si>
    <t>ORD-1759</t>
  </si>
  <si>
    <t>ORD-1760</t>
  </si>
  <si>
    <t>ORD-1761</t>
  </si>
  <si>
    <t>ORD-1762</t>
  </si>
  <si>
    <t>ORD-1763</t>
  </si>
  <si>
    <t>ORD-1764</t>
  </si>
  <si>
    <t>ORD-1765</t>
  </si>
  <si>
    <t>ORD-1766</t>
  </si>
  <si>
    <t>ORD-1767</t>
  </si>
  <si>
    <t>ORD-1768</t>
  </si>
  <si>
    <t>ORD-1769</t>
  </si>
  <si>
    <t>ORD-1770</t>
  </si>
  <si>
    <t>ORD-1771</t>
  </si>
  <si>
    <t>ORD-1772</t>
  </si>
  <si>
    <t>ORD-1773</t>
  </si>
  <si>
    <t>ORD-1774</t>
  </si>
  <si>
    <t>ORD-1775</t>
  </si>
  <si>
    <t>ORD-1776</t>
  </si>
  <si>
    <t>ORD-1777</t>
  </si>
  <si>
    <t>ORD-1778</t>
  </si>
  <si>
    <t>ORD-1779</t>
  </si>
  <si>
    <t>ORD-1780</t>
  </si>
  <si>
    <t>ORD-1781</t>
  </si>
  <si>
    <t>ORD-1782</t>
  </si>
  <si>
    <t>ORD-1783</t>
  </si>
  <si>
    <t>ORD-1784</t>
  </si>
  <si>
    <t>ORD-1785</t>
  </si>
  <si>
    <t>ORD-1786</t>
  </si>
  <si>
    <t>ORD-1787</t>
  </si>
  <si>
    <t>ORD-1788</t>
  </si>
  <si>
    <t>ORD-1789</t>
  </si>
  <si>
    <t>ORD-1790</t>
  </si>
  <si>
    <t>ORD-1791</t>
  </si>
  <si>
    <t>ORD-1792</t>
  </si>
  <si>
    <t>ORD-1793</t>
  </si>
  <si>
    <t>ORD-1794</t>
  </si>
  <si>
    <t>ORD-1795</t>
  </si>
  <si>
    <t>ORD-1796</t>
  </si>
  <si>
    <t>ORD-1797</t>
  </si>
  <si>
    <t>ORD-1798</t>
  </si>
  <si>
    <t>ORD-1799</t>
  </si>
  <si>
    <t>ORD-1800</t>
  </si>
  <si>
    <t>ORD-1801</t>
  </si>
  <si>
    <t>ORD-1802</t>
  </si>
  <si>
    <t>ORD-1803</t>
  </si>
  <si>
    <t>ORD-1804</t>
  </si>
  <si>
    <t>ORD-1805</t>
  </si>
  <si>
    <t>ORD-1806</t>
  </si>
  <si>
    <t>ORD-1807</t>
  </si>
  <si>
    <t>ORD-1808</t>
  </si>
  <si>
    <t>ORD-1809</t>
  </si>
  <si>
    <t>ORD-1810</t>
  </si>
  <si>
    <t>ORD-1811</t>
  </si>
  <si>
    <t>ORD-1812</t>
  </si>
  <si>
    <t>ORD-1813</t>
  </si>
  <si>
    <t>ORD-1814</t>
  </si>
  <si>
    <t>ORD-1815</t>
  </si>
  <si>
    <t>ORD-1816</t>
  </si>
  <si>
    <t>ORD-1817</t>
  </si>
  <si>
    <t>ORD-1818</t>
  </si>
  <si>
    <t>ORD-1819</t>
  </si>
  <si>
    <t>ORD-1820</t>
  </si>
  <si>
    <t>ORD-1821</t>
  </si>
  <si>
    <t>ORD-1822</t>
  </si>
  <si>
    <t>ORD-1823</t>
  </si>
  <si>
    <t>ORD-1824</t>
  </si>
  <si>
    <t>ORD-1825</t>
  </si>
  <si>
    <t>ORD-1826</t>
  </si>
  <si>
    <t>ORD-1827</t>
  </si>
  <si>
    <t>ORD-1828</t>
  </si>
  <si>
    <t>ORD-1829</t>
  </si>
  <si>
    <t>ORD-1830</t>
  </si>
  <si>
    <t>ORD-1831</t>
  </si>
  <si>
    <t>ORD-1832</t>
  </si>
  <si>
    <t>ORD-1833</t>
  </si>
  <si>
    <t>ORD-1834</t>
  </si>
  <si>
    <t>ORD-1835</t>
  </si>
  <si>
    <t>ORD-1836</t>
  </si>
  <si>
    <t>ORD-1837</t>
  </si>
  <si>
    <t>ORD-1838</t>
  </si>
  <si>
    <t>ORD-1839</t>
  </si>
  <si>
    <t>ORD-1840</t>
  </si>
  <si>
    <t>ORD-1841</t>
  </si>
  <si>
    <t>ORD-1842</t>
  </si>
  <si>
    <t>ORD-1843</t>
  </si>
  <si>
    <t>ORD-1844</t>
  </si>
  <si>
    <t>ORD-1845</t>
  </si>
  <si>
    <t>ORD-1846</t>
  </si>
  <si>
    <t>ORD-1847</t>
  </si>
  <si>
    <t>ORD-1848</t>
  </si>
  <si>
    <t>ORD-1849</t>
  </si>
  <si>
    <t>ORD-1850</t>
  </si>
  <si>
    <t>ORD-1851</t>
  </si>
  <si>
    <t>ORD-1852</t>
  </si>
  <si>
    <t>ORD-1853</t>
  </si>
  <si>
    <t>ORD-1854</t>
  </si>
  <si>
    <t>ORD-1855</t>
  </si>
  <si>
    <t>ORD-1856</t>
  </si>
  <si>
    <t>ORD-1857</t>
  </si>
  <si>
    <t>ORD-1858</t>
  </si>
  <si>
    <t>ORD-1859</t>
  </si>
  <si>
    <t>ORD-1860</t>
  </si>
  <si>
    <t>ORD-1861</t>
  </si>
  <si>
    <t>ORD-1862</t>
  </si>
  <si>
    <t>ORD-1863</t>
  </si>
  <si>
    <t>ORD-1864</t>
  </si>
  <si>
    <t>ORD-1865</t>
  </si>
  <si>
    <t>ORD-1866</t>
  </si>
  <si>
    <t>ORD-1867</t>
  </si>
  <si>
    <t>ORD-1868</t>
  </si>
  <si>
    <t>ORD-1869</t>
  </si>
  <si>
    <t>ORD-1870</t>
  </si>
  <si>
    <t>ORD-1871</t>
  </si>
  <si>
    <t>ORD-1872</t>
  </si>
  <si>
    <t>ORD-1873</t>
  </si>
  <si>
    <t>ORD-1874</t>
  </si>
  <si>
    <t>ORD-1875</t>
  </si>
  <si>
    <t>ORD-1876</t>
  </si>
  <si>
    <t>ORD-1877</t>
  </si>
  <si>
    <t>ORD-1878</t>
  </si>
  <si>
    <t>ORD-1879</t>
  </si>
  <si>
    <t>ORD-1880</t>
  </si>
  <si>
    <t>ORD-1881</t>
  </si>
  <si>
    <t>ORD-1882</t>
  </si>
  <si>
    <t>ORD-1883</t>
  </si>
  <si>
    <t>ORD-1884</t>
  </si>
  <si>
    <t>ORD-1885</t>
  </si>
  <si>
    <t>ORD-1886</t>
  </si>
  <si>
    <t>ORD-1887</t>
  </si>
  <si>
    <t>ORD-1888</t>
  </si>
  <si>
    <t>ORD-1889</t>
  </si>
  <si>
    <t>ORD-1890</t>
  </si>
  <si>
    <t>ORD-1891</t>
  </si>
  <si>
    <t>ORD-1892</t>
  </si>
  <si>
    <t>ORD-1893</t>
  </si>
  <si>
    <t>ORD-1894</t>
  </si>
  <si>
    <t>ORD-1895</t>
  </si>
  <si>
    <t>ORD-1896</t>
  </si>
  <si>
    <t>ORD-1897</t>
  </si>
  <si>
    <t>ORD-1898</t>
  </si>
  <si>
    <t>ORD-1899</t>
  </si>
  <si>
    <t>ORD-1900</t>
  </si>
  <si>
    <t>ORD-1901</t>
  </si>
  <si>
    <t>ORD-1902</t>
  </si>
  <si>
    <t>ORD-1903</t>
  </si>
  <si>
    <t>ORD-1904</t>
  </si>
  <si>
    <t>ORD-1905</t>
  </si>
  <si>
    <t>ORD-1906</t>
  </si>
  <si>
    <t>ORD-1907</t>
  </si>
  <si>
    <t>ORD-1908</t>
  </si>
  <si>
    <t>ORD-1909</t>
  </si>
  <si>
    <t>ORD-1910</t>
  </si>
  <si>
    <t>ORD-1911</t>
  </si>
  <si>
    <t>ORD-1912</t>
  </si>
  <si>
    <t>ORD-1913</t>
  </si>
  <si>
    <t>ORD-1914</t>
  </si>
  <si>
    <t>ORD-1915</t>
  </si>
  <si>
    <t>ORD-1916</t>
  </si>
  <si>
    <t>ORD-1917</t>
  </si>
  <si>
    <t>ORD-1918</t>
  </si>
  <si>
    <t>ORD-1919</t>
  </si>
  <si>
    <t>ORD-1920</t>
  </si>
  <si>
    <t>ORD-1921</t>
  </si>
  <si>
    <t>ORD-1922</t>
  </si>
  <si>
    <t>ORD-1923</t>
  </si>
  <si>
    <t>ORD-1924</t>
  </si>
  <si>
    <t>ORD-1925</t>
  </si>
  <si>
    <t>ORD-1926</t>
  </si>
  <si>
    <t>ORD-1927</t>
  </si>
  <si>
    <t>ORD-1928</t>
  </si>
  <si>
    <t>ORD-1929</t>
  </si>
  <si>
    <t>ORD-1930</t>
  </si>
  <si>
    <t>ORD-1931</t>
  </si>
  <si>
    <t>ORD-1932</t>
  </si>
  <si>
    <t>ORD-1933</t>
  </si>
  <si>
    <t>ORD-1934</t>
  </si>
  <si>
    <t>ORD-1935</t>
  </si>
  <si>
    <t>ORD-1936</t>
  </si>
  <si>
    <t>ORD-1937</t>
  </si>
  <si>
    <t>ORD-1938</t>
  </si>
  <si>
    <t>ORD-1939</t>
  </si>
  <si>
    <t>ORD-1940</t>
  </si>
  <si>
    <t>ORD-1941</t>
  </si>
  <si>
    <t>ORD-1942</t>
  </si>
  <si>
    <t>ORD-1943</t>
  </si>
  <si>
    <t>ORD-1944</t>
  </si>
  <si>
    <t>ORD-1945</t>
  </si>
  <si>
    <t>ORD-1946</t>
  </si>
  <si>
    <t>ORD-1947</t>
  </si>
  <si>
    <t>ORD-1948</t>
  </si>
  <si>
    <t>ORD-1949</t>
  </si>
  <si>
    <t>ORD-1950</t>
  </si>
  <si>
    <t>ORD-1951</t>
  </si>
  <si>
    <t>ORD-1952</t>
  </si>
  <si>
    <t>ORD-1953</t>
  </si>
  <si>
    <t>ORD-1954</t>
  </si>
  <si>
    <t>ORD-1955</t>
  </si>
  <si>
    <t>ORD-1956</t>
  </si>
  <si>
    <t>ORD-1957</t>
  </si>
  <si>
    <t>ORD-1958</t>
  </si>
  <si>
    <t>ORD-1959</t>
  </si>
  <si>
    <t>ORD-1960</t>
  </si>
  <si>
    <t>ORD-1961</t>
  </si>
  <si>
    <t>ORD-1962</t>
  </si>
  <si>
    <t>ORD-1963</t>
  </si>
  <si>
    <t>ORD-1964</t>
  </si>
  <si>
    <t>ORD-1965</t>
  </si>
  <si>
    <t>ORD-1966</t>
  </si>
  <si>
    <t>ORD-1967</t>
  </si>
  <si>
    <t>ORD-1968</t>
  </si>
  <si>
    <t>ORD-1969</t>
  </si>
  <si>
    <t>ORD-1970</t>
  </si>
  <si>
    <t>ORD-1971</t>
  </si>
  <si>
    <t>ORD-1972</t>
  </si>
  <si>
    <t>ORD-1973</t>
  </si>
  <si>
    <t>ORD-1974</t>
  </si>
  <si>
    <t>ORD-1975</t>
  </si>
  <si>
    <t>ORD-1976</t>
  </si>
  <si>
    <t>ORD-1977</t>
  </si>
  <si>
    <t>ORD-1978</t>
  </si>
  <si>
    <t>ORD-1979</t>
  </si>
  <si>
    <t>ORD-1980</t>
  </si>
  <si>
    <t>ORD-1981</t>
  </si>
  <si>
    <t>ORD-1982</t>
  </si>
  <si>
    <t>ORD-1983</t>
  </si>
  <si>
    <t>ORD-1984</t>
  </si>
  <si>
    <t>ORD-1985</t>
  </si>
  <si>
    <t>ORD-1986</t>
  </si>
  <si>
    <t>ORD-1987</t>
  </si>
  <si>
    <t>ORD-1988</t>
  </si>
  <si>
    <t>ORD-1989</t>
  </si>
  <si>
    <t>ORD-1990</t>
  </si>
  <si>
    <t>ORD-1991</t>
  </si>
  <si>
    <t>ORD-1992</t>
  </si>
  <si>
    <t>ORD-1993</t>
  </si>
  <si>
    <t>ORD-1994</t>
  </si>
  <si>
    <t>ORD-1995</t>
  </si>
  <si>
    <t>ORD-1996</t>
  </si>
  <si>
    <t>ORD-1997</t>
  </si>
  <si>
    <t>ORD-1998</t>
  </si>
  <si>
    <t>ORD-1999</t>
  </si>
  <si>
    <t>ORD-2000</t>
  </si>
  <si>
    <t>ORD-2001</t>
  </si>
  <si>
    <t>ORD-2002</t>
  </si>
  <si>
    <t>ORD-2003</t>
  </si>
  <si>
    <t>ORD-2004</t>
  </si>
  <si>
    <t>ORD-2005</t>
  </si>
  <si>
    <t>ORD-2006</t>
  </si>
  <si>
    <t>ORD-2007</t>
  </si>
  <si>
    <t>ORD-2008</t>
  </si>
  <si>
    <t>ORD-2009</t>
  </si>
  <si>
    <t>ORD-2010</t>
  </si>
  <si>
    <t>ORD-2011</t>
  </si>
  <si>
    <t>ORD-2012</t>
  </si>
  <si>
    <t>ORD-2013</t>
  </si>
  <si>
    <t>ORD-2014</t>
  </si>
  <si>
    <t>ORD-2015</t>
  </si>
  <si>
    <t>ORD-2016</t>
  </si>
  <si>
    <t>ORD-2017</t>
  </si>
  <si>
    <t>ORD-2018</t>
  </si>
  <si>
    <t>ORD-2019</t>
  </si>
  <si>
    <t>ORD-2020</t>
  </si>
  <si>
    <t>ORD-2021</t>
  </si>
  <si>
    <t>ORD-2022</t>
  </si>
  <si>
    <t>ORD-2023</t>
  </si>
  <si>
    <t>ORD-2024</t>
  </si>
  <si>
    <t>ORD-2025</t>
  </si>
  <si>
    <t>ORD-2026</t>
  </si>
  <si>
    <t>ORD-2027</t>
  </si>
  <si>
    <t>ORD-2028</t>
  </si>
  <si>
    <t>ORD-2029</t>
  </si>
  <si>
    <t>ORD-2030</t>
  </si>
  <si>
    <t>ORD-2031</t>
  </si>
  <si>
    <t>ORD-2032</t>
  </si>
  <si>
    <t>ORD-2033</t>
  </si>
  <si>
    <t>ORD-2034</t>
  </si>
  <si>
    <t>ORD-2035</t>
  </si>
  <si>
    <t>ORD-2036</t>
  </si>
  <si>
    <t>ORD-2037</t>
  </si>
  <si>
    <t>ORD-2038</t>
  </si>
  <si>
    <t>ORD-2039</t>
  </si>
  <si>
    <t>ORD-2040</t>
  </si>
  <si>
    <t>ORD-2041</t>
  </si>
  <si>
    <t>ORD-2042</t>
  </si>
  <si>
    <t>ORD-2043</t>
  </si>
  <si>
    <t>ORD-2044</t>
  </si>
  <si>
    <t>ORD-2045</t>
  </si>
  <si>
    <t>ORD-2046</t>
  </si>
  <si>
    <t>ORD-2047</t>
  </si>
  <si>
    <t>ORD-2048</t>
  </si>
  <si>
    <t>ORD-2049</t>
  </si>
  <si>
    <t>ORD-2050</t>
  </si>
  <si>
    <t>ORD-2051</t>
  </si>
  <si>
    <t>ORD-2052</t>
  </si>
  <si>
    <t>ORD-2053</t>
  </si>
  <si>
    <t>ORD-2054</t>
  </si>
  <si>
    <t>ORD-2055</t>
  </si>
  <si>
    <t>ORD-2056</t>
  </si>
  <si>
    <t>ORD-2057</t>
  </si>
  <si>
    <t>ORD-2058</t>
  </si>
  <si>
    <t>ORD-2059</t>
  </si>
  <si>
    <t>ORD-2060</t>
  </si>
  <si>
    <t>ORD-2061</t>
  </si>
  <si>
    <t>ORD-2062</t>
  </si>
  <si>
    <t>ORD-2063</t>
  </si>
  <si>
    <t>ORD-2064</t>
  </si>
  <si>
    <t>ORD-2065</t>
  </si>
  <si>
    <t>ORD-2066</t>
  </si>
  <si>
    <t>ORD-2067</t>
  </si>
  <si>
    <t>ORD-2068</t>
  </si>
  <si>
    <t>ORD-2069</t>
  </si>
  <si>
    <t>ORD-2070</t>
  </si>
  <si>
    <t>ORD-2071</t>
  </si>
  <si>
    <t>ORD-2072</t>
  </si>
  <si>
    <t>ORD-2073</t>
  </si>
  <si>
    <t>ORD-2074</t>
  </si>
  <si>
    <t>ORD-2075</t>
  </si>
  <si>
    <t>ORD-2076</t>
  </si>
  <si>
    <t>ORD-2077</t>
  </si>
  <si>
    <t>ORD-2078</t>
  </si>
  <si>
    <t>ORD-2079</t>
  </si>
  <si>
    <t>ORD-2080</t>
  </si>
  <si>
    <t>ORD-2081</t>
  </si>
  <si>
    <t>ORD-2082</t>
  </si>
  <si>
    <t>ORD-2083</t>
  </si>
  <si>
    <t>ORD-2084</t>
  </si>
  <si>
    <t>ORD-2085</t>
  </si>
  <si>
    <t>ORD-2086</t>
  </si>
  <si>
    <t>ORD-2087</t>
  </si>
  <si>
    <t>ORD-2088</t>
  </si>
  <si>
    <t>ORD-2089</t>
  </si>
  <si>
    <t>ORD-2090</t>
  </si>
  <si>
    <t>ORD-2091</t>
  </si>
  <si>
    <t>ORD-2092</t>
  </si>
  <si>
    <t>ORD-2093</t>
  </si>
  <si>
    <t>ORD-2094</t>
  </si>
  <si>
    <t>ORD-2095</t>
  </si>
  <si>
    <t>ORD-2096</t>
  </si>
  <si>
    <t>ORD-2097</t>
  </si>
  <si>
    <t>ORD-2098</t>
  </si>
  <si>
    <t>ORD-2099</t>
  </si>
  <si>
    <t>ORD-2100</t>
  </si>
  <si>
    <t>ORD-2101</t>
  </si>
  <si>
    <t>ORD-2102</t>
  </si>
  <si>
    <t>ORD-2103</t>
  </si>
  <si>
    <t>ORD-2104</t>
  </si>
  <si>
    <t>ORD-2105</t>
  </si>
  <si>
    <t>ORD-2106</t>
  </si>
  <si>
    <t>ORD-2107</t>
  </si>
  <si>
    <t>ORD-2108</t>
  </si>
  <si>
    <t>ORD-2109</t>
  </si>
  <si>
    <t>ORD-2110</t>
  </si>
  <si>
    <t>ORD-2111</t>
  </si>
  <si>
    <t>ORD-2112</t>
  </si>
  <si>
    <t>ORD-2113</t>
  </si>
  <si>
    <t>ORD-2114</t>
  </si>
  <si>
    <t>ORD-2115</t>
  </si>
  <si>
    <t>ORD-2116</t>
  </si>
  <si>
    <t>ORD-2117</t>
  </si>
  <si>
    <t>ORD-2118</t>
  </si>
  <si>
    <t>ORD-2119</t>
  </si>
  <si>
    <t>ORD-2120</t>
  </si>
  <si>
    <t>ORD-2121</t>
  </si>
  <si>
    <t>ORD-2122</t>
  </si>
  <si>
    <t>ORD-2123</t>
  </si>
  <si>
    <t>ORD-2124</t>
  </si>
  <si>
    <t>ORD-2125</t>
  </si>
  <si>
    <t>ORD-2126</t>
  </si>
  <si>
    <t>ORD-2127</t>
  </si>
  <si>
    <t>ORD-2128</t>
  </si>
  <si>
    <t>ORD-2129</t>
  </si>
  <si>
    <t>ORD-2130</t>
  </si>
  <si>
    <t>ORD-2131</t>
  </si>
  <si>
    <t>ORD-2132</t>
  </si>
  <si>
    <t>ORD-2133</t>
  </si>
  <si>
    <t>ORD-2134</t>
  </si>
  <si>
    <t>ORD-2135</t>
  </si>
  <si>
    <t>ORD-2136</t>
  </si>
  <si>
    <t>ORD-2137</t>
  </si>
  <si>
    <t>ORD-2138</t>
  </si>
  <si>
    <t>ORD-2139</t>
  </si>
  <si>
    <t>ORD-2140</t>
  </si>
  <si>
    <t>ORD-2141</t>
  </si>
  <si>
    <t>ORD-2142</t>
  </si>
  <si>
    <t>ORD-2143</t>
  </si>
  <si>
    <t>ORD-2144</t>
  </si>
  <si>
    <t>ORD-2145</t>
  </si>
  <si>
    <t>ORD-2146</t>
  </si>
  <si>
    <t>ORD-2147</t>
  </si>
  <si>
    <t>ORD-2148</t>
  </si>
  <si>
    <t>ORD-2149</t>
  </si>
  <si>
    <t>ORD-2150</t>
  </si>
  <si>
    <t>ORD-2151</t>
  </si>
  <si>
    <t>ORD-2152</t>
  </si>
  <si>
    <t>ORD-2153</t>
  </si>
  <si>
    <t>ORD-2154</t>
  </si>
  <si>
    <t>ORD-2155</t>
  </si>
  <si>
    <t>ORD-2156</t>
  </si>
  <si>
    <t>ORD-2157</t>
  </si>
  <si>
    <t>ORD-2158</t>
  </si>
  <si>
    <t>ORD-2159</t>
  </si>
  <si>
    <t>ORD-2160</t>
  </si>
  <si>
    <t>ORD-2161</t>
  </si>
  <si>
    <t>ORD-2162</t>
  </si>
  <si>
    <t>ORD-2163</t>
  </si>
  <si>
    <t>ORD-2164</t>
  </si>
  <si>
    <t>ORD-2165</t>
  </si>
  <si>
    <t>ORD-2166</t>
  </si>
  <si>
    <t>ORD-2167</t>
  </si>
  <si>
    <t>ORD-2168</t>
  </si>
  <si>
    <t>ORD-2169</t>
  </si>
  <si>
    <t>ORD-2170</t>
  </si>
  <si>
    <t>ORD-2171</t>
  </si>
  <si>
    <t>ORD-2172</t>
  </si>
  <si>
    <t>ORD-2173</t>
  </si>
  <si>
    <t>ORD-2174</t>
  </si>
  <si>
    <t>ORD-2175</t>
  </si>
  <si>
    <t>ORD-2176</t>
  </si>
  <si>
    <t>ORD-2177</t>
  </si>
  <si>
    <t>ORD-2178</t>
  </si>
  <si>
    <t>ORD-2179</t>
  </si>
  <si>
    <t>ORD-2180</t>
  </si>
  <si>
    <t>ORD-2181</t>
  </si>
  <si>
    <t>ORD-2182</t>
  </si>
  <si>
    <t>ORD-2183</t>
  </si>
  <si>
    <t>ORD-2184</t>
  </si>
  <si>
    <t>ORD-2185</t>
  </si>
  <si>
    <t>ORD-2186</t>
  </si>
  <si>
    <t>ORD-2187</t>
  </si>
  <si>
    <t>ORD-2188</t>
  </si>
  <si>
    <t>ORD-2189</t>
  </si>
  <si>
    <t>ORD-2190</t>
  </si>
  <si>
    <t>ORD-2191</t>
  </si>
  <si>
    <t>ORD-2192</t>
  </si>
  <si>
    <t>ORD-2193</t>
  </si>
  <si>
    <t>ORD-2194</t>
  </si>
  <si>
    <t>ORD-2195</t>
  </si>
  <si>
    <t>ORD-2196</t>
  </si>
  <si>
    <t>ORD-2197</t>
  </si>
  <si>
    <t>ORD-2198</t>
  </si>
  <si>
    <t>ORD-2199</t>
  </si>
  <si>
    <t>ORD-2200</t>
  </si>
  <si>
    <t>ORD-2201</t>
  </si>
  <si>
    <t>ORD-2202</t>
  </si>
  <si>
    <t>ORD-2203</t>
  </si>
  <si>
    <t>ORD-2204</t>
  </si>
  <si>
    <t>ORD-2205</t>
  </si>
  <si>
    <t>ORD-2206</t>
  </si>
  <si>
    <t>ORD-2207</t>
  </si>
  <si>
    <t>ORD-2208</t>
  </si>
  <si>
    <t>ORD-2209</t>
  </si>
  <si>
    <t>ORD-2210</t>
  </si>
  <si>
    <t>ORD-2211</t>
  </si>
  <si>
    <t>ORD-2212</t>
  </si>
  <si>
    <t>ORD-2213</t>
  </si>
  <si>
    <t>ORD-2214</t>
  </si>
  <si>
    <t>ORD-2215</t>
  </si>
  <si>
    <t>ORD-2216</t>
  </si>
  <si>
    <t>ORD-2217</t>
  </si>
  <si>
    <t>ORD-2218</t>
  </si>
  <si>
    <t>ORD-2219</t>
  </si>
  <si>
    <t>ORD-2220</t>
  </si>
  <si>
    <t>ORD-2221</t>
  </si>
  <si>
    <t>ORD-2222</t>
  </si>
  <si>
    <t>ORD-2223</t>
  </si>
  <si>
    <t>ORD-2224</t>
  </si>
  <si>
    <t>ORD-2225</t>
  </si>
  <si>
    <t>ORD-2226</t>
  </si>
  <si>
    <t>ORD-2227</t>
  </si>
  <si>
    <t>ORD-2228</t>
  </si>
  <si>
    <t>ORD-2229</t>
  </si>
  <si>
    <t>ORD-2230</t>
  </si>
  <si>
    <t>ORD-2231</t>
  </si>
  <si>
    <t>ORD-2232</t>
  </si>
  <si>
    <t>ORD-2233</t>
  </si>
  <si>
    <t>ORD-2234</t>
  </si>
  <si>
    <t>ORD-2235</t>
  </si>
  <si>
    <t>ORD-2236</t>
  </si>
  <si>
    <t>ORD-2237</t>
  </si>
  <si>
    <t>ORD-2238</t>
  </si>
  <si>
    <t>ORD-2239</t>
  </si>
  <si>
    <t>ORD-2240</t>
  </si>
  <si>
    <t>ORD-2241</t>
  </si>
  <si>
    <t>ORD-2242</t>
  </si>
  <si>
    <t>ORD-2243</t>
  </si>
  <si>
    <t>ORD-2244</t>
  </si>
  <si>
    <t>ORD-2245</t>
  </si>
  <si>
    <t>ORD-2246</t>
  </si>
  <si>
    <t>ORD-2247</t>
  </si>
  <si>
    <t>ORD-2248</t>
  </si>
  <si>
    <t>ORD-2249</t>
  </si>
  <si>
    <t>ORD-2250</t>
  </si>
  <si>
    <t>ORD-2251</t>
  </si>
  <si>
    <t>ORD-2252</t>
  </si>
  <si>
    <t>ORD-2253</t>
  </si>
  <si>
    <t>ORD-2254</t>
  </si>
  <si>
    <t>ORD-2255</t>
  </si>
  <si>
    <t>ORD-2256</t>
  </si>
  <si>
    <t>ORD-2257</t>
  </si>
  <si>
    <t>ORD-2258</t>
  </si>
  <si>
    <t>ORD-2259</t>
  </si>
  <si>
    <t>ORD-2260</t>
  </si>
  <si>
    <t>ORD-2261</t>
  </si>
  <si>
    <t>ORD-2262</t>
  </si>
  <si>
    <t>ORD-2263</t>
  </si>
  <si>
    <t>ORD-2264</t>
  </si>
  <si>
    <t>ORD-2265</t>
  </si>
  <si>
    <t>ORD-2266</t>
  </si>
  <si>
    <t>ORD-2267</t>
  </si>
  <si>
    <t>ORD-2268</t>
  </si>
  <si>
    <t>ORD-2269</t>
  </si>
  <si>
    <t>ORD-2270</t>
  </si>
  <si>
    <t>ORD-2271</t>
  </si>
  <si>
    <t>ORD-2272</t>
  </si>
  <si>
    <t>ORD-2273</t>
  </si>
  <si>
    <t>ORD-2274</t>
  </si>
  <si>
    <t>ORD-2275</t>
  </si>
  <si>
    <t>ORD-2276</t>
  </si>
  <si>
    <t>ORD-2277</t>
  </si>
  <si>
    <t>ORD-2278</t>
  </si>
  <si>
    <t>ORD-2279</t>
  </si>
  <si>
    <t>ORD-2280</t>
  </si>
  <si>
    <t>ORD-2281</t>
  </si>
  <si>
    <t>ORD-2282</t>
  </si>
  <si>
    <t>ORD-2283</t>
  </si>
  <si>
    <t>ORD-2284</t>
  </si>
  <si>
    <t>ORD-2285</t>
  </si>
  <si>
    <t>ORD-2286</t>
  </si>
  <si>
    <t>ORD-2287</t>
  </si>
  <si>
    <t>ORD-2288</t>
  </si>
  <si>
    <t>ORD-2289</t>
  </si>
  <si>
    <t>ORD-2290</t>
  </si>
  <si>
    <t>ORD-2291</t>
  </si>
  <si>
    <t>ORD-2292</t>
  </si>
  <si>
    <t>ORD-2293</t>
  </si>
  <si>
    <t>ORD-2294</t>
  </si>
  <si>
    <t>ORD-2295</t>
  </si>
  <si>
    <t>ORD-2296</t>
  </si>
  <si>
    <t>ORD-2297</t>
  </si>
  <si>
    <t>ORD-2298</t>
  </si>
  <si>
    <t>ORD-2299</t>
  </si>
  <si>
    <t>ORD-2300</t>
  </si>
  <si>
    <t>ORD-2301</t>
  </si>
  <si>
    <t>ORD-2302</t>
  </si>
  <si>
    <t>ORD-2303</t>
  </si>
  <si>
    <t>ORD-2304</t>
  </si>
  <si>
    <t>ORD-2305</t>
  </si>
  <si>
    <t>ORD-2306</t>
  </si>
  <si>
    <t>ORD-2307</t>
  </si>
  <si>
    <t>ORD-2308</t>
  </si>
  <si>
    <t>ORD-2309</t>
  </si>
  <si>
    <t>ORD-2310</t>
  </si>
  <si>
    <t>ORD-2311</t>
  </si>
  <si>
    <t>ORD-2312</t>
  </si>
  <si>
    <t>ORD-2313</t>
  </si>
  <si>
    <t>ORD-2314</t>
  </si>
  <si>
    <t>ORD-2315</t>
  </si>
  <si>
    <t>ORD-2316</t>
  </si>
  <si>
    <t>ORD-2317</t>
  </si>
  <si>
    <t>ORD-2318</t>
  </si>
  <si>
    <t>ORD-2319</t>
  </si>
  <si>
    <t>ORD-2320</t>
  </si>
  <si>
    <t>ORD-2321</t>
  </si>
  <si>
    <t>ORD-2322</t>
  </si>
  <si>
    <t>ORD-2323</t>
  </si>
  <si>
    <t>ORD-2324</t>
  </si>
  <si>
    <t>ORD-2325</t>
  </si>
  <si>
    <t>ORD-2326</t>
  </si>
  <si>
    <t>ORD-2327</t>
  </si>
  <si>
    <t>ORD-2328</t>
  </si>
  <si>
    <t>ORD-2329</t>
  </si>
  <si>
    <t>ORD-2330</t>
  </si>
  <si>
    <t>ORD-2331</t>
  </si>
  <si>
    <t>ORD-2332</t>
  </si>
  <si>
    <t>ORD-2333</t>
  </si>
  <si>
    <t>ORD-2334</t>
  </si>
  <si>
    <t>ORD-2335</t>
  </si>
  <si>
    <t>ORD-2336</t>
  </si>
  <si>
    <t>ORD-2337</t>
  </si>
  <si>
    <t>ORD-2338</t>
  </si>
  <si>
    <t>ORD-2339</t>
  </si>
  <si>
    <t>ORD-2340</t>
  </si>
  <si>
    <t>ORD-2341</t>
  </si>
  <si>
    <t>ORD-2342</t>
  </si>
  <si>
    <t>ORD-2343</t>
  </si>
  <si>
    <t>ORD-2344</t>
  </si>
  <si>
    <t>ORD-2345</t>
  </si>
  <si>
    <t>ORD-2346</t>
  </si>
  <si>
    <t>ORD-2347</t>
  </si>
  <si>
    <t>ORD-2348</t>
  </si>
  <si>
    <t>ORD-2349</t>
  </si>
  <si>
    <t>ORD-2350</t>
  </si>
  <si>
    <t>ORD-2351</t>
  </si>
  <si>
    <t>ORD-2352</t>
  </si>
  <si>
    <t>ORD-2353</t>
  </si>
  <si>
    <t>ORD-2354</t>
  </si>
  <si>
    <t>ORD-2355</t>
  </si>
  <si>
    <t>ORD-2356</t>
  </si>
  <si>
    <t>ORD-2357</t>
  </si>
  <si>
    <t>ORD-2358</t>
  </si>
  <si>
    <t>ORD-2359</t>
  </si>
  <si>
    <t>ORD-2360</t>
  </si>
  <si>
    <t>ORD-2361</t>
  </si>
  <si>
    <t>ORD-2362</t>
  </si>
  <si>
    <t>ORD-2363</t>
  </si>
  <si>
    <t>ORD-2364</t>
  </si>
  <si>
    <t>ORD-2365</t>
  </si>
  <si>
    <t>ORD-2366</t>
  </si>
  <si>
    <t>ORD-2367</t>
  </si>
  <si>
    <t>ORD-2368</t>
  </si>
  <si>
    <t>ORD-2369</t>
  </si>
  <si>
    <t>ORD-2370</t>
  </si>
  <si>
    <t>ORD-2371</t>
  </si>
  <si>
    <t>ORD-2372</t>
  </si>
  <si>
    <t>ORD-2373</t>
  </si>
  <si>
    <t>ORD-2374</t>
  </si>
  <si>
    <t>ORD-2375</t>
  </si>
  <si>
    <t>ORD-2376</t>
  </si>
  <si>
    <t>ORD-2377</t>
  </si>
  <si>
    <t>ORD-2378</t>
  </si>
  <si>
    <t>ORD-2379</t>
  </si>
  <si>
    <t>ORD-2380</t>
  </si>
  <si>
    <t>ORD-2381</t>
  </si>
  <si>
    <t>ORD-2382</t>
  </si>
  <si>
    <t>ORD-2383</t>
  </si>
  <si>
    <t>ORD-2384</t>
  </si>
  <si>
    <t>ORD-2385</t>
  </si>
  <si>
    <t>ORD-2386</t>
  </si>
  <si>
    <t>ORD-2387</t>
  </si>
  <si>
    <t>ORD-2388</t>
  </si>
  <si>
    <t>ORD-2389</t>
  </si>
  <si>
    <t>ORD-2390</t>
  </si>
  <si>
    <t>ORD-2391</t>
  </si>
  <si>
    <t>ORD-2392</t>
  </si>
  <si>
    <t>ORD-2393</t>
  </si>
  <si>
    <t>ORD-2394</t>
  </si>
  <si>
    <t>ORD-2395</t>
  </si>
  <si>
    <t>ORD-2396</t>
  </si>
  <si>
    <t>ORD-2397</t>
  </si>
  <si>
    <t>ORD-2398</t>
  </si>
  <si>
    <t>ORD-2399</t>
  </si>
  <si>
    <t>ORD-2400</t>
  </si>
  <si>
    <t>ORD-2401</t>
  </si>
  <si>
    <t>ORD-2402</t>
  </si>
  <si>
    <t>ORD-2403</t>
  </si>
  <si>
    <t>ORD-2404</t>
  </si>
  <si>
    <t>ORD-2405</t>
  </si>
  <si>
    <t>ORD-2406</t>
  </si>
  <si>
    <t>ORD-2407</t>
  </si>
  <si>
    <t>ORD-2408</t>
  </si>
  <si>
    <t>ORD-2409</t>
  </si>
  <si>
    <t>ORD-2410</t>
  </si>
  <si>
    <t>ORD-2411</t>
  </si>
  <si>
    <t>ORD-2412</t>
  </si>
  <si>
    <t>ORD-2413</t>
  </si>
  <si>
    <t>ORD-2414</t>
  </si>
  <si>
    <t>ORD-2415</t>
  </si>
  <si>
    <t>ORD-2416</t>
  </si>
  <si>
    <t>ORD-2417</t>
  </si>
  <si>
    <t>ORD-2418</t>
  </si>
  <si>
    <t>ORD-2419</t>
  </si>
  <si>
    <t>ORD-2420</t>
  </si>
  <si>
    <t>ORD-2421</t>
  </si>
  <si>
    <t>ORD-2422</t>
  </si>
  <si>
    <t>ORD-2423</t>
  </si>
  <si>
    <t>ORD-2424</t>
  </si>
  <si>
    <t>ORD-2425</t>
  </si>
  <si>
    <t>ORD-2426</t>
  </si>
  <si>
    <t>ORD-2427</t>
  </si>
  <si>
    <t>ORD-2428</t>
  </si>
  <si>
    <t>ORD-2429</t>
  </si>
  <si>
    <t>ORD-2430</t>
  </si>
  <si>
    <t>ORD-2431</t>
  </si>
  <si>
    <t>ORD-2432</t>
  </si>
  <si>
    <t>ORD-2433</t>
  </si>
  <si>
    <t>ORD-2434</t>
  </si>
  <si>
    <t>ORD-2435</t>
  </si>
  <si>
    <t>ORD-2436</t>
  </si>
  <si>
    <t>ORD-2437</t>
  </si>
  <si>
    <t>ORD-2438</t>
  </si>
  <si>
    <t>ORD-2439</t>
  </si>
  <si>
    <t>ORD-2440</t>
  </si>
  <si>
    <t>ORD-2441</t>
  </si>
  <si>
    <t>ORD-2442</t>
  </si>
  <si>
    <t>ORD-2443</t>
  </si>
  <si>
    <t>ORD-2444</t>
  </si>
  <si>
    <t>ORD-2445</t>
  </si>
  <si>
    <t>ORD-2446</t>
  </si>
  <si>
    <t>ORD-2447</t>
  </si>
  <si>
    <t>ORD-2448</t>
  </si>
  <si>
    <t>ORD-2449</t>
  </si>
  <si>
    <t>ORD-2450</t>
  </si>
  <si>
    <t>ORD-2451</t>
  </si>
  <si>
    <t>ORD-2452</t>
  </si>
  <si>
    <t>ORD-2453</t>
  </si>
  <si>
    <t>ORD-2454</t>
  </si>
  <si>
    <t>ORD-2455</t>
  </si>
  <si>
    <t>ORD-2456</t>
  </si>
  <si>
    <t>ORD-2457</t>
  </si>
  <si>
    <t>ORD-2458</t>
  </si>
  <si>
    <t>ORD-2459</t>
  </si>
  <si>
    <t>ORD-2460</t>
  </si>
  <si>
    <t>ORD-2461</t>
  </si>
  <si>
    <t>ORD-2462</t>
  </si>
  <si>
    <t>ORD-2463</t>
  </si>
  <si>
    <t>ORD-2464</t>
  </si>
  <si>
    <t>ORD-2465</t>
  </si>
  <si>
    <t>ORD-2466</t>
  </si>
  <si>
    <t>ORD-2467</t>
  </si>
  <si>
    <t>ORD-2468</t>
  </si>
  <si>
    <t>ORD-2469</t>
  </si>
  <si>
    <t>ORD-2470</t>
  </si>
  <si>
    <t>ORD-2471</t>
  </si>
  <si>
    <t>ORD-2472</t>
  </si>
  <si>
    <t>ORD-2473</t>
  </si>
  <si>
    <t>ORD-2474</t>
  </si>
  <si>
    <t>ORD-2475</t>
  </si>
  <si>
    <t>ORD-2476</t>
  </si>
  <si>
    <t>ORD-2477</t>
  </si>
  <si>
    <t>ORD-2478</t>
  </si>
  <si>
    <t>ORD-2479</t>
  </si>
  <si>
    <t>ORD-2480</t>
  </si>
  <si>
    <t>ORD-2481</t>
  </si>
  <si>
    <t>ORD-2482</t>
  </si>
  <si>
    <t>ORD-2483</t>
  </si>
  <si>
    <t>ORD-2484</t>
  </si>
  <si>
    <t>ORD-2485</t>
  </si>
  <si>
    <t>ORD-2486</t>
  </si>
  <si>
    <t>ORD-2487</t>
  </si>
  <si>
    <t>ORD-2488</t>
  </si>
  <si>
    <t>ORD-2489</t>
  </si>
  <si>
    <t>ORD-2490</t>
  </si>
  <si>
    <t>ORD-2491</t>
  </si>
  <si>
    <t>ORD-2492</t>
  </si>
  <si>
    <t>ORD-2493</t>
  </si>
  <si>
    <t>ORD-2494</t>
  </si>
  <si>
    <t>ORD-2495</t>
  </si>
  <si>
    <t>ORD-2496</t>
  </si>
  <si>
    <t>ORD-2497</t>
  </si>
  <si>
    <t>ORD-2498</t>
  </si>
  <si>
    <t>ORD-2499</t>
  </si>
  <si>
    <t>ORD-2500</t>
  </si>
  <si>
    <t>ORD-2501</t>
  </si>
  <si>
    <t>ORD-2502</t>
  </si>
  <si>
    <t>ORD-2503</t>
  </si>
  <si>
    <t>ORD-2504</t>
  </si>
  <si>
    <t>ORD-2505</t>
  </si>
  <si>
    <t>ORD-2506</t>
  </si>
  <si>
    <t>ORD-2507</t>
  </si>
  <si>
    <t>ORD-2508</t>
  </si>
  <si>
    <t>ORD-2509</t>
  </si>
  <si>
    <t>ORD-2510</t>
  </si>
  <si>
    <t>ORD-2511</t>
  </si>
  <si>
    <t>ORD-2512</t>
  </si>
  <si>
    <t>ORD-2513</t>
  </si>
  <si>
    <t>ORD-2514</t>
  </si>
  <si>
    <t>ORD-2515</t>
  </si>
  <si>
    <t>ORD-2516</t>
  </si>
  <si>
    <t>ORD-2517</t>
  </si>
  <si>
    <t>ORD-2518</t>
  </si>
  <si>
    <t>ORD-2519</t>
  </si>
  <si>
    <t>ORD-2520</t>
  </si>
  <si>
    <t>ORD-2521</t>
  </si>
  <si>
    <t>ORD-2522</t>
  </si>
  <si>
    <t>ORD-2523</t>
  </si>
  <si>
    <t>ORD-2524</t>
  </si>
  <si>
    <t>ORD-2525</t>
  </si>
  <si>
    <t>ORD-2526</t>
  </si>
  <si>
    <t>ORD-2527</t>
  </si>
  <si>
    <t>ORD-2528</t>
  </si>
  <si>
    <t>ORD-2529</t>
  </si>
  <si>
    <t>ORD-2530</t>
  </si>
  <si>
    <t>ORD-2531</t>
  </si>
  <si>
    <t>ORD-2532</t>
  </si>
  <si>
    <t>ORD-2533</t>
  </si>
  <si>
    <t>ORD-2534</t>
  </si>
  <si>
    <t>ORD-2535</t>
  </si>
  <si>
    <t>ORD-2536</t>
  </si>
  <si>
    <t>ORD-2537</t>
  </si>
  <si>
    <t>ORD-2538</t>
  </si>
  <si>
    <t>ORD-2539</t>
  </si>
  <si>
    <t>ORD-2540</t>
  </si>
  <si>
    <t>ORD-2541</t>
  </si>
  <si>
    <t>ORD-2542</t>
  </si>
  <si>
    <t>ORD-2543</t>
  </si>
  <si>
    <t>ORD-2544</t>
  </si>
  <si>
    <t>ORD-2545</t>
  </si>
  <si>
    <t>ORD-2546</t>
  </si>
  <si>
    <t>ORD-2547</t>
  </si>
  <si>
    <t>ORD-2548</t>
  </si>
  <si>
    <t>ORD-2549</t>
  </si>
  <si>
    <t>ORD-2550</t>
  </si>
  <si>
    <t>ORD-2551</t>
  </si>
  <si>
    <t>ORD-2552</t>
  </si>
  <si>
    <t>ORD-2553</t>
  </si>
  <si>
    <t>ORD-2554</t>
  </si>
  <si>
    <t>ORD-2555</t>
  </si>
  <si>
    <t>ORD-2556</t>
  </si>
  <si>
    <t>ORD-2557</t>
  </si>
  <si>
    <t>ORD-2558</t>
  </si>
  <si>
    <t>ORD-2559</t>
  </si>
  <si>
    <t>ORD-2560</t>
  </si>
  <si>
    <t>ORD-2561</t>
  </si>
  <si>
    <t>ORD-2562</t>
  </si>
  <si>
    <t>ORD-2563</t>
  </si>
  <si>
    <t>ORD-2564</t>
  </si>
  <si>
    <t>ORD-2565</t>
  </si>
  <si>
    <t>ORD-2566</t>
  </si>
  <si>
    <t>ORD-2567</t>
  </si>
  <si>
    <t>ORD-2568</t>
  </si>
  <si>
    <t>ORD-2569</t>
  </si>
  <si>
    <t>ORD-2570</t>
  </si>
  <si>
    <t>ORD-2571</t>
  </si>
  <si>
    <t>ORD-2572</t>
  </si>
  <si>
    <t>ORD-2573</t>
  </si>
  <si>
    <t>ORD-2574</t>
  </si>
  <si>
    <t>ORD-2575</t>
  </si>
  <si>
    <t>ORD-2576</t>
  </si>
  <si>
    <t>ORD-2577</t>
  </si>
  <si>
    <t>ORD-2578</t>
  </si>
  <si>
    <t>ORD-2579</t>
  </si>
  <si>
    <t>ORD-2580</t>
  </si>
  <si>
    <t>ORD-2581</t>
  </si>
  <si>
    <t>ORD-2582</t>
  </si>
  <si>
    <t>ORD-2583</t>
  </si>
  <si>
    <t>ORD-2584</t>
  </si>
  <si>
    <t>ORD-2585</t>
  </si>
  <si>
    <t>ORD-2586</t>
  </si>
  <si>
    <t>ORD-2587</t>
  </si>
  <si>
    <t>ORD-2588</t>
  </si>
  <si>
    <t>ORD-2589</t>
  </si>
  <si>
    <t>ORD-2590</t>
  </si>
  <si>
    <t>ORD-2591</t>
  </si>
  <si>
    <t>ORD-2592</t>
  </si>
  <si>
    <t>ORD-2593</t>
  </si>
  <si>
    <t>ORD-2594</t>
  </si>
  <si>
    <t>ORD-2595</t>
  </si>
  <si>
    <t>ORD-2596</t>
  </si>
  <si>
    <t>ORD-2597</t>
  </si>
  <si>
    <t>ORD-2598</t>
  </si>
  <si>
    <t>ORD-2599</t>
  </si>
  <si>
    <t>ORD-2600</t>
  </si>
  <si>
    <t>ORD-2601</t>
  </si>
  <si>
    <t>ORD-2602</t>
  </si>
  <si>
    <t>ORD-2603</t>
  </si>
  <si>
    <t>ORD-2604</t>
  </si>
  <si>
    <t>ORD-2605</t>
  </si>
  <si>
    <t>ORD-2606</t>
  </si>
  <si>
    <t>ORD-2607</t>
  </si>
  <si>
    <t>ORD-2608</t>
  </si>
  <si>
    <t>ORD-2609</t>
  </si>
  <si>
    <t>ORD-2610</t>
  </si>
  <si>
    <t>ORD-2611</t>
  </si>
  <si>
    <t>ORD-2612</t>
  </si>
  <si>
    <t>ORD-2613</t>
  </si>
  <si>
    <t>ORD-2614</t>
  </si>
  <si>
    <t>ORD-2615</t>
  </si>
  <si>
    <t>ORD-2616</t>
  </si>
  <si>
    <t>ORD-2617</t>
  </si>
  <si>
    <t>ORD-2618</t>
  </si>
  <si>
    <t>ORD-2619</t>
  </si>
  <si>
    <t>ORD-2620</t>
  </si>
  <si>
    <t>ORD-2621</t>
  </si>
  <si>
    <t>ORD-2622</t>
  </si>
  <si>
    <t>ORD-2623</t>
  </si>
  <si>
    <t>ORD-2624</t>
  </si>
  <si>
    <t>ORD-2625</t>
  </si>
  <si>
    <t>ORD-2626</t>
  </si>
  <si>
    <t>ORD-2627</t>
  </si>
  <si>
    <t>ORD-2628</t>
  </si>
  <si>
    <t>ORD-2629</t>
  </si>
  <si>
    <t>ORD-2630</t>
  </si>
  <si>
    <t>ORD-2631</t>
  </si>
  <si>
    <t>ORD-2632</t>
  </si>
  <si>
    <t>ORD-2633</t>
  </si>
  <si>
    <t>ORD-2634</t>
  </si>
  <si>
    <t>ORD-2635</t>
  </si>
  <si>
    <t>ORD-2636</t>
  </si>
  <si>
    <t>ORD-2637</t>
  </si>
  <si>
    <t>ORD-2638</t>
  </si>
  <si>
    <t>ORD-2639</t>
  </si>
  <si>
    <t>ORD-2640</t>
  </si>
  <si>
    <t>ORD-2641</t>
  </si>
  <si>
    <t>ORD-2642</t>
  </si>
  <si>
    <t>ORD-2643</t>
  </si>
  <si>
    <t>ORD-2644</t>
  </si>
  <si>
    <t>ORD-2645</t>
  </si>
  <si>
    <t>ORD-2646</t>
  </si>
  <si>
    <t>ORD-2647</t>
  </si>
  <si>
    <t>ORD-2648</t>
  </si>
  <si>
    <t>ORD-2649</t>
  </si>
  <si>
    <t>ORD-2650</t>
  </si>
  <si>
    <t>ORD-2651</t>
  </si>
  <si>
    <t>ORD-2652</t>
  </si>
  <si>
    <t>ORD-2653</t>
  </si>
  <si>
    <t>ORD-2654</t>
  </si>
  <si>
    <t>ORD-2655</t>
  </si>
  <si>
    <t>ORD-2656</t>
  </si>
  <si>
    <t>ORD-2657</t>
  </si>
  <si>
    <t>ORD-2658</t>
  </si>
  <si>
    <t>ORD-2659</t>
  </si>
  <si>
    <t>ORD-2660</t>
  </si>
  <si>
    <t>ORD-2661</t>
  </si>
  <si>
    <t>ORD-2662</t>
  </si>
  <si>
    <t>ORD-2663</t>
  </si>
  <si>
    <t>ORD-2664</t>
  </si>
  <si>
    <t>ORD-2665</t>
  </si>
  <si>
    <t>ORD-2666</t>
  </si>
  <si>
    <t>ORD-2667</t>
  </si>
  <si>
    <t>ORD-2668</t>
  </si>
  <si>
    <t>ORD-2669</t>
  </si>
  <si>
    <t>ORD-2670</t>
  </si>
  <si>
    <t>ORD-2671</t>
  </si>
  <si>
    <t>ORD-2672</t>
  </si>
  <si>
    <t>ORD-2673</t>
  </si>
  <si>
    <t>ORD-2674</t>
  </si>
  <si>
    <t>ORD-2675</t>
  </si>
  <si>
    <t>ORD-2676</t>
  </si>
  <si>
    <t>ORD-2677</t>
  </si>
  <si>
    <t>ORD-2678</t>
  </si>
  <si>
    <t>ORD-2679</t>
  </si>
  <si>
    <t>ORD-2680</t>
  </si>
  <si>
    <t>ORD-2681</t>
  </si>
  <si>
    <t>ORD-2682</t>
  </si>
  <si>
    <t>ORD-2683</t>
  </si>
  <si>
    <t>ORD-2684</t>
  </si>
  <si>
    <t>ORD-2685</t>
  </si>
  <si>
    <t>ORD-2686</t>
  </si>
  <si>
    <t>ORD-2687</t>
  </si>
  <si>
    <t>ORD-2688</t>
  </si>
  <si>
    <t>ORD-2689</t>
  </si>
  <si>
    <t>ORD-2690</t>
  </si>
  <si>
    <t>ORD-2691</t>
  </si>
  <si>
    <t>ORD-2692</t>
  </si>
  <si>
    <t>ORD-2693</t>
  </si>
  <si>
    <t>ORD-2694</t>
  </si>
  <si>
    <t>ORD-2695</t>
  </si>
  <si>
    <t>ORD-2696</t>
  </si>
  <si>
    <t>ORD-2697</t>
  </si>
  <si>
    <t>ORD-2698</t>
  </si>
  <si>
    <t>ORD-2699</t>
  </si>
  <si>
    <t>ORD-2700</t>
  </si>
  <si>
    <t>ORD-2701</t>
  </si>
  <si>
    <t>ORD-2702</t>
  </si>
  <si>
    <t>ORD-2703</t>
  </si>
  <si>
    <t>ORD-2704</t>
  </si>
  <si>
    <t>ORD-2705</t>
  </si>
  <si>
    <t>ORD-2706</t>
  </si>
  <si>
    <t>ORD-2707</t>
  </si>
  <si>
    <t>ORD-2708</t>
  </si>
  <si>
    <t>ORD-2709</t>
  </si>
  <si>
    <t>ORD-2710</t>
  </si>
  <si>
    <t>ORD-2711</t>
  </si>
  <si>
    <t>ORD-2712</t>
  </si>
  <si>
    <t>ORD-2713</t>
  </si>
  <si>
    <t>ORD-2714</t>
  </si>
  <si>
    <t>ORD-2715</t>
  </si>
  <si>
    <t>ORD-2716</t>
  </si>
  <si>
    <t>ORD-2717</t>
  </si>
  <si>
    <t>ORD-2718</t>
  </si>
  <si>
    <t>ORD-2719</t>
  </si>
  <si>
    <t>ORD-2720</t>
  </si>
  <si>
    <t>ORD-2721</t>
  </si>
  <si>
    <t>ORD-2722</t>
  </si>
  <si>
    <t>ORD-2723</t>
  </si>
  <si>
    <t>ORD-2724</t>
  </si>
  <si>
    <t>ORD-2725</t>
  </si>
  <si>
    <t>ORD-2726</t>
  </si>
  <si>
    <t>ORD-2727</t>
  </si>
  <si>
    <t>ORD-2728</t>
  </si>
  <si>
    <t>ORD-2729</t>
  </si>
  <si>
    <t>ORD-2730</t>
  </si>
  <si>
    <t>ORD-2731</t>
  </si>
  <si>
    <t>ORD-2732</t>
  </si>
  <si>
    <t>ORD-2733</t>
  </si>
  <si>
    <t>ORD-2734</t>
  </si>
  <si>
    <t>ORD-2735</t>
  </si>
  <si>
    <t>ORD-2736</t>
  </si>
  <si>
    <t>ORD-2737</t>
  </si>
  <si>
    <t>ORD-2738</t>
  </si>
  <si>
    <t>ORD-2739</t>
  </si>
  <si>
    <t>ORD-2740</t>
  </si>
  <si>
    <t>ORD-2741</t>
  </si>
  <si>
    <t>ORD-2742</t>
  </si>
  <si>
    <t>ORD-2743</t>
  </si>
  <si>
    <t>ORD-2744</t>
  </si>
  <si>
    <t>ORD-2745</t>
  </si>
  <si>
    <t>ORD-2746</t>
  </si>
  <si>
    <t>ORD-2747</t>
  </si>
  <si>
    <t>ORD-2748</t>
  </si>
  <si>
    <t>ORD-2749</t>
  </si>
  <si>
    <t>ORD-2750</t>
  </si>
  <si>
    <t>ORD-2751</t>
  </si>
  <si>
    <t>ORD-2752</t>
  </si>
  <si>
    <t>ORD-2753</t>
  </si>
  <si>
    <t>ORD-2754</t>
  </si>
  <si>
    <t>ORD-2755</t>
  </si>
  <si>
    <t>ORD-2756</t>
  </si>
  <si>
    <t>ORD-2757</t>
  </si>
  <si>
    <t>ORD-2758</t>
  </si>
  <si>
    <t>ORD-2759</t>
  </si>
  <si>
    <t>ORD-2760</t>
  </si>
  <si>
    <t>ORD-2761</t>
  </si>
  <si>
    <t>ORD-2762</t>
  </si>
  <si>
    <t>ORD-2763</t>
  </si>
  <si>
    <t>ORD-2764</t>
  </si>
  <si>
    <t>ORD-2765</t>
  </si>
  <si>
    <t>ORD-2766</t>
  </si>
  <si>
    <t>ORD-2767</t>
  </si>
  <si>
    <t>ORD-2768</t>
  </si>
  <si>
    <t>ORD-2769</t>
  </si>
  <si>
    <t>ORD-2770</t>
  </si>
  <si>
    <t>ORD-2771</t>
  </si>
  <si>
    <t>ORD-2772</t>
  </si>
  <si>
    <t>ORD-2773</t>
  </si>
  <si>
    <t>ORD-2774</t>
  </si>
  <si>
    <t>ORD-2775</t>
  </si>
  <si>
    <t>ORD-2776</t>
  </si>
  <si>
    <t>ORD-2777</t>
  </si>
  <si>
    <t>ORD-2778</t>
  </si>
  <si>
    <t>ORD-2779</t>
  </si>
  <si>
    <t>ORD-2780</t>
  </si>
  <si>
    <t>ORD-2781</t>
  </si>
  <si>
    <t>ORD-2782</t>
  </si>
  <si>
    <t>ORD-2783</t>
  </si>
  <si>
    <t>ORD-2784</t>
  </si>
  <si>
    <t>ORD-2785</t>
  </si>
  <si>
    <t>ORD-2786</t>
  </si>
  <si>
    <t>ORD-2787</t>
  </si>
  <si>
    <t>ORD-2788</t>
  </si>
  <si>
    <t>ORD-2789</t>
  </si>
  <si>
    <t>ORD-2790</t>
  </si>
  <si>
    <t>ORD-2791</t>
  </si>
  <si>
    <t>ORD-2792</t>
  </si>
  <si>
    <t>ORD-2793</t>
  </si>
  <si>
    <t>ORD-2794</t>
  </si>
  <si>
    <t>ORD-2795</t>
  </si>
  <si>
    <t>ORD-2796</t>
  </si>
  <si>
    <t>ORD-2797</t>
  </si>
  <si>
    <t>ORD-2798</t>
  </si>
  <si>
    <t>ORD-2799</t>
  </si>
  <si>
    <t>ORD-2800</t>
  </si>
  <si>
    <t>ORD-2801</t>
  </si>
  <si>
    <t>ORD-2802</t>
  </si>
  <si>
    <t>ORD-2803</t>
  </si>
  <si>
    <t>ORD-2804</t>
  </si>
  <si>
    <t>ORD-2805</t>
  </si>
  <si>
    <t>ORD-2806</t>
  </si>
  <si>
    <t>ORD-2807</t>
  </si>
  <si>
    <t>ORD-2808</t>
  </si>
  <si>
    <t>ORD-2809</t>
  </si>
  <si>
    <t>ORD-2810</t>
  </si>
  <si>
    <t>ORD-2811</t>
  </si>
  <si>
    <t>ORD-2812</t>
  </si>
  <si>
    <t>ORD-2813</t>
  </si>
  <si>
    <t>ORD-2814</t>
  </si>
  <si>
    <t>ORD-2815</t>
  </si>
  <si>
    <t>ORD-2816</t>
  </si>
  <si>
    <t>ORD-2817</t>
  </si>
  <si>
    <t>ORD-2818</t>
  </si>
  <si>
    <t>ORD-2819</t>
  </si>
  <si>
    <t>ORD-2820</t>
  </si>
  <si>
    <t>ORD-2821</t>
  </si>
  <si>
    <t>ORD-2822</t>
  </si>
  <si>
    <t>ORD-2823</t>
  </si>
  <si>
    <t>ORD-2824</t>
  </si>
  <si>
    <t>ORD-2825</t>
  </si>
  <si>
    <t>ORD-2826</t>
  </si>
  <si>
    <t>ORD-2827</t>
  </si>
  <si>
    <t>ORD-2828</t>
  </si>
  <si>
    <t>ORD-2829</t>
  </si>
  <si>
    <t>ORD-2830</t>
  </si>
  <si>
    <t>ORD-2831</t>
  </si>
  <si>
    <t>ORD-2832</t>
  </si>
  <si>
    <t>ORD-2833</t>
  </si>
  <si>
    <t>ORD-2834</t>
  </si>
  <si>
    <t>ORD-2835</t>
  </si>
  <si>
    <t>ORD-2836</t>
  </si>
  <si>
    <t>ORD-2837</t>
  </si>
  <si>
    <t>ORD-2838</t>
  </si>
  <si>
    <t>ORD-2839</t>
  </si>
  <si>
    <t>ORD-2840</t>
  </si>
  <si>
    <t>ORD-2841</t>
  </si>
  <si>
    <t>ORD-2842</t>
  </si>
  <si>
    <t>ORD-2843</t>
  </si>
  <si>
    <t>ORD-2844</t>
  </si>
  <si>
    <t>ORD-2845</t>
  </si>
  <si>
    <t>ORD-2846</t>
  </si>
  <si>
    <t>ORD-2847</t>
  </si>
  <si>
    <t>ORD-2848</t>
  </si>
  <si>
    <t>ORD-2849</t>
  </si>
  <si>
    <t>ORD-2850</t>
  </si>
  <si>
    <t>ORD-2851</t>
  </si>
  <si>
    <t>ORD-2852</t>
  </si>
  <si>
    <t>ORD-2853</t>
  </si>
  <si>
    <t>ORD-2854</t>
  </si>
  <si>
    <t>ORD-2855</t>
  </si>
  <si>
    <t>ORD-2856</t>
  </si>
  <si>
    <t>ORD-2857</t>
  </si>
  <si>
    <t>ORD-2858</t>
  </si>
  <si>
    <t>ORD-2859</t>
  </si>
  <si>
    <t>ORD-2860</t>
  </si>
  <si>
    <t>ORD-2861</t>
  </si>
  <si>
    <t>ORD-2862</t>
  </si>
  <si>
    <t>ORD-2863</t>
  </si>
  <si>
    <t>ORD-2864</t>
  </si>
  <si>
    <t>ORD-2865</t>
  </si>
  <si>
    <t>ORD-2866</t>
  </si>
  <si>
    <t>ORD-2867</t>
  </si>
  <si>
    <t>ORD-2868</t>
  </si>
  <si>
    <t>ORD-2869</t>
  </si>
  <si>
    <t>ORD-2870</t>
  </si>
  <si>
    <t>ORD-2871</t>
  </si>
  <si>
    <t>ORD-2872</t>
  </si>
  <si>
    <t>ORD-2873</t>
  </si>
  <si>
    <t>ORD-2874</t>
  </si>
  <si>
    <t>ORD-2875</t>
  </si>
  <si>
    <t>ORD-2876</t>
  </si>
  <si>
    <t>ORD-2877</t>
  </si>
  <si>
    <t>ORD-2878</t>
  </si>
  <si>
    <t>ORD-2879</t>
  </si>
  <si>
    <t>ORD-2880</t>
  </si>
  <si>
    <t>ORD-2881</t>
  </si>
  <si>
    <t>ORD-2882</t>
  </si>
  <si>
    <t>ORD-2883</t>
  </si>
  <si>
    <t>ORD-2884</t>
  </si>
  <si>
    <t>ORD-2885</t>
  </si>
  <si>
    <t>ORD-2886</t>
  </si>
  <si>
    <t>ORD-2887</t>
  </si>
  <si>
    <t>ORD-2888</t>
  </si>
  <si>
    <t>ORD-2889</t>
  </si>
  <si>
    <t>ORD-2890</t>
  </si>
  <si>
    <t>ORD-2891</t>
  </si>
  <si>
    <t>ORD-2892</t>
  </si>
  <si>
    <t>ORD-2893</t>
  </si>
  <si>
    <t>ORD-2894</t>
  </si>
  <si>
    <t>ORD-2895</t>
  </si>
  <si>
    <t>ORD-2896</t>
  </si>
  <si>
    <t>ORD-2897</t>
  </si>
  <si>
    <t>ORD-2898</t>
  </si>
  <si>
    <t>ORD-2899</t>
  </si>
  <si>
    <t>ORD-2900</t>
  </si>
  <si>
    <t>ORD-2901</t>
  </si>
  <si>
    <t>ORD-2902</t>
  </si>
  <si>
    <t>ORD-2903</t>
  </si>
  <si>
    <t>ORD-2904</t>
  </si>
  <si>
    <t>ORD-2905</t>
  </si>
  <si>
    <t>ORD-2906</t>
  </si>
  <si>
    <t>ORD-2907</t>
  </si>
  <si>
    <t>ORD-2908</t>
  </si>
  <si>
    <t>ORD-2909</t>
  </si>
  <si>
    <t>ORD-2910</t>
  </si>
  <si>
    <t>ORD-2911</t>
  </si>
  <si>
    <t>ORD-2912</t>
  </si>
  <si>
    <t>ORD-2913</t>
  </si>
  <si>
    <t>ORD-2914</t>
  </si>
  <si>
    <t>ORD-2915</t>
  </si>
  <si>
    <t>ORD-2916</t>
  </si>
  <si>
    <t>ORD-2917</t>
  </si>
  <si>
    <t>ORD-2918</t>
  </si>
  <si>
    <t>ORD-2919</t>
  </si>
  <si>
    <t>ORD-2920</t>
  </si>
  <si>
    <t>ORD-2921</t>
  </si>
  <si>
    <t>ORD-2922</t>
  </si>
  <si>
    <t>ORD-2923</t>
  </si>
  <si>
    <t>ORD-2924</t>
  </si>
  <si>
    <t>ORD-2925</t>
  </si>
  <si>
    <t>ORD-2926</t>
  </si>
  <si>
    <t>ORD-2927</t>
  </si>
  <si>
    <t>ORD-2928</t>
  </si>
  <si>
    <t>ORD-2929</t>
  </si>
  <si>
    <t>ORD-2930</t>
  </si>
  <si>
    <t>ORD-2931</t>
  </si>
  <si>
    <t>ORD-2932</t>
  </si>
  <si>
    <t>ORD-2933</t>
  </si>
  <si>
    <t>ORD-2934</t>
  </si>
  <si>
    <t>ORD-2935</t>
  </si>
  <si>
    <t>ORD-2936</t>
  </si>
  <si>
    <t>ORD-2937</t>
  </si>
  <si>
    <t>ORD-2938</t>
  </si>
  <si>
    <t>ORD-2939</t>
  </si>
  <si>
    <t>ORD-2940</t>
  </si>
  <si>
    <t>ORD-2941</t>
  </si>
  <si>
    <t>ORD-2942</t>
  </si>
  <si>
    <t>ORD-2943</t>
  </si>
  <si>
    <t>ORD-2944</t>
  </si>
  <si>
    <t>ORD-2945</t>
  </si>
  <si>
    <t>ORD-2946</t>
  </si>
  <si>
    <t>ORD-2947</t>
  </si>
  <si>
    <t>ORD-2948</t>
  </si>
  <si>
    <t>ORD-2949</t>
  </si>
  <si>
    <t>ORD-2950</t>
  </si>
  <si>
    <t>ORD-2951</t>
  </si>
  <si>
    <t>ORD-2952</t>
  </si>
  <si>
    <t>ORD-2953</t>
  </si>
  <si>
    <t>ORD-2954</t>
  </si>
  <si>
    <t>ORD-2955</t>
  </si>
  <si>
    <t>ORD-2956</t>
  </si>
  <si>
    <t>ORD-2957</t>
  </si>
  <si>
    <t>ORD-2958</t>
  </si>
  <si>
    <t>ORD-2959</t>
  </si>
  <si>
    <t>ORD-2960</t>
  </si>
  <si>
    <t>ORD-2961</t>
  </si>
  <si>
    <t>ORD-2962</t>
  </si>
  <si>
    <t>ORD-2963</t>
  </si>
  <si>
    <t>ORD-2964</t>
  </si>
  <si>
    <t>ORD-2965</t>
  </si>
  <si>
    <t>ORD-2966</t>
  </si>
  <si>
    <t>ORD-2967</t>
  </si>
  <si>
    <t>ORD-2968</t>
  </si>
  <si>
    <t>ORD-2969</t>
  </si>
  <si>
    <t>ORD-2970</t>
  </si>
  <si>
    <t>ORD-2971</t>
  </si>
  <si>
    <t>ORD-2972</t>
  </si>
  <si>
    <t>ORD-2973</t>
  </si>
  <si>
    <t>ORD-2974</t>
  </si>
  <si>
    <t>ORD-2975</t>
  </si>
  <si>
    <t>ORD-2976</t>
  </si>
  <si>
    <t>ORD-2977</t>
  </si>
  <si>
    <t>ORD-2978</t>
  </si>
  <si>
    <t>ORD-2979</t>
  </si>
  <si>
    <t>ORD-2980</t>
  </si>
  <si>
    <t>ORD-2981</t>
  </si>
  <si>
    <t>ORD-2982</t>
  </si>
  <si>
    <t>ORD-2983</t>
  </si>
  <si>
    <t>ORD-2984</t>
  </si>
  <si>
    <t>ORD-2985</t>
  </si>
  <si>
    <t>ORD-2986</t>
  </si>
  <si>
    <t>ORD-2987</t>
  </si>
  <si>
    <t>ORD-2988</t>
  </si>
  <si>
    <t>ORD-2989</t>
  </si>
  <si>
    <t>ORD-2990</t>
  </si>
  <si>
    <t>ORD-2991</t>
  </si>
  <si>
    <t>ORD-2992</t>
  </si>
  <si>
    <t>ORD-2993</t>
  </si>
  <si>
    <t>ORD-2994</t>
  </si>
  <si>
    <t>ORD-2995</t>
  </si>
  <si>
    <t>ORD-2996</t>
  </si>
  <si>
    <t>ORD-2997</t>
  </si>
  <si>
    <t>ORD-2998</t>
  </si>
  <si>
    <t>ORD-2999</t>
  </si>
  <si>
    <t>ORD-3000</t>
  </si>
  <si>
    <t>Total Revenue</t>
  </si>
  <si>
    <t>Total Orders</t>
  </si>
  <si>
    <t>Revenue by Region</t>
  </si>
  <si>
    <t>Revenue by Product Category</t>
  </si>
  <si>
    <t>Revenue by Sales Channel</t>
  </si>
  <si>
    <t>Top 5 Products by Revenue</t>
  </si>
  <si>
    <t>Sum of Revenue</t>
  </si>
  <si>
    <t>Sum of Quantity</t>
  </si>
  <si>
    <t>Average of Revenue</t>
  </si>
  <si>
    <t>Grand Total</t>
  </si>
  <si>
    <t>Jan</t>
  </si>
  <si>
    <t>Feb</t>
  </si>
  <si>
    <t>Mar</t>
  </si>
  <si>
    <t>Apr</t>
  </si>
  <si>
    <t>May</t>
  </si>
  <si>
    <t>Jun</t>
  </si>
  <si>
    <t>Jul</t>
  </si>
  <si>
    <t>Aug</t>
  </si>
  <si>
    <t>Sep</t>
  </si>
  <si>
    <t>Oct</t>
  </si>
  <si>
    <t>Nov</t>
  </si>
  <si>
    <t>Dec</t>
  </si>
  <si>
    <t>Revenue by Months</t>
  </si>
  <si>
    <t>Sum of Revenue2</t>
  </si>
  <si>
    <t>Revenue Growth %</t>
  </si>
  <si>
    <t>Row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</si>
</sst>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gt;=1000000]\$\ #,##0.00,,&quot;M&quot;;[&gt;=1000]\$\ #.00,&quot;K&quot;;\$\ ###.00"/>
    <numFmt numFmtId="165" formatCode="[&gt;=1000000]\ \$\ #,##0.00,,&quot;M&quot;;[&gt;=1000]\ \$\ #.00,&quot;K&quot;;\ \$\ ###.00"/>
  </numFmts>
  <fonts count="7">
    <font>
      <sz val="11"/>
      <color theme="1"/>
      <name val="Segoe UI"/>
      <family val="2"/>
      <scheme val="minor"/>
    </font>
    <font>
      <sz val="11"/>
      <color theme="1"/>
      <name val="Segoe UI"/>
      <family val="2"/>
      <scheme val="minor"/>
    </font>
    <font>
      <sz val="11"/>
      <name val="Carlito"/>
    </font>
    <font>
      <u/>
      <sz val="11"/>
      <color theme="10"/>
      <name val="Carlito"/>
    </font>
    <font>
      <b/>
      <sz val="14"/>
      <color theme="0"/>
      <name val="Segoe UI"/>
      <family val="2"/>
      <scheme val="minor"/>
    </font>
    <font>
      <sz val="14"/>
      <color theme="1"/>
      <name val="Segoe UI"/>
      <family val="2"/>
      <scheme val="minor"/>
    </font>
    <font>
      <sz val="11"/>
      <name val="Segoe UI"/>
      <family val="2"/>
      <scheme val="minor"/>
    </font>
  </fonts>
  <fills count="5">
    <fill>
      <patternFill patternType="none"/>
    </fill>
    <fill>
      <patternFill patternType="gray125"/>
    </fill>
    <fill>
      <patternFill patternType="solid">
        <fgColor rgb="FF202124"/>
        <bgColor indexed="64"/>
      </patternFill>
    </fill>
    <fill>
      <patternFill patternType="solid">
        <fgColor rgb="FF07464E"/>
        <bgColor indexed="64"/>
      </patternFill>
    </fill>
    <fill>
      <patternFill patternType="solid">
        <fgColor rgb="FF44DDEE"/>
        <bgColor indexed="64"/>
      </patternFill>
    </fill>
  </fills>
  <borders count="1">
    <border>
      <left/>
      <right/>
      <top/>
      <bottom/>
      <diagonal/>
    </border>
  </borders>
  <cellStyleXfs count="4">
    <xf numFmtId="0" fontId="0" fillId="0" borderId="0"/>
    <xf numFmtId="9" fontId="1" fillId="0" borderId="0" applyFont="0" applyFill="0" applyBorder="0" applyAlignment="0" applyProtection="0"/>
    <xf numFmtId="0" fontId="2" fillId="0" borderId="0"/>
    <xf numFmtId="0" fontId="3" fillId="0" borderId="0" applyNumberFormat="0" applyFill="0" applyBorder="0" applyAlignment="0" applyProtection="0"/>
  </cellStyleXfs>
  <cellXfs count="23">
    <xf numFmtId="0" fontId="0" fillId="0" borderId="0" xfId="0"/>
    <xf numFmtId="14" fontId="0" fillId="0" borderId="0" xfId="0" applyNumberFormat="1"/>
    <xf numFmtId="2" fontId="0" fillId="0" borderId="0" xfId="0" applyNumberFormat="1"/>
    <xf numFmtId="9" fontId="0" fillId="0" borderId="0" xfId="1" applyFont="1"/>
    <xf numFmtId="0" fontId="0" fillId="2" borderId="0" xfId="0" applyFill="1"/>
    <xf numFmtId="0" fontId="5" fillId="0" borderId="0" xfId="0" applyFont="1"/>
    <xf numFmtId="164" fontId="5" fillId="0" borderId="0" xfId="0" applyNumberFormat="1" applyFont="1"/>
    <xf numFmtId="0" fontId="5" fillId="0" borderId="0" xfId="0" pivotButton="1" applyFont="1"/>
    <xf numFmtId="0" fontId="5" fillId="0" borderId="0" xfId="0" applyFont="1" applyAlignment="1">
      <alignment horizontal="left"/>
    </xf>
    <xf numFmtId="2" fontId="5" fillId="0" borderId="0" xfId="0" applyNumberFormat="1" applyFont="1"/>
    <xf numFmtId="10" fontId="5" fillId="0" borderId="0" xfId="0" applyNumberFormat="1" applyFont="1"/>
    <xf numFmtId="0" fontId="4" fillId="3" borderId="0" xfId="0" applyFont="1" applyFill="1"/>
    <xf numFmtId="9" fontId="5" fillId="4" borderId="0" xfId="1" applyFont="1" applyFill="1"/>
    <xf numFmtId="10" fontId="5" fillId="4" borderId="0" xfId="0" applyNumberFormat="1" applyFont="1" applyFill="1"/>
    <xf numFmtId="0" fontId="5" fillId="4" borderId="0" xfId="0" applyFont="1" applyFill="1" applyAlignment="1">
      <alignment horizontal="left"/>
    </xf>
    <xf numFmtId="2" fontId="5" fillId="4" borderId="0" xfId="0" applyNumberFormat="1" applyFont="1" applyFill="1"/>
    <xf numFmtId="164" fontId="5" fillId="4" borderId="0" xfId="0" applyNumberFormat="1" applyFont="1" applyFill="1"/>
    <xf numFmtId="3" fontId="5" fillId="4" borderId="0" xfId="0" applyNumberFormat="1" applyFont="1" applyFill="1"/>
    <xf numFmtId="165" fontId="5" fillId="4" borderId="0" xfId="0" applyNumberFormat="1" applyFont="1" applyFill="1"/>
    <xf numFmtId="0" fontId="6" fillId="0" borderId="0" xfId="0" applyFont="1"/>
    <xf numFmtId="14" fontId="6" fillId="0" borderId="0" xfId="0" applyNumberFormat="1" applyFont="1"/>
    <xf numFmtId="2" fontId="6" fillId="0" borderId="0" xfId="0" applyNumberFormat="1" applyFont="1"/>
    <xf numFmtId="9" fontId="6" fillId="0" borderId="0" xfId="1" applyFont="1"/>
  </cellXfs>
  <cellStyles count="4">
    <cellStyle name="Hyperlink 2" xfId="3" xr:uid="{C2F072EC-1101-470F-A900-443734426AAA}"/>
    <cellStyle name="Normal" xfId="0" builtinId="0"/>
    <cellStyle name="Normal 2" xfId="2" xr:uid="{C19670B5-4B4D-47E2-8561-30E10DF8D3E1}"/>
    <cellStyle name="Percent" xfId="1" builtinId="5"/>
  </cellStyles>
  <dxfs count="113">
    <dxf>
      <font>
        <sz val="14"/>
      </font>
    </dxf>
    <dxf>
      <font>
        <sz val="14"/>
      </font>
    </dxf>
    <dxf>
      <font>
        <sz val="14"/>
      </font>
    </dxf>
    <dxf>
      <font>
        <sz val="14"/>
      </font>
    </dxf>
    <dxf>
      <font>
        <sz val="14"/>
      </font>
    </dxf>
    <dxf>
      <font>
        <sz val="14"/>
      </font>
    </dxf>
    <dxf>
      <fill>
        <patternFill patternType="solid">
          <bgColor rgb="FF44DDEE"/>
        </patternFill>
      </fill>
    </dxf>
    <dxf>
      <fill>
        <patternFill patternType="solid">
          <bgColor rgb="FF44DDEE"/>
        </patternFill>
      </fill>
    </dxf>
    <dxf>
      <font>
        <sz val="14"/>
      </font>
    </dxf>
    <dxf>
      <font>
        <sz val="14"/>
      </font>
    </dxf>
    <dxf>
      <font>
        <sz val="14"/>
      </font>
    </dxf>
    <dxf>
      <font>
        <sz val="14"/>
      </font>
    </dxf>
    <dxf>
      <font>
        <sz val="14"/>
      </font>
    </dxf>
    <dxf>
      <font>
        <sz val="14"/>
      </font>
    </dxf>
    <dxf>
      <fill>
        <patternFill patternType="solid">
          <bgColor rgb="FF44DDEE"/>
        </patternFill>
      </fill>
    </dxf>
    <dxf>
      <fill>
        <patternFill patternType="solid">
          <bgColor rgb="FF44DDEE"/>
        </patternFill>
      </fill>
    </dxf>
    <dxf>
      <font>
        <sz val="14"/>
      </font>
    </dxf>
    <dxf>
      <font>
        <sz val="14"/>
      </font>
    </dxf>
    <dxf>
      <font>
        <sz val="14"/>
      </font>
    </dxf>
    <dxf>
      <fill>
        <patternFill patternType="solid">
          <bgColor rgb="FF44DDEE"/>
        </patternFill>
      </fill>
    </dxf>
    <dxf>
      <font>
        <sz val="14"/>
      </font>
    </dxf>
    <dxf>
      <font>
        <sz val="14"/>
      </font>
    </dxf>
    <dxf>
      <font>
        <sz val="14"/>
      </font>
    </dxf>
    <dxf>
      <fill>
        <patternFill patternType="solid">
          <bgColor rgb="FF44DDEE"/>
        </patternFill>
      </fill>
    </dxf>
    <dxf>
      <font>
        <sz val="14"/>
      </font>
    </dxf>
    <dxf>
      <font>
        <sz val="14"/>
      </font>
    </dxf>
    <dxf>
      <font>
        <sz val="14"/>
      </font>
    </dxf>
    <dxf>
      <fill>
        <patternFill patternType="solid">
          <bgColor rgb="FF44DDEE"/>
        </patternFill>
      </fill>
    </dxf>
    <dxf>
      <font>
        <sz val="14"/>
      </font>
    </dxf>
    <dxf>
      <font>
        <sz val="14"/>
      </font>
    </dxf>
    <dxf>
      <font>
        <sz val="14"/>
      </font>
    </dxf>
    <dxf>
      <font>
        <sz val="14"/>
      </font>
    </dxf>
    <dxf>
      <font>
        <sz val="14"/>
      </font>
    </dxf>
    <dxf>
      <font>
        <sz val="14"/>
      </font>
    </dxf>
    <dxf>
      <fill>
        <patternFill patternType="solid">
          <bgColor rgb="FF44DDEE"/>
        </patternFill>
      </fill>
    </dxf>
    <dxf>
      <fill>
        <patternFill patternType="solid">
          <bgColor rgb="FF44DDEE"/>
        </patternFill>
      </fill>
    </dxf>
    <dxf>
      <font>
        <sz val="14"/>
      </font>
    </dxf>
    <dxf>
      <font>
        <sz val="14"/>
      </font>
    </dxf>
    <dxf>
      <font>
        <sz val="14"/>
      </font>
    </dxf>
    <dxf>
      <font>
        <sz val="14"/>
      </font>
    </dxf>
    <dxf>
      <font>
        <sz val="14"/>
      </font>
    </dxf>
    <dxf>
      <font>
        <sz val="14"/>
      </font>
    </dxf>
    <dxf>
      <fill>
        <patternFill patternType="solid">
          <bgColor rgb="FF44DDEE"/>
        </patternFill>
      </fill>
    </dxf>
    <dxf>
      <fill>
        <patternFill patternType="solid">
          <bgColor rgb="FF44DDEE"/>
        </patternFill>
      </fill>
    </dxf>
    <dxf>
      <font>
        <sz val="14"/>
      </font>
    </dxf>
    <dxf>
      <font>
        <sz val="14"/>
      </font>
    </dxf>
    <dxf>
      <font>
        <sz val="14"/>
      </font>
    </dxf>
    <dxf>
      <font>
        <sz val="14"/>
      </font>
    </dxf>
    <dxf>
      <font>
        <sz val="14"/>
      </font>
    </dxf>
    <dxf>
      <font>
        <sz val="14"/>
      </font>
    </dxf>
    <dxf>
      <fill>
        <patternFill patternType="solid">
          <bgColor rgb="FF44DDEE"/>
        </patternFill>
      </fill>
    </dxf>
    <dxf>
      <fill>
        <patternFill patternType="solid">
          <bgColor rgb="FF44DDEE"/>
        </patternFill>
      </fill>
    </dxf>
    <dxf>
      <font>
        <sz val="14"/>
      </font>
    </dxf>
    <dxf>
      <font>
        <sz val="14"/>
      </font>
    </dxf>
    <dxf>
      <font>
        <sz val="14"/>
      </font>
    </dxf>
    <dxf>
      <font>
        <sz val="14"/>
      </font>
    </dxf>
    <dxf>
      <font>
        <sz val="14"/>
      </font>
    </dxf>
    <dxf>
      <font>
        <sz val="14"/>
      </font>
    </dxf>
    <dxf>
      <fill>
        <patternFill patternType="solid">
          <bgColor rgb="FF44DDEE"/>
        </patternFill>
      </fill>
    </dxf>
    <dxf>
      <fill>
        <patternFill patternType="solid">
          <bgColor rgb="FF44DDEE"/>
        </patternFill>
      </fill>
    </dxf>
    <dxf>
      <font>
        <sz val="14"/>
      </font>
    </dxf>
    <dxf>
      <font>
        <sz val="14"/>
      </font>
    </dxf>
    <dxf>
      <font>
        <sz val="14"/>
      </font>
    </dxf>
    <dxf>
      <fill>
        <patternFill patternType="solid">
          <bgColor rgb="FF44DDEE"/>
        </patternFill>
      </fill>
    </dxf>
    <dxf>
      <font>
        <sz val="14"/>
      </font>
    </dxf>
    <dxf>
      <font>
        <sz val="14"/>
      </font>
    </dxf>
    <dxf>
      <font>
        <sz val="14"/>
      </font>
    </dxf>
    <dxf>
      <font>
        <sz val="14"/>
      </font>
    </dxf>
    <dxf>
      <font>
        <sz val="14"/>
      </font>
    </dxf>
    <dxf>
      <font>
        <sz val="14"/>
      </font>
    </dxf>
    <dxf>
      <fill>
        <patternFill patternType="solid">
          <bgColor rgb="FF44DDEE"/>
        </patternFill>
      </fill>
    </dxf>
    <dxf>
      <fill>
        <patternFill patternType="solid">
          <bgColor rgb="FF44DDEE"/>
        </patternFill>
      </fill>
    </dxf>
    <dxf>
      <font>
        <strike val="0"/>
        <outline val="0"/>
        <shadow val="0"/>
        <u val="none"/>
        <vertAlign val="baseline"/>
        <sz val="11"/>
        <color auto="1"/>
        <name val="Segoe UI"/>
        <family val="2"/>
        <scheme val="minor"/>
      </font>
      <numFmt numFmtId="2" formatCode="0.00"/>
    </dxf>
    <dxf>
      <font>
        <b val="0"/>
        <i val="0"/>
        <strike val="0"/>
        <condense val="0"/>
        <extend val="0"/>
        <outline val="0"/>
        <shadow val="0"/>
        <u val="none"/>
        <vertAlign val="baseline"/>
        <sz val="11"/>
        <color auto="1"/>
        <name val="Segoe UI"/>
        <family val="2"/>
        <scheme val="minor"/>
      </font>
    </dxf>
    <dxf>
      <font>
        <strike val="0"/>
        <outline val="0"/>
        <shadow val="0"/>
        <u val="none"/>
        <vertAlign val="baseline"/>
        <sz val="11"/>
        <color auto="1"/>
        <name val="Segoe UI"/>
        <family val="2"/>
        <scheme val="minor"/>
      </font>
      <numFmt numFmtId="2" formatCode="0.00"/>
    </dxf>
    <dxf>
      <font>
        <strike val="0"/>
        <outline val="0"/>
        <shadow val="0"/>
        <u val="none"/>
        <vertAlign val="baseline"/>
        <sz val="11"/>
        <color auto="1"/>
        <name val="Segoe UI"/>
        <family val="2"/>
        <scheme val="minor"/>
      </font>
    </dxf>
    <dxf>
      <font>
        <strike val="0"/>
        <outline val="0"/>
        <shadow val="0"/>
        <u val="none"/>
        <vertAlign val="baseline"/>
        <sz val="11"/>
        <color auto="1"/>
        <name val="Segoe UI"/>
        <family val="2"/>
        <scheme val="minor"/>
      </font>
    </dxf>
    <dxf>
      <font>
        <strike val="0"/>
        <outline val="0"/>
        <shadow val="0"/>
        <u val="none"/>
        <vertAlign val="baseline"/>
        <sz val="11"/>
        <color auto="1"/>
        <name val="Segoe UI"/>
        <family val="2"/>
        <scheme val="minor"/>
      </font>
    </dxf>
    <dxf>
      <font>
        <strike val="0"/>
        <outline val="0"/>
        <shadow val="0"/>
        <u val="none"/>
        <vertAlign val="baseline"/>
        <sz val="11"/>
        <color auto="1"/>
        <name val="Segoe UI"/>
        <family val="2"/>
        <scheme val="minor"/>
      </font>
    </dxf>
    <dxf>
      <font>
        <strike val="0"/>
        <outline val="0"/>
        <shadow val="0"/>
        <u val="none"/>
        <vertAlign val="baseline"/>
        <sz val="11"/>
        <color auto="1"/>
        <name val="Segoe UI"/>
        <family val="2"/>
        <scheme val="minor"/>
      </font>
    </dxf>
    <dxf>
      <font>
        <strike val="0"/>
        <outline val="0"/>
        <shadow val="0"/>
        <u val="none"/>
        <vertAlign val="baseline"/>
        <sz val="11"/>
        <color auto="1"/>
        <name val="Segoe UI"/>
        <family val="2"/>
        <scheme val="minor"/>
      </font>
    </dxf>
    <dxf>
      <font>
        <strike val="0"/>
        <outline val="0"/>
        <shadow val="0"/>
        <u val="none"/>
        <vertAlign val="baseline"/>
        <sz val="11"/>
        <color auto="1"/>
        <name val="Segoe UI"/>
        <family val="2"/>
        <scheme val="minor"/>
      </font>
    </dxf>
    <dxf>
      <font>
        <strike val="0"/>
        <outline val="0"/>
        <shadow val="0"/>
        <u val="none"/>
        <vertAlign val="baseline"/>
        <sz val="11"/>
        <color auto="1"/>
        <name val="Segoe UI"/>
        <family val="2"/>
        <scheme val="minor"/>
      </font>
      <numFmt numFmtId="166" formatCode="d/m/yyyy"/>
    </dxf>
    <dxf>
      <font>
        <strike val="0"/>
        <outline val="0"/>
        <shadow val="0"/>
        <u val="none"/>
        <vertAlign val="baseline"/>
        <sz val="11"/>
        <color auto="1"/>
        <name val="Segoe UI"/>
        <family val="2"/>
        <scheme val="minor"/>
      </font>
    </dxf>
    <dxf>
      <font>
        <strike val="0"/>
        <outline val="0"/>
        <shadow val="0"/>
        <u val="none"/>
        <vertAlign val="baseline"/>
        <sz val="11"/>
        <color auto="1"/>
        <name val="Segoe UI"/>
        <family val="2"/>
        <scheme val="minor"/>
      </font>
    </dxf>
    <dxf>
      <font>
        <b/>
        <i val="0"/>
        <sz val="14"/>
        <color theme="0"/>
        <name val="Segoe UI"/>
        <family val="2"/>
        <scheme val="minor"/>
      </font>
      <fill>
        <patternFill>
          <bgColor rgb="FF2A2A3C"/>
        </patternFill>
      </fill>
      <border>
        <left style="thin">
          <color rgb="FF3A3A4E"/>
        </left>
        <right style="thin">
          <color rgb="FF3A3A4E"/>
        </right>
        <top style="thin">
          <color rgb="FF3A3A4E"/>
        </top>
        <bottom style="thin">
          <color rgb="FF3A3A4E"/>
        </bottom>
      </border>
    </dxf>
    <dxf>
      <font>
        <sz val="12"/>
        <color theme="0"/>
      </font>
      <fill>
        <patternFill patternType="solid">
          <fgColor theme="0"/>
          <bgColor rgb="FF2A2A3C"/>
        </patternFill>
      </fill>
      <border>
        <left style="thin">
          <color rgb="FF3A3A4E"/>
        </left>
        <right style="thin">
          <color rgb="FF3A3A4E"/>
        </right>
        <top style="thin">
          <color rgb="FF3A3A4E"/>
        </top>
        <bottom style="thin">
          <color rgb="FF3A3A4E"/>
        </bottom>
      </border>
    </dxf>
    <dxf>
      <font>
        <b/>
        <i val="0"/>
        <sz val="12"/>
        <color theme="0"/>
        <name val="Segoe UI"/>
        <family val="2"/>
        <scheme val="minor"/>
      </font>
      <fill>
        <patternFill>
          <bgColor rgb="FF2A2A3C"/>
        </patternFill>
      </fill>
      <border>
        <left style="thin">
          <color rgb="FF3A3A4E"/>
        </left>
        <right style="thin">
          <color rgb="FF3A3A4E"/>
        </right>
        <top style="thin">
          <color rgb="FF3A3A4E"/>
        </top>
        <bottom style="thin">
          <color rgb="FF3A3A4E"/>
        </bottom>
      </border>
    </dxf>
    <dxf>
      <font>
        <sz val="12"/>
        <color theme="0"/>
      </font>
      <fill>
        <patternFill patternType="solid">
          <fgColor theme="0"/>
          <bgColor rgb="FF2A2A3C"/>
        </patternFill>
      </fill>
      <border>
        <left style="thin">
          <color rgb="FF3A3A4E"/>
        </left>
        <right style="thin">
          <color rgb="FF3A3A4E"/>
        </right>
        <top style="thin">
          <color rgb="FF3A3A4E"/>
        </top>
        <bottom style="thin">
          <color rgb="FF3A3A4E"/>
        </bottom>
      </border>
    </dxf>
    <dxf>
      <font>
        <b/>
        <i val="0"/>
        <sz val="12"/>
        <color theme="0"/>
        <name val="Segoe UI"/>
        <family val="2"/>
        <scheme val="minor"/>
      </font>
      <fill>
        <patternFill>
          <bgColor rgb="FF2A2A3C"/>
        </patternFill>
      </fill>
      <border>
        <left style="thin">
          <color rgb="FF3A3A4E"/>
        </left>
        <right style="thin">
          <color rgb="FF3A3A4E"/>
        </right>
        <top style="thin">
          <color rgb="FF3A3A4E"/>
        </top>
        <bottom style="thin">
          <color rgb="FF3A3A4E"/>
        </bottom>
      </border>
    </dxf>
    <dxf>
      <font>
        <sz val="12"/>
        <color theme="0"/>
      </font>
      <fill>
        <patternFill patternType="solid">
          <fgColor theme="0"/>
          <bgColor rgb="FF2A2A3C"/>
        </patternFill>
      </fill>
      <border>
        <left style="thin">
          <color rgb="FF3A3A4E"/>
        </left>
        <right style="thin">
          <color rgb="FF3A3A4E"/>
        </right>
        <top style="thin">
          <color rgb="FF3A3A4E"/>
        </top>
        <bottom style="thin">
          <color rgb="FF3A3A4E"/>
        </bottom>
      </border>
    </dxf>
    <dxf>
      <font>
        <color theme="0"/>
      </font>
      <fill>
        <patternFill patternType="solid">
          <fgColor theme="8" tint="-0.499984740745262"/>
          <bgColor theme="8" tint="-0.499984740745262"/>
        </patternFill>
      </fill>
      <border>
        <horizontal style="thin">
          <color theme="8" tint="-0.499984740745262"/>
        </horizontal>
      </border>
    </dxf>
    <dxf>
      <font>
        <b/>
        <color theme="0"/>
      </font>
      <fill>
        <patternFill patternType="solid">
          <fgColor theme="8" tint="-0.499984740745262"/>
          <bgColor theme="8" tint="-0.499984740745262"/>
        </patternFill>
      </fill>
      <border>
        <horizontal style="thin">
          <color theme="8" tint="-0.499984740745262"/>
        </horizontal>
      </border>
    </dxf>
    <dxf>
      <font>
        <b/>
        <color theme="1"/>
      </font>
    </dxf>
    <dxf>
      <font>
        <b/>
        <color theme="1"/>
      </font>
      <fill>
        <patternFill patternType="solid">
          <fgColor theme="8" tint="0.79998168889431442"/>
          <bgColor theme="8" tint="0.79998168889431442"/>
        </patternFill>
      </fill>
      <border>
        <top style="thin">
          <color theme="8" tint="0.39997558519241921"/>
        </top>
        <bottom style="thin">
          <color theme="8" tint="0.39997558519241921"/>
        </bottom>
      </border>
    </dxf>
    <dxf>
      <font>
        <b/>
        <color theme="1"/>
      </font>
      <border>
        <bottom style="thin">
          <color theme="8" tint="0.79998168889431442"/>
        </bottom>
      </border>
    </dxf>
    <dxf>
      <border>
        <left style="thin">
          <color theme="8" tint="0.79998168889431442"/>
        </left>
        <right style="thin">
          <color theme="8" tint="0.79998168889431442"/>
        </right>
      </border>
    </dxf>
    <dxf>
      <fill>
        <patternFill patternType="solid">
          <fgColor theme="8" tint="0.39997558519241921"/>
          <bgColor theme="8" tint="0.39997558519241921"/>
        </patternFill>
      </fill>
    </dxf>
    <dxf>
      <font>
        <b/>
        <color theme="0"/>
      </font>
      <fill>
        <patternFill patternType="solid">
          <fgColor theme="8" tint="-0.499984740745262"/>
          <bgColor theme="8" tint="-0.499984740745262"/>
        </patternFill>
      </fill>
    </dxf>
    <dxf>
      <font>
        <b/>
        <color theme="0"/>
      </font>
      <fill>
        <patternFill patternType="solid">
          <fgColor theme="8" tint="-0.499984740745262"/>
          <bgColor theme="8" tint="-0.499984740745262"/>
        </patternFill>
      </fill>
      <border>
        <bottom style="thin">
          <color theme="8"/>
        </bottom>
        <horizontal style="thin">
          <color theme="8" tint="-0.499984740745262"/>
        </horizontal>
      </border>
    </dxf>
    <dxf>
      <font>
        <color theme="1"/>
      </font>
      <fill>
        <patternFill patternType="solid">
          <fgColor theme="8" tint="0.59999389629810485"/>
          <bgColor theme="8" tint="0.59999389629810485"/>
        </patternFill>
      </fill>
      <border>
        <horizontal style="thin">
          <color theme="8" tint="0.79998168889431442"/>
        </horizontal>
      </border>
    </dxf>
    <dxf>
      <font>
        <b/>
        <i val="0"/>
        <u val="none"/>
        <sz val="14"/>
        <color theme="0"/>
      </font>
      <fill>
        <patternFill>
          <bgColor rgb="FF2A2A3C"/>
        </patternFill>
      </fill>
      <border diagonalUp="0" diagonalDown="0">
        <left style="thin">
          <color theme="4"/>
        </left>
        <right style="thin">
          <color theme="4"/>
        </right>
        <top style="thin">
          <color theme="4"/>
        </top>
        <bottom style="thin">
          <color theme="4"/>
        </bottom>
        <vertical/>
        <horizontal/>
      </border>
    </dxf>
    <dxf>
      <font>
        <color theme="1"/>
      </font>
      <fill>
        <patternFill>
          <bgColor rgb="FF2A2A3C"/>
        </patternFill>
      </fill>
      <border diagonalUp="0" diagonalDown="0">
        <left style="thin">
          <color auto="1"/>
        </left>
        <right style="thin">
          <color auto="1"/>
        </right>
        <top style="thin">
          <color auto="1"/>
        </top>
        <bottom style="thin">
          <color auto="1"/>
        </bottom>
        <vertical/>
        <horizontal/>
      </border>
    </dxf>
    <dxf>
      <font>
        <b/>
        <i val="0"/>
        <sz val="12"/>
        <color theme="0"/>
      </font>
      <fill>
        <patternFill>
          <bgColor rgb="FF2A2A3C"/>
        </patternFill>
      </fill>
      <border>
        <left style="thin">
          <color rgb="FF3A3A4E"/>
        </left>
        <right style="thin">
          <color rgb="FF3A3A4E"/>
        </right>
        <top style="thin">
          <color rgb="FF3A3A4E"/>
        </top>
        <bottom style="thin">
          <color rgb="FF3A3A4E"/>
        </bottom>
      </border>
    </dxf>
    <dxf>
      <fill>
        <patternFill>
          <bgColor rgb="FF2A2A3C"/>
        </patternFill>
      </fill>
      <border diagonalUp="0" diagonalDown="0">
        <left style="thin">
          <color rgb="FF3A3A4E"/>
        </left>
        <right style="thin">
          <color rgb="FF3A3A4E"/>
        </right>
        <top style="thin">
          <color rgb="FF3A3A4E"/>
        </top>
        <bottom style="thin">
          <color rgb="FF3A3A4E"/>
        </bottom>
        <vertical/>
        <horizontal/>
      </border>
    </dxf>
    <dxf>
      <font>
        <b/>
        <i val="0"/>
        <sz val="14"/>
        <color theme="0"/>
      </font>
      <fill>
        <patternFill>
          <bgColor rgb="FF2A2A3C"/>
        </patternFill>
      </fill>
      <border>
        <left style="thin">
          <color rgb="FF3A3A4E"/>
        </left>
        <right style="thin">
          <color rgb="FF3A3A4E"/>
        </right>
        <top style="thin">
          <color rgb="FF3A3A4E"/>
        </top>
        <bottom style="thin">
          <color rgb="FF3A3A4E"/>
        </bottom>
      </border>
    </dxf>
    <dxf>
      <fill>
        <patternFill>
          <bgColor rgb="FF2A2A3C"/>
        </patternFill>
      </fill>
      <border diagonalUp="0" diagonalDown="0">
        <left style="thin">
          <color rgb="FF3A3A4E"/>
        </left>
        <right style="thin">
          <color rgb="FF3A3A4E"/>
        </right>
        <top style="thin">
          <color rgb="FF3A3A4E"/>
        </top>
        <bottom style="thin">
          <color rgb="FF3A3A4E"/>
        </bottom>
        <vertical/>
        <horizontal/>
      </border>
    </dxf>
    <dxf>
      <font>
        <b/>
        <i val="0"/>
        <sz val="20"/>
        <color theme="1"/>
      </font>
      <fill>
        <patternFill>
          <bgColor theme="0"/>
        </patternFill>
      </fill>
      <border>
        <left style="thin">
          <color theme="4"/>
        </left>
        <right style="thin">
          <color theme="4"/>
        </right>
        <top style="thin">
          <color theme="4"/>
        </top>
        <bottom style="thin">
          <color theme="4"/>
        </bottom>
        <vertical/>
        <horizontal/>
      </border>
    </dxf>
    <dxf>
      <font>
        <color theme="1"/>
      </font>
      <fill>
        <patternFill>
          <bgColor rgb="FF2A2A3C"/>
        </patternFill>
      </fill>
      <border>
        <left style="thin">
          <color theme="4"/>
        </left>
        <right style="thin">
          <color theme="4"/>
        </right>
        <top style="thin">
          <color theme="4"/>
        </top>
        <bottom style="thin">
          <color theme="4"/>
        </bottom>
        <vertical/>
        <horizontal/>
      </border>
    </dxf>
    <dxf>
      <font>
        <sz val="16"/>
        <color theme="1"/>
      </font>
      <border>
        <vertical/>
        <horizontal/>
      </border>
    </dxf>
    <dxf>
      <font>
        <b/>
        <i val="0"/>
        <sz val="16"/>
        <color theme="1"/>
      </font>
      <border>
        <left style="thin">
          <color theme="4"/>
        </left>
        <right style="thin">
          <color theme="4"/>
        </right>
        <top style="thin">
          <color theme="4"/>
        </top>
        <bottom style="thin">
          <color theme="4"/>
        </bottom>
        <vertical/>
        <horizontal/>
      </border>
    </dxf>
    <dxf>
      <font>
        <sz val="16"/>
        <color theme="1"/>
      </font>
      <border>
        <vertical/>
        <horizontal/>
      </border>
    </dxf>
    <dxf>
      <font>
        <color theme="1"/>
      </font>
      <border>
        <left style="thin">
          <color theme="4"/>
        </left>
        <right style="thin">
          <color theme="4"/>
        </right>
        <top style="thin">
          <color theme="4"/>
        </top>
        <bottom style="thin">
          <color theme="4"/>
        </bottom>
        <vertical/>
        <horizontal/>
      </border>
    </dxf>
  </dxfs>
  <tableStyles count="10" defaultTableStyle="TableStyleMedium2" defaultPivotStyle="PivotStyleLight16">
    <tableStyle name="123456" pivot="0" table="0" count="9" xr9:uid="{D1E57E92-7890-4410-B4B1-6FB330F3C039}">
      <tableStyleElement type="wholeTable" dxfId="112"/>
      <tableStyleElement type="headerRow" dxfId="111"/>
    </tableStyle>
    <tableStyle name="123456/" pivot="0" table="0" count="9" xr9:uid="{EBDBADD7-320A-4743-94DD-A31A70B8B388}">
      <tableStyleElement type="wholeTable" dxfId="110"/>
      <tableStyleElement type="headerRow" dxfId="109"/>
    </tableStyle>
    <tableStyle name="NIght" pivot="0" table="0" count="10" xr9:uid="{5981E706-4285-4CB4-A815-CF55381CAA87}">
      <tableStyleElement type="wholeTable" dxfId="108"/>
      <tableStyleElement type="headerRow" dxfId="107"/>
    </tableStyle>
    <tableStyle name="Night 2" pivot="0" table="0" count="6" xr9:uid="{6E666D00-32ED-4579-955A-AFA8461BEA57}">
      <tableStyleElement type="wholeTable" dxfId="106"/>
      <tableStyleElement type="headerRow" dxfId="105"/>
    </tableStyle>
    <tableStyle name="Night 2 2" pivot="0" table="0" count="6" xr9:uid="{AAF7462A-6B2F-4691-B509-B66A48817996}">
      <tableStyleElement type="wholeTable" dxfId="104"/>
      <tableStyleElement type="headerRow" dxfId="103"/>
    </tableStyle>
    <tableStyle name="NIghter" pivot="0" table="0" count="10" xr9:uid="{0B593F93-B327-4141-9F1A-B780694300A7}">
      <tableStyleElement type="wholeTable" dxfId="102"/>
      <tableStyleElement type="headerRow" dxfId="101"/>
    </tableStyle>
    <tableStyle name="PivotStyleDark6 2" table="0" count="10" xr9:uid="{F37F2BA0-A485-4A9D-8CDB-58E06F13F84F}">
      <tableStyleElement type="wholeTable" dxfId="100"/>
      <tableStyleElement type="headerRow" dxfId="99"/>
      <tableStyleElement type="totalRow" dxfId="98"/>
      <tableStyleElement type="secondRowStripe" dxfId="97"/>
      <tableStyleElement type="secondColumnStripe" dxfId="96"/>
      <tableStyleElement type="firstSubtotalRow" dxfId="95"/>
      <tableStyleElement type="firstRowSubheading" dxfId="94"/>
      <tableStyleElement type="secondRowSubheading" dxfId="93"/>
      <tableStyleElement type="pageFieldLabels" dxfId="92"/>
      <tableStyleElement type="pageFieldValues" dxfId="91"/>
    </tableStyle>
    <tableStyle name="Slicer night" pivot="0" table="0" count="9" xr9:uid="{7FBB79EC-9065-4048-903E-BF5DCF80F524}">
      <tableStyleElement type="wholeTable" dxfId="90"/>
      <tableStyleElement type="headerRow" dxfId="89"/>
    </tableStyle>
    <tableStyle name="Slicer night 2" pivot="0" table="0" count="9" xr9:uid="{A4F2F2E9-DC30-4E8F-B8E5-DDDAE0069AF1}">
      <tableStyleElement type="wholeTable" dxfId="88"/>
      <tableStyleElement type="headerRow" dxfId="87"/>
    </tableStyle>
    <tableStyle name="Slicer night 2 2" pivot="0" table="0" count="9" xr9:uid="{E811849A-6813-436C-A0F8-B648A5ABF0AA}">
      <tableStyleElement type="wholeTable" dxfId="86"/>
      <tableStyleElement type="headerRow" dxfId="85"/>
    </tableStyle>
  </tableStyles>
  <colors>
    <mruColors>
      <color rgb="FF44DDEE"/>
      <color rgb="FF07464E"/>
      <color rgb="FFD4537E"/>
      <color rgb="FFF2994A"/>
      <color rgb="FF9BA3B4"/>
      <color rgb="FF5DCAA5"/>
      <color rgb="FF3A3A4E"/>
      <color rgb="FF2A2A3C"/>
      <color rgb="FF232332"/>
      <color rgb="FF6EC6FF"/>
    </mruColors>
  </colors>
  <extLst>
    <ext xmlns:x14="http://schemas.microsoft.com/office/spreadsheetml/2009/9/main" uri="{46F421CA-312F-682f-3DD2-61675219B42D}">
      <x14:dxfs count="2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2"/>
            <color theme="0"/>
          </font>
          <fill>
            <patternFill patternType="solid">
              <fgColor auto="1"/>
              <bgColor rgb="FF0C2A3D"/>
            </patternFill>
          </fill>
          <border>
            <left style="thin">
              <color rgb="FF999999"/>
            </left>
            <right style="thin">
              <color rgb="FF999999"/>
            </right>
            <top style="thin">
              <color rgb="FF999999"/>
            </top>
            <bottom style="thin">
              <color rgb="FF999999"/>
            </bottom>
            <vertical/>
            <horizontal/>
          </border>
        </dxf>
        <dxf>
          <font>
            <color theme="0"/>
          </font>
          <fill>
            <patternFill patternType="solid">
              <fgColor auto="1"/>
              <bgColor rgb="FF9BA3B4"/>
            </patternFill>
          </fill>
          <border>
            <left style="thin">
              <color rgb="FF999999"/>
            </left>
            <right style="thin">
              <color rgb="FF999999"/>
            </right>
            <top style="thin">
              <color rgb="FF999999"/>
            </top>
            <bottom style="thin">
              <color rgb="FF999999"/>
            </bottom>
            <vertical/>
            <horizontal/>
          </border>
        </dxf>
        <dxf>
          <font>
            <color theme="0"/>
          </font>
          <fill>
            <patternFill patternType="solid">
              <fgColor theme="4" tint="0.79992065187536243"/>
              <bgColor rgb="FF0C2A3D"/>
            </patternFill>
          </fill>
          <border>
            <left style="thin">
              <color rgb="FFCCCCCC"/>
            </left>
            <right style="thin">
              <color rgb="FFCCCCCC"/>
            </right>
            <top style="thin">
              <color rgb="FFCCCCCC"/>
            </top>
            <bottom style="thin">
              <color rgb="FFCCCCCC"/>
            </bottom>
            <vertical/>
            <horizontal/>
          </border>
        </dxf>
        <dxf>
          <font>
            <sz val="12"/>
            <color theme="0"/>
          </font>
          <fill>
            <patternFill patternType="solid">
              <fgColor theme="4" tint="0.59999389629810485"/>
              <bgColor rgb="FF6EC6FF"/>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sz val="12"/>
            <color theme="0"/>
          </font>
          <fill>
            <patternFill patternType="solid">
              <fgColor rgb="FFFFFFFF"/>
              <bgColor rgb="FF232332"/>
            </patternFill>
          </fill>
          <border>
            <left style="thin">
              <color rgb="FFCCCCCC"/>
            </left>
            <right style="thin">
              <color rgb="FFCCCCCC"/>
            </right>
            <top style="thin">
              <color rgb="FFCCCCCC"/>
            </top>
            <bottom style="thin">
              <color rgb="FFCCCCCC"/>
            </bottom>
            <vertical/>
            <horizontal/>
          </border>
        </dxf>
        <dxf>
          <font>
            <sz val="11"/>
            <color rgb="FF0C2A3D"/>
          </font>
          <fill>
            <patternFill>
              <bgColor rgb="FF6EC6FF"/>
            </patternFill>
          </fill>
          <border>
            <left style="thin">
              <color rgb="FF3A3A4E"/>
            </left>
            <right style="thin">
              <color rgb="FF3A3A4E"/>
            </right>
            <top style="thin">
              <color rgb="FF3A3A4E"/>
            </top>
            <bottom style="thin">
              <color rgb="FF3A3A4E"/>
            </bottom>
          </border>
        </dxf>
        <dxf>
          <font>
            <sz val="11"/>
            <color rgb="FF9BA3B4"/>
          </font>
          <fill>
            <patternFill>
              <bgColor rgb="FF232332"/>
            </patternFill>
          </fill>
          <border>
            <left style="thin">
              <color rgb="FF3A3A4E"/>
            </left>
            <right style="thin">
              <color rgb="FF3A3A4E"/>
            </right>
            <top style="thin">
              <color rgb="FF3A3A4E"/>
            </top>
            <bottom style="thin">
              <color rgb="FF3A3A4E"/>
            </bottom>
          </border>
        </dxf>
        <dxf>
          <font>
            <sz val="11"/>
            <color rgb="FF0C2A3D"/>
          </font>
          <fill>
            <patternFill>
              <bgColor rgb="FF6EC6FF"/>
            </patternFill>
          </fill>
          <border>
            <left style="thin">
              <color rgb="FF3A3A4E"/>
            </left>
            <right style="thin">
              <color rgb="FF3A3A4E"/>
            </right>
            <top style="thin">
              <color rgb="FF3A3A4E"/>
            </top>
            <bottom style="thin">
              <color rgb="FF3A3A4E"/>
            </bottom>
          </border>
        </dxf>
        <dxf>
          <font>
            <sz val="11"/>
            <color rgb="FF9BA3B4"/>
          </font>
          <fill>
            <patternFill>
              <bgColor rgb="FF232332"/>
            </patternFill>
          </fill>
          <border>
            <left style="thin">
              <color auto="1"/>
            </left>
            <right style="thin">
              <color auto="1"/>
            </right>
            <top style="thin">
              <color auto="1"/>
            </top>
            <bottom style="thin">
              <color auto="1"/>
            </bottom>
          </border>
        </dxf>
        <dxf>
          <font>
            <sz val="12"/>
            <color rgb="FF0C2A3D"/>
          </font>
          <fill>
            <patternFill>
              <bgColor rgb="FF6EC6FF"/>
            </patternFill>
          </fill>
          <border>
            <left style="thin">
              <color rgb="FF3A3A4E"/>
            </left>
            <right style="thin">
              <color rgb="FF3A3A4E"/>
            </right>
            <top style="thin">
              <color rgb="FF3A3A4E"/>
            </top>
            <bottom style="thin">
              <color rgb="FF3A3A4E"/>
            </bottom>
          </border>
        </dxf>
        <dxf>
          <font>
            <sz val="12"/>
            <color rgb="FF9BA3B4"/>
          </font>
          <fill>
            <patternFill>
              <bgColor rgb="FF232332"/>
            </patternFill>
          </fill>
          <border>
            <left style="thin">
              <color rgb="FF3A3A4E"/>
            </left>
            <right style="thin">
              <color rgb="FF3A3A4E"/>
            </right>
            <top style="thin">
              <color rgb="FF3A3A4E"/>
            </top>
            <bottom style="thin">
              <color rgb="FF3A3A4E"/>
            </bottom>
          </border>
        </dxf>
        <dxf>
          <font>
            <sz val="12"/>
            <color rgb="FF0C2A3D"/>
          </font>
          <fill>
            <patternFill>
              <bgColor rgb="FF6EC6FF"/>
            </patternFill>
          </fill>
          <border>
            <left style="thin">
              <color rgb="FF3A3A4E"/>
            </left>
            <right style="thin">
              <color rgb="FF3A3A4E"/>
            </right>
            <top style="thin">
              <color rgb="FF3A3A4E"/>
            </top>
            <bottom style="thin">
              <color rgb="FF3A3A4E"/>
            </bottom>
          </border>
        </dxf>
        <dxf>
          <font>
            <sz val="12"/>
            <color rgb="FF9BA3B4"/>
          </font>
          <fill>
            <patternFill>
              <bgColor rgb="FF232332"/>
            </patternFill>
          </fill>
          <border>
            <left style="thin">
              <color auto="1"/>
            </left>
            <right style="thin">
              <color auto="1"/>
            </right>
            <top style="thin">
              <color auto="1"/>
            </top>
            <bottom style="thin">
              <color auto="1"/>
            </bottom>
          </border>
        </dxf>
        <dxf>
          <font>
            <color theme="0"/>
          </font>
          <fill>
            <patternFill patternType="solid">
              <fgColor auto="1"/>
              <bgColor rgb="FF9BA3B4"/>
            </patternFill>
          </fill>
          <border>
            <left style="thin">
              <color rgb="FF999999"/>
            </left>
            <right style="thin">
              <color rgb="FF999999"/>
            </right>
            <top style="thin">
              <color rgb="FF999999"/>
            </top>
            <bottom style="thin">
              <color rgb="FF999999"/>
            </bottom>
            <vertical/>
            <horizontal/>
          </border>
        </dxf>
        <dxf>
          <font>
            <color theme="0"/>
          </font>
          <fill>
            <patternFill patternType="solid">
              <fgColor auto="1"/>
              <bgColor rgb="FF6EC6FF"/>
            </patternFill>
          </fill>
          <border>
            <left style="thin">
              <color rgb="FF999999"/>
            </left>
            <right style="thin">
              <color rgb="FF999999"/>
            </right>
            <top style="thin">
              <color rgb="FF999999"/>
            </top>
            <bottom style="thin">
              <color rgb="FF999999"/>
            </bottom>
            <vertical/>
            <horizontal/>
          </border>
        </dxf>
        <dxf>
          <font>
            <color theme="0"/>
          </font>
          <fill>
            <patternFill patternType="solid">
              <fgColor auto="1"/>
              <bgColor rgb="FF9BA3B4"/>
            </patternFill>
          </fill>
          <border>
            <left style="thin">
              <color rgb="FF999999"/>
            </left>
            <right style="thin">
              <color rgb="FF999999"/>
            </right>
            <top style="thin">
              <color rgb="FF999999"/>
            </top>
            <bottom style="thin">
              <color rgb="FF999999"/>
            </bottom>
            <vertical/>
            <horizontal/>
          </border>
        </dxf>
        <dxf>
          <font>
            <color theme="0"/>
          </font>
          <fill>
            <patternFill patternType="solid">
              <fgColor auto="1"/>
              <bgColor rgb="FF6EC6FF"/>
            </patternFill>
          </fill>
          <border>
            <left style="thin">
              <color rgb="FF999999"/>
            </left>
            <right style="thin">
              <color rgb="FF999999"/>
            </right>
            <top style="thin">
              <color rgb="FF999999"/>
            </top>
            <bottom style="thin">
              <color rgb="FF999999"/>
            </bottom>
            <vertical/>
            <horizontal/>
          </border>
        </dxf>
        <dxf>
          <font>
            <color theme="0"/>
          </font>
          <fill>
            <patternFill patternType="solid">
              <fgColor theme="4" tint="0.79995117038483843"/>
              <bgColor rgb="FF9BA3B4"/>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theme="4" tint="0.59999389629810485"/>
              <bgColor rgb="FF9BA3B4"/>
            </patternFill>
          </fill>
          <border>
            <left style="thin">
              <color rgb="FF999999"/>
            </left>
            <right style="thin">
              <color rgb="FF999999"/>
            </right>
            <top style="thin">
              <color rgb="FF999999"/>
            </top>
            <bottom style="thin">
              <color rgb="FF999999"/>
            </bottom>
            <vertical/>
            <horizontal/>
          </border>
        </dxf>
        <dxf>
          <font>
            <color theme="0"/>
          </font>
          <fill>
            <patternFill patternType="solid">
              <fgColor rgb="FFFFFFFF"/>
              <bgColor rgb="FF6EC6FF"/>
            </patternFill>
          </fill>
          <border>
            <left style="thin">
              <color rgb="FFE0E0E0"/>
            </left>
            <right style="thin">
              <color rgb="FFE0E0E0"/>
            </right>
            <top style="thin">
              <color rgb="FFE0E0E0"/>
            </top>
            <bottom style="thin">
              <color rgb="FFE0E0E0"/>
            </bottom>
            <vertical/>
            <horizontal/>
          </border>
        </dxf>
        <dxf>
          <font>
            <color theme="0"/>
          </font>
          <fill>
            <patternFill patternType="solid">
              <fgColor rgb="FFFFFFFF"/>
              <bgColor rgb="FF6EC6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Night 2">
        <x14:slicerStyle name="NIght">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Night 2">
          <x14:slicerStyleElements>
            <x14:slicerStyleElement type="unselectedItemWithData" dxfId="15"/>
            <x14:slicerStyleElement type="selectedItemWithData" dxfId="14"/>
            <x14:slicerStyleElement type="hoveredUnselectedItemWithData" dxfId="13"/>
            <x14:slicerStyleElement type="hoveredSelectedItemWithData" dxfId="12"/>
          </x14:slicerStyleElements>
        </x14:slicerStyle>
        <x14:slicerStyle name="Night 2 2">
          <x14:slicerStyleElements>
            <x14:slicerStyleElement type="unselectedItemWithData" dxfId="11"/>
            <x14:slicerStyleElement type="selectedItemWithData" dxfId="10"/>
            <x14:slicerStyleElement type="hoveredUnselectedItemWithData" dxfId="9"/>
            <x14:slicerStyleElement type="hoveredSelectedItemWithData" dxfId="8"/>
          </x14:slicerStyleElements>
        </x14:slicerStyle>
        <x14:slicerStyle name="NIght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35">
        <dxf>
          <fill>
            <patternFill>
              <bgColor rgb="FF3A3A4E"/>
            </patternFill>
          </fill>
        </dxf>
        <dxf>
          <fill>
            <patternFill patternType="solid">
              <fgColor theme="0" tint="-0.14993743705557422"/>
              <bgColor rgb="FF232332"/>
            </patternFill>
          </fill>
        </dxf>
        <dxf>
          <fill>
            <patternFill patternType="solid">
              <fgColor theme="0"/>
              <bgColor rgb="FF6EC6FF"/>
            </patternFill>
          </fill>
        </dxf>
        <dxf>
          <font>
            <sz val="12"/>
            <color rgb="FF9BA3B4"/>
            <name val="Segoe UI"/>
            <family val="2"/>
            <scheme val="minor"/>
          </font>
        </dxf>
        <dxf>
          <font>
            <sz val="12"/>
            <color rgb="FF9BA3B4"/>
            <name val="Segoe UI"/>
            <family val="2"/>
            <scheme val="minor"/>
          </font>
        </dxf>
        <dxf>
          <font>
            <sz val="12"/>
            <color rgb="FF9BA3B4"/>
            <name val="Segoe UI"/>
            <family val="2"/>
            <scheme val="minor"/>
          </font>
        </dxf>
        <dxf>
          <font>
            <sz val="12"/>
            <color rgb="FF9BA3B4"/>
            <name val="Segoe UI"/>
            <family val="2"/>
            <scheme val="minor"/>
          </font>
        </dxf>
        <dxf>
          <fill>
            <patternFill>
              <bgColor rgb="FF3A3A4E"/>
            </patternFill>
          </fill>
        </dxf>
        <dxf>
          <fill>
            <patternFill patternType="solid">
              <fgColor theme="0" tint="-0.14993743705557422"/>
              <bgColor rgb="FF232332"/>
            </patternFill>
          </fill>
        </dxf>
        <dxf>
          <fill>
            <patternFill patternType="solid">
              <fgColor theme="0"/>
              <bgColor rgb="FF6EC6FF"/>
            </patternFill>
          </fill>
        </dxf>
        <dxf>
          <font>
            <sz val="9"/>
            <color rgb="FF9BA3B4"/>
            <name val="Segoe UI"/>
            <family val="2"/>
            <scheme val="minor"/>
          </font>
        </dxf>
        <dxf>
          <font>
            <sz val="9"/>
            <color rgb="FF9BA3B4"/>
            <name val="Segoe UI"/>
            <family val="2"/>
            <scheme val="minor"/>
          </font>
        </dxf>
        <dxf>
          <font>
            <sz val="10"/>
            <color rgb="FF9BA3B4"/>
            <name val="Segoe UI"/>
            <family val="2"/>
            <scheme val="minor"/>
          </font>
        </dxf>
        <dxf>
          <font>
            <sz val="11"/>
            <color rgb="FF9BA3B4"/>
            <name val="Segoe UI"/>
            <family val="2"/>
            <scheme val="minor"/>
          </font>
        </dxf>
        <dxf>
          <fill>
            <patternFill>
              <bgColor rgb="FF6EC6FF"/>
            </patternFill>
          </fill>
        </dxf>
        <dxf>
          <fill>
            <patternFill patternType="solid">
              <fgColor theme="0" tint="-0.14996795556505021"/>
              <bgColor rgb="FF9BA3B4"/>
            </patternFill>
          </fill>
        </dxf>
        <dxf>
          <fill>
            <patternFill patternType="solid">
              <fgColor theme="0"/>
              <bgColor rgb="FF232332"/>
            </patternFill>
          </fill>
        </dxf>
        <dxf>
          <font>
            <sz val="9"/>
            <color rgb="FF9BA3B4"/>
            <name val="Segoe UI"/>
            <family val="2"/>
            <scheme val="minor"/>
          </font>
        </dxf>
        <dxf>
          <font>
            <sz val="9"/>
            <color rgb="FF9BA3B4"/>
            <name val="Segoe UI"/>
            <family val="2"/>
            <scheme val="minor"/>
          </font>
        </dxf>
        <dxf>
          <font>
            <sz val="10"/>
            <color rgb="FF9BA3B4"/>
            <name val="Segoe UI"/>
            <family val="2"/>
            <scheme val="minor"/>
          </font>
        </dxf>
        <dxf>
          <font>
            <sz val="11"/>
            <color rgb="FF9BA3B4"/>
            <name val="Segoe UI"/>
            <family val="2"/>
            <scheme val="minor"/>
          </font>
        </dxf>
        <dxf>
          <fill>
            <patternFill patternType="solid">
              <fgColor theme="4" tint="0.39997558519241921"/>
              <bgColor theme="4" tint="0.39997558519241921"/>
            </patternFill>
          </fill>
          <border>
            <vertical/>
            <horizontal/>
          </border>
        </dxf>
        <dxf>
          <fill>
            <gradientFill degree="90">
              <stop position="0">
                <color theme="0" tint="-0.14999847407452621"/>
              </stop>
              <stop position="1">
                <color theme="0" tint="-0.14999847407452621"/>
              </stop>
            </gradientFill>
          </fill>
          <border>
            <vertical/>
            <horizontal/>
          </border>
        </dxf>
        <dxf>
          <fill>
            <gradientFill degree="90">
              <stop position="0">
                <color theme="4" tint="0.59999389629810485"/>
              </stop>
              <stop position="1">
                <color theme="4"/>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4" tint="-0.249977111117893"/>
          </font>
          <border>
            <left/>
            <right/>
            <top/>
            <bottom/>
            <vertical/>
            <horizontal/>
          </border>
        </dxf>
        <dxf>
          <fill>
            <patternFill patternType="solid">
              <fgColor theme="4" tint="0.39997558519241921"/>
              <bgColor theme="4" tint="0.39997558519241921"/>
            </patternFill>
          </fill>
          <border>
            <vertical/>
            <horizontal/>
          </border>
        </dxf>
        <dxf>
          <fill>
            <gradientFill degree="90">
              <stop position="0">
                <color theme="0" tint="-0.14999847407452621"/>
              </stop>
              <stop position="1">
                <color theme="0" tint="-0.14999847407452621"/>
              </stop>
            </gradientFill>
          </fill>
          <border>
            <vertical/>
            <horizontal/>
          </border>
        </dxf>
        <dxf>
          <fill>
            <gradientFill degree="90">
              <stop position="0">
                <color theme="4" tint="0.59999389629810485"/>
              </stop>
              <stop position="1">
                <color theme="4"/>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4" tint="-0.249977111117893"/>
          </font>
          <border>
            <left/>
            <right/>
            <top/>
            <bottom/>
            <vertical/>
            <horizontal/>
          </border>
        </dxf>
      </x15:dxfs>
    </ext>
    <ext xmlns:x15="http://schemas.microsoft.com/office/spreadsheetml/2010/11/main" uri="{9260A510-F301-46a8-8635-F512D64BE5F5}">
      <x15:timelineStyles defaultTimelineStyle="TimeSlicerStyleLight1">
        <x15:timelineStyle name="123456">
          <x15:timelineStyleElements>
            <x15:timelineStyleElement type="selectionLabel" dxfId="34"/>
            <x15:timelineStyleElement type="timeLevel" dxfId="33"/>
            <x15:timelineStyleElement type="periodLabel1" dxfId="32"/>
            <x15:timelineStyleElement type="periodLabel2" dxfId="31"/>
            <x15:timelineStyleElement type="selectedTimeBlock" dxfId="30"/>
            <x15:timelineStyleElement type="unselectedTimeBlock" dxfId="29"/>
            <x15:timelineStyleElement type="selectedTimeBlockSpace" dxfId="28"/>
          </x15:timelineStyleElements>
        </x15:timelineStyle>
        <x15:timelineStyle name="123456/">
          <x15:timelineStyleElements>
            <x15:timelineStyleElement type="selectionLabel" dxfId="27"/>
            <x15:timelineStyleElement type="timeLevel" dxfId="26"/>
            <x15:timelineStyleElement type="periodLabel1" dxfId="25"/>
            <x15:timelineStyleElement type="periodLabel2" dxfId="24"/>
            <x15:timelineStyleElement type="selectedTimeBlock" dxfId="23"/>
            <x15:timelineStyleElement type="unselectedTimeBlock" dxfId="22"/>
            <x15:timelineStyleElement type="selectedTimeBlockSpace" dxfId="21"/>
          </x15:timelineStyleElements>
        </x15:timelineStyle>
        <x15:timelineStyle name="Slicer night">
          <x15:timelineStyleElements>
            <x15:timelineStyleElement type="selectionLabel" dxfId="20"/>
            <x15:timelineStyleElement type="timeLevel" dxfId="19"/>
            <x15:timelineStyleElement type="periodLabel1" dxfId="18"/>
            <x15:timelineStyleElement type="periodLabel2" dxfId="17"/>
            <x15:timelineStyleElement type="selectedTimeBlock" dxfId="16"/>
            <x15:timelineStyleElement type="unselectedTimeBlock" dxfId="15"/>
            <x15:timelineStyleElement type="selectedTimeBlockSpace" dxfId="14"/>
          </x15:timelineStyleElements>
        </x15:timelineStyle>
        <x15:timelineStyle name="Slicer night 2">
          <x15:timelineStyleElements>
            <x15:timelineStyleElement type="selectionLabel" dxfId="13"/>
            <x15:timelineStyleElement type="timeLevel" dxfId="12"/>
            <x15:timelineStyleElement type="periodLabel1" dxfId="11"/>
            <x15:timelineStyleElement type="periodLabel2" dxfId="10"/>
            <x15:timelineStyleElement type="selectedTimeBlock" dxfId="9"/>
            <x15:timelineStyleElement type="unselectedTimeBlock" dxfId="8"/>
            <x15:timelineStyleElement type="selectedTimeBlockSpace" dxfId="7"/>
          </x15:timelineStyleElements>
        </x15:timelineStyle>
        <x15:timelineStyle name="Slicer night 2 2">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theme" Target="theme/theme1.xml"/><Relationship Id="rId5" Type="http://schemas.microsoft.com/office/2007/relationships/slicerCache" Target="slicerCaches/slicerCache1.xml"/><Relationship Id="rId10" Type="http://schemas.microsoft.com/office/2011/relationships/timelineCache" Target="timelineCaches/timelineCache1.xml"/><Relationship Id="rId4" Type="http://schemas.openxmlformats.org/officeDocument/2006/relationships/pivotCacheDefinition" Target="pivotCache/pivotCacheDefinition1.xml"/><Relationship Id="rId9" Type="http://schemas.microsoft.com/office/2007/relationships/slicerCache" Target="slicerCaches/slicerCache5.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[sales_data.xlsx]PivotTable!Revenue by Months</c:name>
    <c:fmtId val="5"/>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solidFill>
                  <a:schemeClr val="bg1"/>
                </a:solidFill>
              </a:rPr>
              <a:t>Revenue</a:t>
            </a:r>
            <a:r>
              <a:rPr lang="en-US" b="1" baseline="0">
                <a:solidFill>
                  <a:schemeClr val="bg1"/>
                </a:solidFill>
              </a:rPr>
              <a:t> by Month</a:t>
            </a:r>
            <a:endParaRPr lang="en-US" b="1">
              <a:solidFill>
                <a:schemeClr val="bg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gt;=1000000]#,##0,,&quot;M&quot;;[&gt;=1000]##0,&quot;K&quot;;##0" sourceLinked="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gt;=1000000]#,##0,,&quot;M&quot;;[&gt;=1000]##0,&quot;K&quot;;##0" sourceLinked="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rgbClr val="6EC6FF"/>
            </a:solidFill>
            <a:round/>
          </a:ln>
          <a:effectLst/>
        </c:spPr>
        <c:marker>
          <c:symbol val="none"/>
        </c:marker>
        <c:dLbl>
          <c:idx val="0"/>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rgbClr val="6EC6FF"/>
            </a:solidFill>
            <a:round/>
          </a:ln>
          <a:effectLst/>
        </c:spPr>
        <c:marker>
          <c:symbol val="none"/>
        </c:marker>
        <c:dLbl>
          <c:idx val="0"/>
          <c:layout>
            <c:manualLayout>
              <c:x val="-2.5167244321242791E-2"/>
              <c:y val="3.7303463065477209E-2"/>
            </c:manualLayout>
          </c:layout>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rgbClr val="6EC6FF"/>
            </a:solidFill>
            <a:round/>
          </a:ln>
          <a:effectLst/>
        </c:spPr>
        <c:marker>
          <c:symbol val="none"/>
        </c:marker>
        <c:dLbl>
          <c:idx val="0"/>
          <c:layout>
            <c:manualLayout>
              <c:x val="-2.7406316537194941E-2"/>
              <c:y val="4.8858438210149513E-2"/>
            </c:manualLayout>
          </c:layout>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rgbClr val="6EC6FF"/>
            </a:solidFill>
            <a:round/>
          </a:ln>
          <a:effectLst/>
        </c:spPr>
        <c:marker>
          <c:symbol val="none"/>
        </c:marker>
        <c:dLbl>
          <c:idx val="0"/>
          <c:layout>
            <c:manualLayout>
              <c:x val="-2.9235760699904415E-2"/>
              <c:y val="4.8858438210149513E-2"/>
            </c:manualLayout>
          </c:layout>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rgbClr val="6EC6FF"/>
            </a:solidFill>
            <a:round/>
          </a:ln>
          <a:effectLst/>
        </c:spPr>
        <c:marker>
          <c:symbol val="none"/>
        </c:marker>
        <c:dLbl>
          <c:idx val="0"/>
          <c:layout>
            <c:manualLayout>
              <c:x val="-2.9235760699904467E-2"/>
              <c:y val="5.2710096591706855E-2"/>
            </c:manualLayout>
          </c:layout>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rgbClr val="6EC6FF"/>
            </a:solidFill>
            <a:round/>
          </a:ln>
          <a:effectLst/>
        </c:spPr>
        <c:marker>
          <c:symbol val="none"/>
        </c:marker>
        <c:dLbl>
          <c:idx val="0"/>
          <c:layout>
            <c:manualLayout>
              <c:x val="-1.8386383690140107E-2"/>
              <c:y val="5.2710096591706855E-2"/>
            </c:manualLayout>
          </c:layout>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rgbClr val="6EC6FF"/>
            </a:solidFill>
            <a:round/>
          </a:ln>
          <a:effectLst/>
        </c:spPr>
        <c:marker>
          <c:symbol val="none"/>
        </c:marker>
      </c:pivotFmt>
      <c:pivotFmt>
        <c:idx val="9"/>
        <c:spPr>
          <a:ln w="28575" cap="rnd">
            <a:solidFill>
              <a:srgbClr val="6EC6FF"/>
            </a:solidFill>
            <a:round/>
          </a:ln>
          <a:effectLst/>
        </c:spPr>
        <c:marker>
          <c:symbol val="none"/>
        </c:marker>
      </c:pivotFmt>
    </c:pivotFmts>
    <c:plotArea>
      <c:layout>
        <c:manualLayout>
          <c:layoutTarget val="inner"/>
          <c:xMode val="edge"/>
          <c:yMode val="edge"/>
          <c:x val="8.5207333623575521E-2"/>
          <c:y val="0.12346415122035398"/>
          <c:w val="0.90182968976868505"/>
          <c:h val="0.69192101006859896"/>
        </c:manualLayout>
      </c:layout>
      <c:lineChart>
        <c:grouping val="standard"/>
        <c:varyColors val="0"/>
        <c:ser>
          <c:idx val="0"/>
          <c:order val="0"/>
          <c:tx>
            <c:strRef>
              <c:f>PivotTable!$D$2</c:f>
              <c:strCache>
                <c:ptCount val="1"/>
                <c:pt idx="0">
                  <c:v>Total</c:v>
                </c:pt>
              </c:strCache>
            </c:strRef>
          </c:tx>
          <c:spPr>
            <a:ln w="28575" cap="rnd">
              <a:solidFill>
                <a:srgbClr val="6EC6FF"/>
              </a:solidFill>
              <a:round/>
            </a:ln>
            <a:effectLst/>
          </c:spPr>
          <c:marker>
            <c:symbol val="none"/>
          </c:marker>
          <c:dPt>
            <c:idx val="0"/>
            <c:marker>
              <c:symbol val="none"/>
            </c:marker>
            <c:bubble3D val="0"/>
            <c:spPr>
              <a:ln w="28575" cap="rnd">
                <a:solidFill>
                  <a:srgbClr val="6EC6FF"/>
                </a:solidFill>
                <a:round/>
              </a:ln>
              <a:effectLst/>
            </c:spPr>
            <c:extLst>
              <c:ext xmlns:c16="http://schemas.microsoft.com/office/drawing/2014/chart" uri="{C3380CC4-5D6E-409C-BE32-E72D297353CC}">
                <c16:uniqueId val="{00000000-256C-4834-A232-46ED43F40F22}"/>
              </c:ext>
            </c:extLst>
          </c:dPt>
          <c:dPt>
            <c:idx val="1"/>
            <c:marker>
              <c:symbol val="none"/>
            </c:marker>
            <c:bubble3D val="0"/>
            <c:spPr>
              <a:ln w="28575" cap="rnd">
                <a:solidFill>
                  <a:srgbClr val="6EC6FF"/>
                </a:solidFill>
                <a:round/>
              </a:ln>
              <a:effectLst/>
            </c:spPr>
            <c:extLst>
              <c:ext xmlns:c16="http://schemas.microsoft.com/office/drawing/2014/chart" uri="{C3380CC4-5D6E-409C-BE32-E72D297353CC}">
                <c16:uniqueId val="{00000004-B55C-45F1-8E49-CC0AD8ED032F}"/>
              </c:ext>
            </c:extLst>
          </c:dPt>
          <c:dPt>
            <c:idx val="4"/>
            <c:marker>
              <c:symbol val="none"/>
            </c:marker>
            <c:bubble3D val="0"/>
            <c:spPr>
              <a:ln w="28575" cap="rnd">
                <a:solidFill>
                  <a:srgbClr val="6EC6FF"/>
                </a:solidFill>
                <a:round/>
              </a:ln>
              <a:effectLst/>
            </c:spPr>
            <c:extLst>
              <c:ext xmlns:c16="http://schemas.microsoft.com/office/drawing/2014/chart" uri="{C3380CC4-5D6E-409C-BE32-E72D297353CC}">
                <c16:uniqueId val="{00000003-B55C-45F1-8E49-CC0AD8ED032F}"/>
              </c:ext>
            </c:extLst>
          </c:dPt>
          <c:dPt>
            <c:idx val="6"/>
            <c:marker>
              <c:symbol val="none"/>
            </c:marker>
            <c:bubble3D val="0"/>
            <c:spPr>
              <a:ln w="28575" cap="rnd">
                <a:solidFill>
                  <a:srgbClr val="6EC6FF"/>
                </a:solidFill>
                <a:round/>
              </a:ln>
              <a:effectLst/>
            </c:spPr>
            <c:extLst>
              <c:ext xmlns:c16="http://schemas.microsoft.com/office/drawing/2014/chart" uri="{C3380CC4-5D6E-409C-BE32-E72D297353CC}">
                <c16:uniqueId val="{00000000-B55C-45F1-8E49-CC0AD8ED032F}"/>
              </c:ext>
            </c:extLst>
          </c:dPt>
          <c:dPt>
            <c:idx val="7"/>
            <c:marker>
              <c:symbol val="none"/>
            </c:marker>
            <c:bubble3D val="0"/>
            <c:spPr>
              <a:ln w="28575" cap="rnd">
                <a:solidFill>
                  <a:srgbClr val="6EC6FF"/>
                </a:solidFill>
                <a:round/>
              </a:ln>
              <a:effectLst/>
            </c:spPr>
            <c:extLst>
              <c:ext xmlns:c16="http://schemas.microsoft.com/office/drawing/2014/chart" uri="{C3380CC4-5D6E-409C-BE32-E72D297353CC}">
                <c16:uniqueId val="{00000005-B55C-45F1-8E49-CC0AD8ED032F}"/>
              </c:ext>
            </c:extLst>
          </c:dPt>
          <c:dPt>
            <c:idx val="9"/>
            <c:marker>
              <c:symbol val="none"/>
            </c:marker>
            <c:bubble3D val="0"/>
            <c:spPr>
              <a:ln w="28575" cap="rnd">
                <a:solidFill>
                  <a:srgbClr val="6EC6FF"/>
                </a:solidFill>
                <a:round/>
              </a:ln>
              <a:effectLst/>
            </c:spPr>
            <c:extLst>
              <c:ext xmlns:c16="http://schemas.microsoft.com/office/drawing/2014/chart" uri="{C3380CC4-5D6E-409C-BE32-E72D297353CC}">
                <c16:uniqueId val="{00000001-B55C-45F1-8E49-CC0AD8ED032F}"/>
              </c:ext>
            </c:extLst>
          </c:dPt>
          <c:dPt>
            <c:idx val="11"/>
            <c:marker>
              <c:symbol val="none"/>
            </c:marker>
            <c:bubble3D val="0"/>
            <c:spPr>
              <a:ln w="28575" cap="rnd">
                <a:solidFill>
                  <a:srgbClr val="6EC6FF"/>
                </a:solidFill>
                <a:round/>
              </a:ln>
              <a:effectLst/>
            </c:spPr>
            <c:extLst>
              <c:ext xmlns:c16="http://schemas.microsoft.com/office/drawing/2014/chart" uri="{C3380CC4-5D6E-409C-BE32-E72D297353CC}">
                <c16:uniqueId val="{00000002-B55C-45F1-8E49-CC0AD8ED032F}"/>
              </c:ext>
            </c:extLst>
          </c:dPt>
          <c:dLbls>
            <c:dLbl>
              <c:idx val="1"/>
              <c:layout>
                <c:manualLayout>
                  <c:x val="-1.8386383690140107E-2"/>
                  <c:y val="5.271009659170685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55C-45F1-8E49-CC0AD8ED032F}"/>
                </c:ext>
              </c:extLst>
            </c:dLbl>
            <c:dLbl>
              <c:idx val="4"/>
              <c:layout>
                <c:manualLayout>
                  <c:x val="-2.9235760699904467E-2"/>
                  <c:y val="5.271009659170685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55C-45F1-8E49-CC0AD8ED032F}"/>
                </c:ext>
              </c:extLst>
            </c:dLbl>
            <c:dLbl>
              <c:idx val="6"/>
              <c:layout>
                <c:manualLayout>
                  <c:x val="-2.9235760699904415E-2"/>
                  <c:y val="4.885843821014951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55C-45F1-8E49-CC0AD8ED032F}"/>
                </c:ext>
              </c:extLst>
            </c:dLbl>
            <c:dLbl>
              <c:idx val="9"/>
              <c:layout>
                <c:manualLayout>
                  <c:x val="-2.5167244321242791E-2"/>
                  <c:y val="3.730346306547720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55C-45F1-8E49-CC0AD8ED032F}"/>
                </c:ext>
              </c:extLst>
            </c:dLbl>
            <c:dLbl>
              <c:idx val="11"/>
              <c:layout>
                <c:manualLayout>
                  <c:x val="-2.7406316537194941E-2"/>
                  <c:y val="4.885843821014951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55C-45F1-8E49-CC0AD8ED032F}"/>
                </c:ext>
              </c:extLst>
            </c:dLbl>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PivotTable!$C$3:$C$15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PivotTable!$D$3:$D$15</c:f>
              <c:numCache>
                <c:formatCode>[&gt;=1000000]\$\ #,##0.00,,"M";[&gt;=1000]\$\ #.00,"K";\$\ ###.00</c:formatCode>
                <c:ptCount val="12"/>
                <c:pt idx="0">
                  <c:v>168680.62810000006</c:v>
                </c:pt>
                <c:pt idx="1">
                  <c:v>173605.24770000001</c:v>
                </c:pt>
                <c:pt idx="2">
                  <c:v>236738.69749999995</c:v>
                </c:pt>
                <c:pt idx="3">
                  <c:v>241034.34019999998</c:v>
                </c:pt>
                <c:pt idx="4">
                  <c:v>153642.42719999998</c:v>
                </c:pt>
                <c:pt idx="5">
                  <c:v>258658.95200000011</c:v>
                </c:pt>
                <c:pt idx="6">
                  <c:v>150713.13980000003</c:v>
                </c:pt>
                <c:pt idx="7">
                  <c:v>185321.6210000001</c:v>
                </c:pt>
                <c:pt idx="8">
                  <c:v>233080.36130000014</c:v>
                </c:pt>
                <c:pt idx="9">
                  <c:v>189721.56950000001</c:v>
                </c:pt>
                <c:pt idx="10">
                  <c:v>274368.30580000003</c:v>
                </c:pt>
                <c:pt idx="11">
                  <c:v>186519.01119999995</c:v>
                </c:pt>
              </c:numCache>
            </c:numRef>
          </c:val>
          <c:smooth val="0"/>
          <c:extLst>
            <c:ext xmlns:c16="http://schemas.microsoft.com/office/drawing/2014/chart" uri="{C3380CC4-5D6E-409C-BE32-E72D297353CC}">
              <c16:uniqueId val="{00000000-426E-4519-90BF-12A3D2C90F3A}"/>
            </c:ext>
          </c:extLst>
        </c:ser>
        <c:dLbls>
          <c:dLblPos val="t"/>
          <c:showLegendKey val="0"/>
          <c:showVal val="1"/>
          <c:showCatName val="0"/>
          <c:showSerName val="0"/>
          <c:showPercent val="0"/>
          <c:showBubbleSize val="0"/>
        </c:dLbls>
        <c:smooth val="0"/>
        <c:axId val="922723023"/>
        <c:axId val="643301951"/>
      </c:lineChart>
      <c:catAx>
        <c:axId val="922723023"/>
        <c:scaling>
          <c:orientation val="minMax"/>
        </c:scaling>
        <c:delete val="0"/>
        <c:axPos val="b"/>
        <c:title>
          <c:tx>
            <c:rich>
              <a:bodyPr rot="0" spcFirstLastPara="1" vertOverflow="ellipsis" vert="horz" wrap="square" anchor="ctr" anchorCtr="1"/>
              <a:lstStyle/>
              <a:p>
                <a:pPr>
                  <a:defRPr sz="1100" b="1" i="0" u="none" strike="noStrike" kern="1200" baseline="0">
                    <a:solidFill>
                      <a:srgbClr val="9BA3B4"/>
                    </a:solidFill>
                    <a:latin typeface="+mn-lt"/>
                    <a:ea typeface="+mn-ea"/>
                    <a:cs typeface="+mn-cs"/>
                  </a:defRPr>
                </a:pPr>
                <a:r>
                  <a:rPr lang="en-US" sz="1100" b="1">
                    <a:solidFill>
                      <a:srgbClr val="9BA3B4"/>
                    </a:solidFill>
                  </a:rPr>
                  <a:t>Months</a:t>
                </a:r>
              </a:p>
            </c:rich>
          </c:tx>
          <c:layout>
            <c:manualLayout>
              <c:xMode val="edge"/>
              <c:yMode val="edge"/>
              <c:x val="0.46122574276450284"/>
              <c:y val="0.90595648529857808"/>
            </c:manualLayout>
          </c:layout>
          <c:overlay val="0"/>
          <c:spPr>
            <a:noFill/>
            <a:ln>
              <a:noFill/>
            </a:ln>
            <a:effectLst/>
          </c:spPr>
          <c:txPr>
            <a:bodyPr rot="0" spcFirstLastPara="1" vertOverflow="ellipsis" vert="horz" wrap="square" anchor="ctr" anchorCtr="1"/>
            <a:lstStyle/>
            <a:p>
              <a:pPr>
                <a:defRPr sz="1100" b="1" i="0" u="none" strike="noStrike" kern="1200" baseline="0">
                  <a:solidFill>
                    <a:srgbClr val="9BA3B4"/>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rgbClr val="2A2A3C"/>
            </a:solidFill>
            <a:round/>
          </a:ln>
          <a:effectLst/>
        </c:spPr>
        <c:txPr>
          <a:bodyPr rot="-60000000" spcFirstLastPara="1" vertOverflow="ellipsis" vert="horz" wrap="square" anchor="ctr" anchorCtr="1"/>
          <a:lstStyle/>
          <a:p>
            <a:pPr>
              <a:defRPr sz="1100" b="1" i="0" u="none" strike="noStrike" kern="1200" baseline="0">
                <a:solidFill>
                  <a:srgbClr val="9BA3B4"/>
                </a:solidFill>
                <a:latin typeface="+mn-lt"/>
                <a:ea typeface="+mn-ea"/>
                <a:cs typeface="+mn-cs"/>
              </a:defRPr>
            </a:pPr>
            <a:endParaRPr lang="en-US"/>
          </a:p>
        </c:txPr>
        <c:crossAx val="643301951"/>
        <c:crosses val="autoZero"/>
        <c:auto val="1"/>
        <c:lblAlgn val="ctr"/>
        <c:lblOffset val="100"/>
        <c:noMultiLvlLbl val="0"/>
      </c:catAx>
      <c:valAx>
        <c:axId val="643301951"/>
        <c:scaling>
          <c:orientation val="minMax"/>
        </c:scaling>
        <c:delete val="0"/>
        <c:axPos val="l"/>
        <c:majorGridlines>
          <c:spPr>
            <a:ln w="9525" cap="flat" cmpd="sng" algn="ctr">
              <a:solidFill>
                <a:srgbClr val="3A3A4E"/>
              </a:solidFill>
              <a:round/>
            </a:ln>
            <a:effectLst/>
          </c:spPr>
        </c:majorGridlines>
        <c:title>
          <c:tx>
            <c:rich>
              <a:bodyPr rot="-5400000" spcFirstLastPara="1" vertOverflow="ellipsis" vert="horz" wrap="square" anchor="ctr" anchorCtr="1"/>
              <a:lstStyle/>
              <a:p>
                <a:pPr>
                  <a:defRPr sz="1100" b="1" i="0" u="none" strike="noStrike" kern="1200" baseline="0">
                    <a:solidFill>
                      <a:srgbClr val="9BA3B4"/>
                    </a:solidFill>
                    <a:latin typeface="+mn-lt"/>
                    <a:ea typeface="+mn-ea"/>
                    <a:cs typeface="+mn-cs"/>
                  </a:defRPr>
                </a:pPr>
                <a:r>
                  <a:rPr lang="en-GB" sz="1100" b="1">
                    <a:solidFill>
                      <a:srgbClr val="9BA3B4"/>
                    </a:solidFill>
                  </a:rPr>
                  <a:t>Revenue ($)</a:t>
                </a:r>
              </a:p>
            </c:rich>
          </c:tx>
          <c:layout>
            <c:manualLayout>
              <c:xMode val="edge"/>
              <c:yMode val="edge"/>
              <c:x val="6.8379640846762306E-3"/>
              <c:y val="0.33930268076835413"/>
            </c:manualLayout>
          </c:layout>
          <c:overlay val="0"/>
          <c:spPr>
            <a:noFill/>
            <a:ln>
              <a:noFill/>
            </a:ln>
            <a:effectLst/>
          </c:spPr>
          <c:txPr>
            <a:bodyPr rot="-5400000" spcFirstLastPara="1" vertOverflow="ellipsis" vert="horz" wrap="square" anchor="ctr" anchorCtr="1"/>
            <a:lstStyle/>
            <a:p>
              <a:pPr>
                <a:defRPr sz="1100" b="1" i="0" u="none" strike="noStrike" kern="1200" baseline="0">
                  <a:solidFill>
                    <a:srgbClr val="9BA3B4"/>
                  </a:solidFill>
                  <a:latin typeface="+mn-lt"/>
                  <a:ea typeface="+mn-ea"/>
                  <a:cs typeface="+mn-cs"/>
                </a:defRPr>
              </a:pPr>
              <a:endParaRPr lang="en-US"/>
            </a:p>
          </c:txPr>
        </c:title>
        <c:numFmt formatCode="[&gt;=1000000]#,##0.0,,&quot;M&quot;;[&gt;=1000]##0,&quot;K&quot;;##0" sourceLinked="0"/>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rgbClr val="9BA3B4"/>
                </a:solidFill>
                <a:latin typeface="+mn-lt"/>
                <a:ea typeface="+mn-ea"/>
                <a:cs typeface="+mn-cs"/>
              </a:defRPr>
            </a:pPr>
            <a:endParaRPr lang="en-US"/>
          </a:p>
        </c:txPr>
        <c:crossAx val="922723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A2A3C"/>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[sales_data.xlsx]PivotTable!Revenue by Region</c:name>
    <c:fmtId val="4"/>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Revenue</a:t>
            </a:r>
            <a:r>
              <a:rPr lang="en-US" b="1" baseline="0">
                <a:solidFill>
                  <a:schemeClr val="bg1"/>
                </a:solidFill>
              </a:rPr>
              <a:t> by Region</a:t>
            </a:r>
            <a:endParaRPr lang="en-US" b="1">
              <a:solidFill>
                <a:schemeClr val="bg1"/>
              </a:solidFill>
            </a:endParaRPr>
          </a:p>
        </c:rich>
      </c:tx>
      <c:overlay val="0"/>
      <c:spPr>
        <a:solidFill>
          <a:srgbClr val="2A2A3C"/>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gt;=1000000]#,##0,,&quot;M&quot;;[&gt;=1000]##0,&quot;K&quot;;##0" sourceLinked="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numFmt formatCode="[&gt;=1000000]#,##0,,&quot;M&quot;;[&gt;=1000]##0,&quot;K&quot;;##0" sourceLinked="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numFmt formatCode="[&gt;=1000000]#,##0,,&quot;M&quot;;[&gt;=1000]##0,&quot;K&quot;;##0" sourceLinked="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numFmt formatCode="[&gt;=1000000]#,##0,,&quot;M&quot;;[&gt;=1000]##0,&quot;K&quot;;##0" sourceLinked="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numFmt formatCode="[&gt;=1000000]#,##0,,&quot;M&quot;;[&gt;=1000]##0,&quot;K&quot;;##0" sourceLinked="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numFmt formatCode="[&gt;=1000000]#,##0,,&quot;M&quot;;[&gt;=1000]##0,&quot;K&quot;;##0" sourceLinked="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6EC6FF"/>
          </a:solidFill>
          <a:ln>
            <a:noFill/>
          </a:ln>
          <a:effectLst/>
        </c:spPr>
        <c:marker>
          <c:symbol val="none"/>
        </c:marker>
        <c:dLbl>
          <c:idx val="0"/>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D4537E"/>
          </a:solidFill>
          <a:ln>
            <a:noFill/>
          </a:ln>
          <a:effectLst/>
        </c:spPr>
      </c:pivotFmt>
      <c:pivotFmt>
        <c:idx val="8"/>
        <c:spPr>
          <a:solidFill>
            <a:srgbClr val="5DCAA5"/>
          </a:solidFill>
          <a:ln>
            <a:noFill/>
          </a:ln>
          <a:effectLst/>
        </c:spPr>
      </c:pivotFmt>
      <c:pivotFmt>
        <c:idx val="9"/>
        <c:spPr>
          <a:solidFill>
            <a:srgbClr val="F2994A"/>
          </a:solidFill>
          <a:ln>
            <a:noFill/>
          </a:ln>
          <a:effectLst/>
        </c:spPr>
      </c:pivotFmt>
      <c:pivotFmt>
        <c:idx val="10"/>
        <c:spPr>
          <a:solidFill>
            <a:srgbClr val="9BA3B4"/>
          </a:solidFill>
          <a:ln>
            <a:noFill/>
          </a:ln>
          <a:effectLst/>
        </c:spPr>
      </c:pivotFmt>
    </c:pivotFmts>
    <c:plotArea>
      <c:layout/>
      <c:barChart>
        <c:barDir val="col"/>
        <c:grouping val="clustered"/>
        <c:varyColors val="0"/>
        <c:ser>
          <c:idx val="0"/>
          <c:order val="0"/>
          <c:tx>
            <c:strRef>
              <c:f>PivotTable!$G$2</c:f>
              <c:strCache>
                <c:ptCount val="1"/>
                <c:pt idx="0">
                  <c:v>Total</c:v>
                </c:pt>
              </c:strCache>
            </c:strRef>
          </c:tx>
          <c:spPr>
            <a:solidFill>
              <a:srgbClr val="6EC6FF"/>
            </a:solidFill>
            <a:ln>
              <a:noFill/>
            </a:ln>
            <a:effectLst/>
          </c:spPr>
          <c:invertIfNegative val="0"/>
          <c:dPt>
            <c:idx val="1"/>
            <c:invertIfNegative val="0"/>
            <c:bubble3D val="0"/>
            <c:spPr>
              <a:solidFill>
                <a:srgbClr val="D4537E"/>
              </a:solidFill>
              <a:ln>
                <a:noFill/>
              </a:ln>
              <a:effectLst/>
            </c:spPr>
            <c:extLst>
              <c:ext xmlns:c16="http://schemas.microsoft.com/office/drawing/2014/chart" uri="{C3380CC4-5D6E-409C-BE32-E72D297353CC}">
                <c16:uniqueId val="{00000000-BFBC-4A72-8B90-79407CEE94CD}"/>
              </c:ext>
            </c:extLst>
          </c:dPt>
          <c:dPt>
            <c:idx val="2"/>
            <c:invertIfNegative val="0"/>
            <c:bubble3D val="0"/>
            <c:spPr>
              <a:solidFill>
                <a:srgbClr val="5DCAA5"/>
              </a:solidFill>
              <a:ln>
                <a:noFill/>
              </a:ln>
              <a:effectLst/>
            </c:spPr>
            <c:extLst>
              <c:ext xmlns:c16="http://schemas.microsoft.com/office/drawing/2014/chart" uri="{C3380CC4-5D6E-409C-BE32-E72D297353CC}">
                <c16:uniqueId val="{00000001-BFBC-4A72-8B90-79407CEE94CD}"/>
              </c:ext>
            </c:extLst>
          </c:dPt>
          <c:dPt>
            <c:idx val="3"/>
            <c:invertIfNegative val="0"/>
            <c:bubble3D val="0"/>
            <c:spPr>
              <a:solidFill>
                <a:srgbClr val="F2994A"/>
              </a:solidFill>
              <a:ln>
                <a:noFill/>
              </a:ln>
              <a:effectLst/>
            </c:spPr>
            <c:extLst>
              <c:ext xmlns:c16="http://schemas.microsoft.com/office/drawing/2014/chart" uri="{C3380CC4-5D6E-409C-BE32-E72D297353CC}">
                <c16:uniqueId val="{00000002-BFBC-4A72-8B90-79407CEE94CD}"/>
              </c:ext>
            </c:extLst>
          </c:dPt>
          <c:dPt>
            <c:idx val="4"/>
            <c:invertIfNegative val="0"/>
            <c:bubble3D val="0"/>
            <c:spPr>
              <a:solidFill>
                <a:srgbClr val="9BA3B4"/>
              </a:solidFill>
              <a:ln>
                <a:noFill/>
              </a:ln>
              <a:effectLst/>
            </c:spPr>
            <c:extLst>
              <c:ext xmlns:c16="http://schemas.microsoft.com/office/drawing/2014/chart" uri="{C3380CC4-5D6E-409C-BE32-E72D297353CC}">
                <c16:uniqueId val="{00000003-BFBC-4A72-8B90-79407CEE94CD}"/>
              </c:ext>
            </c:extLst>
          </c:dPt>
          <c:dLbls>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PivotTable!$F$3:$F$8</c:f>
              <c:strCache>
                <c:ptCount val="5"/>
                <c:pt idx="0">
                  <c:v>Central</c:v>
                </c:pt>
                <c:pt idx="1">
                  <c:v>East</c:v>
                </c:pt>
                <c:pt idx="2">
                  <c:v>North</c:v>
                </c:pt>
                <c:pt idx="3">
                  <c:v>South</c:v>
                </c:pt>
                <c:pt idx="4">
                  <c:v>West</c:v>
                </c:pt>
              </c:strCache>
            </c:strRef>
          </c:cat>
          <c:val>
            <c:numRef>
              <c:f>PivotTable!$G$3:$G$8</c:f>
              <c:numCache>
                <c:formatCode>[&gt;=1000000]\$\ #,##0.00,,"M";[&gt;=1000]\$\ #.00,"K";\$\ ###.00</c:formatCode>
                <c:ptCount val="5"/>
                <c:pt idx="0">
                  <c:v>556705.17709999974</c:v>
                </c:pt>
                <c:pt idx="1">
                  <c:v>467808.84970000037</c:v>
                </c:pt>
                <c:pt idx="2">
                  <c:v>561753.72460000007</c:v>
                </c:pt>
                <c:pt idx="3">
                  <c:v>444494.30199999973</c:v>
                </c:pt>
                <c:pt idx="4">
                  <c:v>421322.24789999996</c:v>
                </c:pt>
              </c:numCache>
            </c:numRef>
          </c:val>
          <c:extLst>
            <c:ext xmlns:c16="http://schemas.microsoft.com/office/drawing/2014/chart" uri="{C3380CC4-5D6E-409C-BE32-E72D297353CC}">
              <c16:uniqueId val="{00000000-2E0A-4934-AF30-F9C6A431ECD1}"/>
            </c:ext>
          </c:extLst>
        </c:ser>
        <c:dLbls>
          <c:dLblPos val="outEnd"/>
          <c:showLegendKey val="0"/>
          <c:showVal val="1"/>
          <c:showCatName val="0"/>
          <c:showSerName val="0"/>
          <c:showPercent val="0"/>
          <c:showBubbleSize val="0"/>
        </c:dLbls>
        <c:gapWidth val="219"/>
        <c:overlap val="-27"/>
        <c:axId val="951902959"/>
        <c:axId val="919421759"/>
      </c:barChart>
      <c:catAx>
        <c:axId val="951902959"/>
        <c:scaling>
          <c:orientation val="minMax"/>
        </c:scaling>
        <c:delete val="0"/>
        <c:axPos val="b"/>
        <c:title>
          <c:tx>
            <c:rich>
              <a:bodyPr rot="0" spcFirstLastPara="1" vertOverflow="ellipsis" vert="horz" wrap="square" anchor="ctr" anchorCtr="1"/>
              <a:lstStyle/>
              <a:p>
                <a:pPr>
                  <a:defRPr sz="1100" b="1" i="0" u="none" strike="noStrike" kern="1200" baseline="0">
                    <a:solidFill>
                      <a:srgbClr val="9BA3B4"/>
                    </a:solidFill>
                    <a:latin typeface="+mn-lt"/>
                    <a:ea typeface="+mn-ea"/>
                    <a:cs typeface="+mn-cs"/>
                  </a:defRPr>
                </a:pPr>
                <a:r>
                  <a:rPr lang="en-GB" sz="1100" b="1">
                    <a:solidFill>
                      <a:srgbClr val="9BA3B4"/>
                    </a:solidFill>
                  </a:rPr>
                  <a:t>Region</a:t>
                </a:r>
              </a:p>
            </c:rich>
          </c:tx>
          <c:overlay val="0"/>
          <c:spPr>
            <a:noFill/>
            <a:ln>
              <a:noFill/>
            </a:ln>
            <a:effectLst/>
          </c:spPr>
          <c:txPr>
            <a:bodyPr rot="0" spcFirstLastPara="1" vertOverflow="ellipsis" vert="horz" wrap="square" anchor="ctr" anchorCtr="1"/>
            <a:lstStyle/>
            <a:p>
              <a:pPr>
                <a:defRPr sz="1100" b="1" i="0" u="none" strike="noStrike" kern="1200" baseline="0">
                  <a:solidFill>
                    <a:srgbClr val="9BA3B4"/>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rgbClr val="9BA3B4"/>
                </a:solidFill>
                <a:latin typeface="+mn-lt"/>
                <a:ea typeface="+mn-ea"/>
                <a:cs typeface="+mn-cs"/>
              </a:defRPr>
            </a:pPr>
            <a:endParaRPr lang="en-US"/>
          </a:p>
        </c:txPr>
        <c:crossAx val="919421759"/>
        <c:crosses val="autoZero"/>
        <c:auto val="1"/>
        <c:lblAlgn val="ctr"/>
        <c:lblOffset val="100"/>
        <c:noMultiLvlLbl val="0"/>
      </c:catAx>
      <c:valAx>
        <c:axId val="919421759"/>
        <c:scaling>
          <c:orientation val="minMax"/>
        </c:scaling>
        <c:delete val="0"/>
        <c:axPos val="l"/>
        <c:majorGridlines>
          <c:spPr>
            <a:ln w="9525" cap="flat" cmpd="sng" algn="ctr">
              <a:solidFill>
                <a:srgbClr val="3A3A4E"/>
              </a:solidFill>
              <a:round/>
            </a:ln>
            <a:effectLst/>
          </c:spPr>
        </c:majorGridlines>
        <c:title>
          <c:tx>
            <c:rich>
              <a:bodyPr rot="-5400000" spcFirstLastPara="1" vertOverflow="ellipsis" vert="horz" wrap="square" anchor="ctr" anchorCtr="1"/>
              <a:lstStyle/>
              <a:p>
                <a:pPr>
                  <a:defRPr sz="1000" b="1" i="0" u="none" strike="noStrike" kern="1200" baseline="0">
                    <a:solidFill>
                      <a:srgbClr val="9BA3B4"/>
                    </a:solidFill>
                    <a:latin typeface="+mn-lt"/>
                    <a:ea typeface="+mn-ea"/>
                    <a:cs typeface="+mn-cs"/>
                  </a:defRPr>
                </a:pPr>
                <a:r>
                  <a:rPr lang="en-GB" sz="1100" b="1">
                    <a:solidFill>
                      <a:srgbClr val="9BA3B4"/>
                    </a:solidFill>
                  </a:rPr>
                  <a:t>Revenue ($)</a:t>
                </a:r>
              </a:p>
            </c:rich>
          </c:tx>
          <c:layout>
            <c:manualLayout>
              <c:xMode val="edge"/>
              <c:yMode val="edge"/>
              <c:x val="7.1944589749856026E-3"/>
              <c:y val="0.35875103040081435"/>
            </c:manualLayout>
          </c:layout>
          <c:overlay val="0"/>
          <c:spPr>
            <a:noFill/>
            <a:ln>
              <a:noFill/>
            </a:ln>
            <a:effectLst/>
          </c:spPr>
          <c:txPr>
            <a:bodyPr rot="-5400000" spcFirstLastPara="1" vertOverflow="ellipsis" vert="horz" wrap="square" anchor="ctr" anchorCtr="1"/>
            <a:lstStyle/>
            <a:p>
              <a:pPr>
                <a:defRPr sz="1000" b="1" i="0" u="none" strike="noStrike" kern="1200" baseline="0">
                  <a:solidFill>
                    <a:srgbClr val="9BA3B4"/>
                  </a:solidFill>
                  <a:latin typeface="+mn-lt"/>
                  <a:ea typeface="+mn-ea"/>
                  <a:cs typeface="+mn-cs"/>
                </a:defRPr>
              </a:pPr>
              <a:endParaRPr lang="en-US"/>
            </a:p>
          </c:txPr>
        </c:title>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rgbClr val="9BA3B4"/>
                </a:solidFill>
                <a:latin typeface="+mn-lt"/>
                <a:ea typeface="+mn-ea"/>
                <a:cs typeface="+mn-cs"/>
              </a:defRPr>
            </a:pPr>
            <a:endParaRPr lang="en-US"/>
          </a:p>
        </c:txPr>
        <c:crossAx val="951902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A2A3C"/>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[sales_data.xlsx]PivotTable!Revenue by Product Category</c:name>
    <c:fmtId val="5"/>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b="1">
                <a:solidFill>
                  <a:schemeClr val="bg1"/>
                </a:solidFill>
              </a:rPr>
              <a:t>Revenue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gt;=1000000]#,##0.0,,&quot;M&quot;;[&gt;=1000]##0,&quot;K&quot;;##0" sourceLinked="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gt;=1000000]#,##0.0,,&quot;M&quot;;[&gt;=1000]##0,&quot;K&quot;;##0" sourceLinked="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6EC6FF"/>
          </a:solidFill>
          <a:ln>
            <a:noFill/>
          </a:ln>
          <a:effectLst/>
        </c:spPr>
        <c:marker>
          <c:symbol val="none"/>
        </c:marker>
        <c:dLbl>
          <c:idx val="0"/>
          <c:numFmt formatCode="[&gt;=10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2994A"/>
          </a:solidFill>
          <a:ln>
            <a:noFill/>
          </a:ln>
          <a:effectLst/>
        </c:spPr>
      </c:pivotFmt>
      <c:pivotFmt>
        <c:idx val="4"/>
        <c:spPr>
          <a:solidFill>
            <a:srgbClr val="5DCAA5"/>
          </a:solidFill>
          <a:ln>
            <a:noFill/>
          </a:ln>
          <a:effectLst/>
        </c:spPr>
      </c:pivotFmt>
      <c:pivotFmt>
        <c:idx val="5"/>
        <c:spPr>
          <a:solidFill>
            <a:srgbClr val="D4537E"/>
          </a:solidFill>
          <a:ln>
            <a:noFill/>
          </a:ln>
          <a:effectLst/>
        </c:spPr>
      </c:pivotFmt>
      <c:pivotFmt>
        <c:idx val="6"/>
        <c:spPr>
          <a:solidFill>
            <a:srgbClr val="9B8AFB"/>
          </a:solidFill>
          <a:ln>
            <a:noFill/>
          </a:ln>
          <a:effectLst/>
        </c:spPr>
      </c:pivotFmt>
      <c:pivotFmt>
        <c:idx val="7"/>
        <c:spPr>
          <a:solidFill>
            <a:srgbClr val="9BA3B4"/>
          </a:solidFill>
          <a:ln>
            <a:noFill/>
          </a:ln>
          <a:effectLst/>
        </c:spPr>
      </c:pivotFmt>
    </c:pivotFmts>
    <c:plotArea>
      <c:layout>
        <c:manualLayout>
          <c:layoutTarget val="inner"/>
          <c:xMode val="edge"/>
          <c:yMode val="edge"/>
          <c:x val="0.11940448862492498"/>
          <c:y val="0.1129191223035538"/>
          <c:w val="0.85891125800800094"/>
          <c:h val="0.71194737472686098"/>
        </c:manualLayout>
      </c:layout>
      <c:barChart>
        <c:barDir val="col"/>
        <c:grouping val="clustered"/>
        <c:varyColors val="0"/>
        <c:ser>
          <c:idx val="0"/>
          <c:order val="0"/>
          <c:tx>
            <c:strRef>
              <c:f>PivotTable!$J$2</c:f>
              <c:strCache>
                <c:ptCount val="1"/>
                <c:pt idx="0">
                  <c:v>Total</c:v>
                </c:pt>
              </c:strCache>
            </c:strRef>
          </c:tx>
          <c:spPr>
            <a:solidFill>
              <a:srgbClr val="6EC6FF"/>
            </a:solidFill>
            <a:ln>
              <a:noFill/>
            </a:ln>
            <a:effectLst/>
          </c:spPr>
          <c:invertIfNegative val="0"/>
          <c:dPt>
            <c:idx val="1"/>
            <c:invertIfNegative val="0"/>
            <c:bubble3D val="0"/>
            <c:spPr>
              <a:solidFill>
                <a:srgbClr val="F2994A"/>
              </a:solidFill>
              <a:ln>
                <a:noFill/>
              </a:ln>
              <a:effectLst/>
            </c:spPr>
            <c:extLst>
              <c:ext xmlns:c16="http://schemas.microsoft.com/office/drawing/2014/chart" uri="{C3380CC4-5D6E-409C-BE32-E72D297353CC}">
                <c16:uniqueId val="{00000000-70CA-4A8D-B5CD-ECB1F34684FA}"/>
              </c:ext>
            </c:extLst>
          </c:dPt>
          <c:dPt>
            <c:idx val="2"/>
            <c:invertIfNegative val="0"/>
            <c:bubble3D val="0"/>
            <c:spPr>
              <a:solidFill>
                <a:srgbClr val="5DCAA5"/>
              </a:solidFill>
              <a:ln>
                <a:noFill/>
              </a:ln>
              <a:effectLst/>
            </c:spPr>
            <c:extLst>
              <c:ext xmlns:c16="http://schemas.microsoft.com/office/drawing/2014/chart" uri="{C3380CC4-5D6E-409C-BE32-E72D297353CC}">
                <c16:uniqueId val="{00000001-70CA-4A8D-B5CD-ECB1F34684FA}"/>
              </c:ext>
            </c:extLst>
          </c:dPt>
          <c:dPt>
            <c:idx val="3"/>
            <c:invertIfNegative val="0"/>
            <c:bubble3D val="0"/>
            <c:spPr>
              <a:solidFill>
                <a:srgbClr val="D4537E"/>
              </a:solidFill>
              <a:ln>
                <a:noFill/>
              </a:ln>
              <a:effectLst/>
            </c:spPr>
            <c:extLst>
              <c:ext xmlns:c16="http://schemas.microsoft.com/office/drawing/2014/chart" uri="{C3380CC4-5D6E-409C-BE32-E72D297353CC}">
                <c16:uniqueId val="{00000002-70CA-4A8D-B5CD-ECB1F34684FA}"/>
              </c:ext>
            </c:extLst>
          </c:dPt>
          <c:dPt>
            <c:idx val="4"/>
            <c:invertIfNegative val="0"/>
            <c:bubble3D val="0"/>
            <c:spPr>
              <a:solidFill>
                <a:srgbClr val="9B8AFB"/>
              </a:solidFill>
              <a:ln>
                <a:noFill/>
              </a:ln>
              <a:effectLst/>
            </c:spPr>
            <c:extLst>
              <c:ext xmlns:c16="http://schemas.microsoft.com/office/drawing/2014/chart" uri="{C3380CC4-5D6E-409C-BE32-E72D297353CC}">
                <c16:uniqueId val="{00000003-70CA-4A8D-B5CD-ECB1F34684FA}"/>
              </c:ext>
            </c:extLst>
          </c:dPt>
          <c:dPt>
            <c:idx val="5"/>
            <c:invertIfNegative val="0"/>
            <c:bubble3D val="0"/>
            <c:spPr>
              <a:solidFill>
                <a:srgbClr val="9BA3B4"/>
              </a:solidFill>
              <a:ln>
                <a:noFill/>
              </a:ln>
              <a:effectLst/>
            </c:spPr>
            <c:extLst>
              <c:ext xmlns:c16="http://schemas.microsoft.com/office/drawing/2014/chart" uri="{C3380CC4-5D6E-409C-BE32-E72D297353CC}">
                <c16:uniqueId val="{00000004-70CA-4A8D-B5CD-ECB1F34684FA}"/>
              </c:ext>
            </c:extLst>
          </c:dPt>
          <c:dLbls>
            <c:numFmt formatCode="[&gt;=10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PivotTable!$I$3:$I$9</c:f>
              <c:strCache>
                <c:ptCount val="6"/>
                <c:pt idx="0">
                  <c:v>Computers</c:v>
                </c:pt>
                <c:pt idx="1">
                  <c:v>Monitors</c:v>
                </c:pt>
                <c:pt idx="2">
                  <c:v>Networking</c:v>
                </c:pt>
                <c:pt idx="3">
                  <c:v>Storage</c:v>
                </c:pt>
                <c:pt idx="4">
                  <c:v>Accessories</c:v>
                </c:pt>
                <c:pt idx="5">
                  <c:v>Office Supplies</c:v>
                </c:pt>
              </c:strCache>
            </c:strRef>
          </c:cat>
          <c:val>
            <c:numRef>
              <c:f>PivotTable!$J$3:$J$9</c:f>
              <c:numCache>
                <c:formatCode>[&gt;=1000000]\$\ #,##0.00,,"M";[&gt;=1000]\$\ #.00,"K";\$\ ###.00</c:formatCode>
                <c:ptCount val="6"/>
                <c:pt idx="0">
                  <c:v>1346491.2599999995</c:v>
                </c:pt>
                <c:pt idx="1">
                  <c:v>526744.59000000008</c:v>
                </c:pt>
                <c:pt idx="2">
                  <c:v>259475.30900000001</c:v>
                </c:pt>
                <c:pt idx="3">
                  <c:v>229837.62600000011</c:v>
                </c:pt>
                <c:pt idx="4">
                  <c:v>72895.258099999992</c:v>
                </c:pt>
                <c:pt idx="5">
                  <c:v>16640.258200000007</c:v>
                </c:pt>
              </c:numCache>
            </c:numRef>
          </c:val>
          <c:extLst>
            <c:ext xmlns:c16="http://schemas.microsoft.com/office/drawing/2014/chart" uri="{C3380CC4-5D6E-409C-BE32-E72D297353CC}">
              <c16:uniqueId val="{00000000-514F-4546-A230-3E8232AD47FA}"/>
            </c:ext>
          </c:extLst>
        </c:ser>
        <c:dLbls>
          <c:dLblPos val="outEnd"/>
          <c:showLegendKey val="0"/>
          <c:showVal val="1"/>
          <c:showCatName val="0"/>
          <c:showSerName val="0"/>
          <c:showPercent val="0"/>
          <c:showBubbleSize val="0"/>
        </c:dLbls>
        <c:gapWidth val="219"/>
        <c:overlap val="-27"/>
        <c:axId val="951917807"/>
        <c:axId val="621451007"/>
      </c:barChart>
      <c:catAx>
        <c:axId val="951917807"/>
        <c:scaling>
          <c:orientation val="minMax"/>
        </c:scaling>
        <c:delete val="0"/>
        <c:axPos val="b"/>
        <c:title>
          <c:tx>
            <c:rich>
              <a:bodyPr rot="0" spcFirstLastPara="1" vertOverflow="ellipsis" vert="horz" wrap="square" anchor="ctr" anchorCtr="1"/>
              <a:lstStyle/>
              <a:p>
                <a:pPr>
                  <a:defRPr sz="1100" b="1" i="0" u="none" strike="noStrike" kern="1200" baseline="0">
                    <a:solidFill>
                      <a:srgbClr val="9BA3B4"/>
                    </a:solidFill>
                    <a:latin typeface="+mn-lt"/>
                    <a:ea typeface="+mn-ea"/>
                    <a:cs typeface="+mn-cs"/>
                  </a:defRPr>
                </a:pPr>
                <a:r>
                  <a:rPr lang="en-US" sz="1100" b="1">
                    <a:solidFill>
                      <a:srgbClr val="9BA3B4"/>
                    </a:solidFill>
                  </a:rPr>
                  <a:t>Category</a:t>
                </a:r>
              </a:p>
            </c:rich>
          </c:tx>
          <c:overlay val="0"/>
          <c:spPr>
            <a:noFill/>
            <a:ln>
              <a:noFill/>
            </a:ln>
            <a:effectLst/>
          </c:spPr>
          <c:txPr>
            <a:bodyPr rot="0" spcFirstLastPara="1" vertOverflow="ellipsis" vert="horz" wrap="square" anchor="ctr" anchorCtr="1"/>
            <a:lstStyle/>
            <a:p>
              <a:pPr>
                <a:defRPr sz="1100" b="1" i="0" u="none" strike="noStrike" kern="1200" baseline="0">
                  <a:solidFill>
                    <a:srgbClr val="9BA3B4"/>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rgbClr val="9BA3B4"/>
                </a:solidFill>
                <a:latin typeface="+mn-lt"/>
                <a:ea typeface="+mn-ea"/>
                <a:cs typeface="+mn-cs"/>
              </a:defRPr>
            </a:pPr>
            <a:endParaRPr lang="en-US"/>
          </a:p>
        </c:txPr>
        <c:crossAx val="621451007"/>
        <c:crosses val="autoZero"/>
        <c:auto val="1"/>
        <c:lblAlgn val="ctr"/>
        <c:lblOffset val="100"/>
        <c:noMultiLvlLbl val="0"/>
      </c:catAx>
      <c:valAx>
        <c:axId val="621451007"/>
        <c:scaling>
          <c:orientation val="minMax"/>
          <c:max val="1500000"/>
          <c:min val="0"/>
        </c:scaling>
        <c:delete val="0"/>
        <c:axPos val="l"/>
        <c:majorGridlines>
          <c:spPr>
            <a:ln w="9525" cap="flat" cmpd="sng" algn="ctr">
              <a:solidFill>
                <a:srgbClr val="3A3A4E"/>
              </a:solidFill>
              <a:round/>
            </a:ln>
            <a:effectLst/>
          </c:spPr>
        </c:majorGridlines>
        <c:title>
          <c:tx>
            <c:rich>
              <a:bodyPr rot="-5400000" spcFirstLastPara="1" vertOverflow="ellipsis" vert="horz" wrap="square" anchor="ctr" anchorCtr="1"/>
              <a:lstStyle/>
              <a:p>
                <a:pPr>
                  <a:defRPr sz="1100" b="1" i="0" u="none" strike="noStrike" kern="1200" baseline="0">
                    <a:solidFill>
                      <a:srgbClr val="9BA3B4"/>
                    </a:solidFill>
                    <a:latin typeface="+mn-lt"/>
                    <a:ea typeface="+mn-ea"/>
                    <a:cs typeface="+mn-cs"/>
                  </a:defRPr>
                </a:pPr>
                <a:r>
                  <a:rPr lang="en-US" sz="1100" b="1">
                    <a:solidFill>
                      <a:srgbClr val="9BA3B4"/>
                    </a:solidFill>
                  </a:rPr>
                  <a:t>Revenue ($)</a:t>
                </a:r>
              </a:p>
            </c:rich>
          </c:tx>
          <c:layout>
            <c:manualLayout>
              <c:xMode val="edge"/>
              <c:yMode val="edge"/>
              <c:x val="9.8564788032154786E-3"/>
              <c:y val="0.28455815651796867"/>
            </c:manualLayout>
          </c:layout>
          <c:overlay val="0"/>
          <c:spPr>
            <a:noFill/>
            <a:ln>
              <a:noFill/>
            </a:ln>
            <a:effectLst/>
          </c:spPr>
          <c:txPr>
            <a:bodyPr rot="-5400000" spcFirstLastPara="1" vertOverflow="ellipsis" vert="horz" wrap="square" anchor="ctr" anchorCtr="1"/>
            <a:lstStyle/>
            <a:p>
              <a:pPr>
                <a:defRPr sz="1100" b="1" i="0" u="none" strike="noStrike" kern="1200" baseline="0">
                  <a:solidFill>
                    <a:srgbClr val="9BA3B4"/>
                  </a:solidFill>
                  <a:latin typeface="+mn-lt"/>
                  <a:ea typeface="+mn-ea"/>
                  <a:cs typeface="+mn-cs"/>
                </a:defRPr>
              </a:pPr>
              <a:endParaRPr lang="en-US"/>
            </a:p>
          </c:txPr>
        </c:title>
        <c:numFmt formatCode="[&gt;=10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rgbClr val="9BA3B4"/>
                </a:solidFill>
                <a:latin typeface="+mn-lt"/>
                <a:ea typeface="+mn-ea"/>
                <a:cs typeface="+mn-cs"/>
              </a:defRPr>
            </a:pPr>
            <a:endParaRPr lang="en-US"/>
          </a:p>
        </c:txPr>
        <c:crossAx val="951917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A2A3C"/>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[sales_data.xlsx]PivotTable!Revenue by Sales Channel</c:name>
    <c:fmtId val="4"/>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b="1">
                <a:solidFill>
                  <a:schemeClr val="bg1"/>
                </a:solidFill>
              </a:rPr>
              <a:t>Revenue by Sales</a:t>
            </a:r>
            <a:r>
              <a:rPr lang="en-US" b="1" baseline="0">
                <a:solidFill>
                  <a:schemeClr val="bg1"/>
                </a:solidFill>
              </a:rPr>
              <a:t> Channle</a:t>
            </a:r>
            <a:endParaRPr lang="en-US"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numFmt formatCode="[&gt;=1000000]#,##0.0,,&quot;M&quot;;[&gt;=1000]##0,&quot;K&quot;;##0" sourceLinked="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numFmt formatCode="[&gt;=1000000]#,##0.0,,&quot;M&quot;;[&gt;=1000]##0,&quot;K&quot;;##0" sourceLinked="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noFill/>
          </a:ln>
          <a:effectLst/>
        </c:spPr>
        <c:marker>
          <c:symbol val="none"/>
        </c:marker>
        <c:dLbl>
          <c:idx val="0"/>
          <c:numFmt formatCode="[&gt;=10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7"/>
        <c:spPr>
          <a:solidFill>
            <a:srgbClr val="6EC6FF"/>
          </a:solidFill>
          <a:ln w="19050">
            <a:noFill/>
          </a:ln>
          <a:effectLst/>
        </c:spPr>
        <c:dLbl>
          <c:idx val="0"/>
          <c:layout>
            <c:manualLayout>
              <c:x val="0.11958430543731936"/>
              <c:y val="-6.6635802469135766E-2"/>
            </c:manualLayout>
          </c:layout>
          <c:numFmt formatCode="[&gt;=1000000]#,##0.0,,&quot;M&quot;;[&gt;=1000]##0,&quot;K&quot;;##0" sourceLinked="0"/>
          <c:spPr>
            <a:noFill/>
            <a:ln>
              <a:noFill/>
            </a:ln>
            <a:effectLst/>
          </c:spPr>
          <c:txPr>
            <a:bodyPr rot="0" spcFirstLastPara="1" vertOverflow="ellipsis" vert="horz" wrap="square" lIns="38100" tIns="19050" rIns="38100" bIns="19050" anchor="ctr" anchorCtr="1">
              <a:noAutofit/>
            </a:bodyPr>
            <a:lstStyle/>
            <a:p>
              <a:pPr>
                <a:defRPr sz="140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35108864946347562"/>
                  <c:h val="0.24639567901234569"/>
                </c:manualLayout>
              </c15:layout>
            </c:ext>
          </c:extLst>
        </c:dLbl>
      </c:pivotFmt>
      <c:pivotFmt>
        <c:idx val="8"/>
        <c:spPr>
          <a:solidFill>
            <a:srgbClr val="F2994A"/>
          </a:solidFill>
          <a:ln w="19050">
            <a:noFill/>
          </a:ln>
          <a:effectLst/>
        </c:spPr>
        <c:dLbl>
          <c:idx val="0"/>
          <c:layout>
            <c:manualLayout>
              <c:x val="0.10599517981944225"/>
              <c:y val="7.0555555555555552E-2"/>
            </c:manualLayout>
          </c:layout>
          <c:tx>
            <c:rich>
              <a:bodyPr rot="0" spcFirstLastPara="1" vertOverflow="ellipsis" vert="horz" wrap="square" lIns="38100" tIns="19050" rIns="38100" bIns="19050" anchor="ctr" anchorCtr="1">
                <a:noAutofit/>
              </a:bodyPr>
              <a:lstStyle/>
              <a:p>
                <a:pPr>
                  <a:defRPr sz="1400" b="1" i="0" u="none" strike="noStrike" kern="1200" baseline="0">
                    <a:solidFill>
                      <a:schemeClr val="bg1"/>
                    </a:solidFill>
                    <a:latin typeface="+mn-lt"/>
                    <a:ea typeface="+mn-ea"/>
                    <a:cs typeface="+mn-cs"/>
                  </a:defRPr>
                </a:pPr>
                <a:fld id="{C6FCD794-84A1-4D82-8C38-8AB1BC2F21DF}" type="CATEGORYNAME">
                  <a:rPr lang="en-US"/>
                  <a:pPr>
                    <a:defRPr sz="1400" b="1">
                      <a:solidFill>
                        <a:schemeClr val="bg1"/>
                      </a:solidFill>
                    </a:defRPr>
                  </a:pPr>
                  <a:t>[CATEGORY NAME]</a:t>
                </a:fld>
                <a:endParaRPr lang="en-US" baseline="0"/>
              </a:p>
              <a:p>
                <a:pPr>
                  <a:defRPr sz="1400" b="1">
                    <a:solidFill>
                      <a:schemeClr val="bg1"/>
                    </a:solidFill>
                  </a:defRPr>
                </a:pPr>
                <a:fld id="{8F449963-9A99-4812-92CC-456D34566E46}" type="VALUE">
                  <a:rPr lang="en-US" baseline="0"/>
                  <a:pPr>
                    <a:defRPr sz="1400" b="1">
                      <a:solidFill>
                        <a:schemeClr val="bg1"/>
                      </a:solidFill>
                    </a:defRPr>
                  </a:pPr>
                  <a:t>[VALUE]</a:t>
                </a:fld>
                <a:endParaRPr lang="en-GB"/>
              </a:p>
            </c:rich>
          </c:tx>
          <c:numFmt formatCode="[&gt;=1000000]#,##0.0,,&quot;M&quot;;[&gt;=1000]##0,&quot;K&quot;;##0" sourceLinked="0"/>
          <c:spPr>
            <a:noFill/>
            <a:ln>
              <a:noFill/>
            </a:ln>
            <a:effectLst/>
          </c:spPr>
          <c:txPr>
            <a:bodyPr rot="0" spcFirstLastPara="1" vertOverflow="ellipsis" vert="horz" wrap="square" lIns="38100" tIns="19050" rIns="38100" bIns="19050" anchor="ctr" anchorCtr="1">
              <a:noAutofit/>
            </a:bodyPr>
            <a:lstStyle/>
            <a:p>
              <a:pPr>
                <a:defRPr sz="140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35426850485805889"/>
                  <c:h val="0.17732962962962964"/>
                </c:manualLayout>
              </c15:layout>
              <c15:dlblFieldTable/>
              <c15:showDataLabelsRange val="0"/>
            </c:ext>
          </c:extLst>
        </c:dLbl>
      </c:pivotFmt>
      <c:pivotFmt>
        <c:idx val="9"/>
        <c:spPr>
          <a:solidFill>
            <a:srgbClr val="5DCAA5"/>
          </a:solidFill>
          <a:ln w="19050">
            <a:noFill/>
          </a:ln>
          <a:effectLst/>
        </c:spPr>
        <c:dLbl>
          <c:idx val="0"/>
          <c:layout>
            <c:manualLayout>
              <c:x val="-9.7841704448715955E-2"/>
              <c:y val="1.9598919753086277E-2"/>
            </c:manualLayout>
          </c:layout>
          <c:numFmt formatCode="[&gt;=1000000]#,##0.0,,&quot;M&quot;;[&gt;=1000]##0,&quot;K&quot;;##0" sourceLinked="0"/>
          <c:spPr>
            <a:noFill/>
            <a:ln>
              <a:noFill/>
            </a:ln>
            <a:effectLst/>
          </c:spPr>
          <c:txPr>
            <a:bodyPr rot="0" spcFirstLastPara="1" vertOverflow="ellipsis" vert="horz" wrap="square" lIns="38100" tIns="19050" rIns="38100" bIns="19050" anchor="ctr" anchorCtr="1">
              <a:noAutofit/>
            </a:bodyPr>
            <a:lstStyle/>
            <a:p>
              <a:pPr>
                <a:defRPr sz="140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18233888754067643"/>
                  <c:h val="0.17340987654320983"/>
                </c:manualLayout>
              </c15:layout>
            </c:ext>
          </c:extLst>
        </c:dLbl>
      </c:pivotFmt>
      <c:pivotFmt>
        <c:idx val="10"/>
        <c:spPr>
          <a:solidFill>
            <a:srgbClr val="D4537E"/>
          </a:solidFill>
          <a:ln w="19050">
            <a:noFill/>
          </a:ln>
          <a:effectLst/>
        </c:spPr>
        <c:dLbl>
          <c:idx val="0"/>
          <c:layout>
            <c:manualLayout>
              <c:x val="-7.8816928583687856E-2"/>
              <c:y val="-4.3117283950617286E-2"/>
            </c:manualLayout>
          </c:layout>
          <c:numFmt formatCode="[&gt;=1000000]#,##0.0,,&quot;M&quot;;[&gt;=1000]##0,&quot;K&quot;;##0" sourceLinked="0"/>
          <c:spPr>
            <a:noFill/>
            <a:ln>
              <a:noFill/>
            </a:ln>
            <a:effectLst/>
          </c:spPr>
          <c:txPr>
            <a:bodyPr rot="0" spcFirstLastPara="1" vertOverflow="ellipsis" vert="horz" wrap="square" lIns="38100" tIns="19050" rIns="38100" bIns="19050" anchor="ctr" anchorCtr="1">
              <a:noAutofit/>
            </a:bodyPr>
            <a:lstStyle/>
            <a:p>
              <a:pPr>
                <a:defRPr sz="140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28621416376372982"/>
                  <c:h val="0.24639567901234569"/>
                </c:manualLayout>
              </c15:layout>
            </c:ext>
          </c:extLst>
        </c:dLbl>
      </c:pivotFmt>
    </c:pivotFmts>
    <c:plotArea>
      <c:layout>
        <c:manualLayout>
          <c:layoutTarget val="inner"/>
          <c:xMode val="edge"/>
          <c:yMode val="edge"/>
          <c:x val="0.2938862889075714"/>
          <c:y val="0.19169585662319227"/>
          <c:w val="0.38447609901640817"/>
          <c:h val="0.66856602062343495"/>
        </c:manualLayout>
      </c:layout>
      <c:doughnutChart>
        <c:varyColors val="1"/>
        <c:ser>
          <c:idx val="0"/>
          <c:order val="0"/>
          <c:tx>
            <c:strRef>
              <c:f>PivotTable!$M$2</c:f>
              <c:strCache>
                <c:ptCount val="1"/>
                <c:pt idx="0">
                  <c:v>Total</c:v>
                </c:pt>
              </c:strCache>
            </c:strRef>
          </c:tx>
          <c:spPr>
            <a:ln>
              <a:noFill/>
            </a:ln>
          </c:spPr>
          <c:dPt>
            <c:idx val="0"/>
            <c:bubble3D val="0"/>
            <c:spPr>
              <a:solidFill>
                <a:srgbClr val="6EC6FF"/>
              </a:solidFill>
              <a:ln w="19050">
                <a:noFill/>
              </a:ln>
              <a:effectLst/>
            </c:spPr>
            <c:extLst>
              <c:ext xmlns:c16="http://schemas.microsoft.com/office/drawing/2014/chart" uri="{C3380CC4-5D6E-409C-BE32-E72D297353CC}">
                <c16:uniqueId val="{00000001-F80C-44FF-B387-6ABD9292C0A5}"/>
              </c:ext>
            </c:extLst>
          </c:dPt>
          <c:dPt>
            <c:idx val="1"/>
            <c:bubble3D val="0"/>
            <c:spPr>
              <a:solidFill>
                <a:srgbClr val="F2994A"/>
              </a:solidFill>
              <a:ln w="19050">
                <a:noFill/>
              </a:ln>
              <a:effectLst/>
            </c:spPr>
            <c:extLst>
              <c:ext xmlns:c16="http://schemas.microsoft.com/office/drawing/2014/chart" uri="{C3380CC4-5D6E-409C-BE32-E72D297353CC}">
                <c16:uniqueId val="{00000003-F80C-44FF-B387-6ABD9292C0A5}"/>
              </c:ext>
            </c:extLst>
          </c:dPt>
          <c:dPt>
            <c:idx val="2"/>
            <c:bubble3D val="0"/>
            <c:spPr>
              <a:solidFill>
                <a:srgbClr val="5DCAA5"/>
              </a:solidFill>
              <a:ln w="19050">
                <a:noFill/>
              </a:ln>
              <a:effectLst/>
            </c:spPr>
            <c:extLst>
              <c:ext xmlns:c16="http://schemas.microsoft.com/office/drawing/2014/chart" uri="{C3380CC4-5D6E-409C-BE32-E72D297353CC}">
                <c16:uniqueId val="{00000005-F80C-44FF-B387-6ABD9292C0A5}"/>
              </c:ext>
            </c:extLst>
          </c:dPt>
          <c:dPt>
            <c:idx val="3"/>
            <c:bubble3D val="0"/>
            <c:spPr>
              <a:solidFill>
                <a:srgbClr val="D4537E"/>
              </a:solidFill>
              <a:ln w="19050">
                <a:noFill/>
              </a:ln>
              <a:effectLst/>
            </c:spPr>
            <c:extLst>
              <c:ext xmlns:c16="http://schemas.microsoft.com/office/drawing/2014/chart" uri="{C3380CC4-5D6E-409C-BE32-E72D297353CC}">
                <c16:uniqueId val="{00000007-F80C-44FF-B387-6ABD9292C0A5}"/>
              </c:ext>
            </c:extLst>
          </c:dPt>
          <c:dLbls>
            <c:dLbl>
              <c:idx val="0"/>
              <c:layout>
                <c:manualLayout>
                  <c:x val="0.11958430543731936"/>
                  <c:y val="-6.6635802469135766E-2"/>
                </c:manualLayout>
              </c:layout>
              <c:numFmt formatCode="[&gt;=1000000]#,##0.0,,&quot;M&quot;;[&gt;=1000]##0,&quot;K&quot;;##0" sourceLinked="0"/>
              <c:spPr>
                <a:noFill/>
                <a:ln>
                  <a:noFill/>
                </a:ln>
                <a:effectLst/>
              </c:spPr>
              <c:txPr>
                <a:bodyPr rot="0" spcFirstLastPara="1" vertOverflow="ellipsis" vert="horz" wrap="square" lIns="38100" tIns="19050" rIns="38100" bIns="19050" anchor="ctr" anchorCtr="1">
                  <a:noAutofit/>
                </a:bodyPr>
                <a:lstStyle/>
                <a:p>
                  <a:pPr>
                    <a:defRPr sz="140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35108864946347562"/>
                      <c:h val="0.24639567901234569"/>
                    </c:manualLayout>
                  </c15:layout>
                </c:ext>
                <c:ext xmlns:c16="http://schemas.microsoft.com/office/drawing/2014/chart" uri="{C3380CC4-5D6E-409C-BE32-E72D297353CC}">
                  <c16:uniqueId val="{00000001-F80C-44FF-B387-6ABD9292C0A5}"/>
                </c:ext>
              </c:extLst>
            </c:dLbl>
            <c:dLbl>
              <c:idx val="1"/>
              <c:layout>
                <c:manualLayout>
                  <c:x val="0.10599517981944225"/>
                  <c:y val="7.0555555555555552E-2"/>
                </c:manualLayout>
              </c:layout>
              <c:tx>
                <c:rich>
                  <a:bodyPr rot="0" spcFirstLastPara="1" vertOverflow="ellipsis" vert="horz" wrap="square" lIns="38100" tIns="19050" rIns="38100" bIns="19050" anchor="ctr" anchorCtr="1">
                    <a:noAutofit/>
                  </a:bodyPr>
                  <a:lstStyle/>
                  <a:p>
                    <a:pPr>
                      <a:defRPr sz="1400" b="1" i="0" u="none" strike="noStrike" kern="1200" baseline="0">
                        <a:solidFill>
                          <a:schemeClr val="bg1"/>
                        </a:solidFill>
                        <a:latin typeface="+mn-lt"/>
                        <a:ea typeface="+mn-ea"/>
                        <a:cs typeface="+mn-cs"/>
                      </a:defRPr>
                    </a:pPr>
                    <a:fld id="{C6FCD794-84A1-4D82-8C38-8AB1BC2F21DF}" type="CATEGORYNAME">
                      <a:rPr lang="en-US"/>
                      <a:pPr>
                        <a:defRPr sz="1400" b="1">
                          <a:solidFill>
                            <a:schemeClr val="bg1"/>
                          </a:solidFill>
                        </a:defRPr>
                      </a:pPr>
                      <a:t>[CATEGORY NAME]</a:t>
                    </a:fld>
                    <a:endParaRPr lang="en-US" baseline="0"/>
                  </a:p>
                  <a:p>
                    <a:pPr>
                      <a:defRPr sz="1400" b="1">
                        <a:solidFill>
                          <a:schemeClr val="bg1"/>
                        </a:solidFill>
                      </a:defRPr>
                    </a:pPr>
                    <a:fld id="{8F449963-9A99-4812-92CC-456D34566E46}" type="VALUE">
                      <a:rPr lang="en-US" baseline="0"/>
                      <a:pPr>
                        <a:defRPr sz="1400" b="1">
                          <a:solidFill>
                            <a:schemeClr val="bg1"/>
                          </a:solidFill>
                        </a:defRPr>
                      </a:pPr>
                      <a:t>[VALUE]</a:t>
                    </a:fld>
                    <a:endParaRPr lang="en-GB"/>
                  </a:p>
                </c:rich>
              </c:tx>
              <c:numFmt formatCode="[&gt;=1000000]#,##0.0,,&quot;M&quot;;[&gt;=1000]##0,&quot;K&quot;;##0" sourceLinked="0"/>
              <c:spPr>
                <a:noFill/>
                <a:ln>
                  <a:noFill/>
                </a:ln>
                <a:effectLst/>
              </c:spPr>
              <c:txPr>
                <a:bodyPr rot="0" spcFirstLastPara="1" vertOverflow="ellipsis" vert="horz" wrap="square" lIns="38100" tIns="19050" rIns="38100" bIns="19050" anchor="ctr" anchorCtr="1">
                  <a:noAutofit/>
                </a:bodyPr>
                <a:lstStyle/>
                <a:p>
                  <a:pPr>
                    <a:defRPr sz="140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35426850485805889"/>
                      <c:h val="0.17732962962962964"/>
                    </c:manualLayout>
                  </c15:layout>
                  <c15:dlblFieldTable/>
                  <c15:showDataLabelsRange val="0"/>
                </c:ext>
                <c:ext xmlns:c16="http://schemas.microsoft.com/office/drawing/2014/chart" uri="{C3380CC4-5D6E-409C-BE32-E72D297353CC}">
                  <c16:uniqueId val="{00000003-F80C-44FF-B387-6ABD9292C0A5}"/>
                </c:ext>
              </c:extLst>
            </c:dLbl>
            <c:dLbl>
              <c:idx val="2"/>
              <c:layout>
                <c:manualLayout>
                  <c:x val="-9.7841704448715955E-2"/>
                  <c:y val="1.9598919753086277E-2"/>
                </c:manualLayout>
              </c:layout>
              <c:numFmt formatCode="[&gt;=1000000]#,##0.0,,&quot;M&quot;;[&gt;=1000]##0,&quot;K&quot;;##0" sourceLinked="0"/>
              <c:spPr>
                <a:noFill/>
                <a:ln>
                  <a:noFill/>
                </a:ln>
                <a:effectLst/>
              </c:spPr>
              <c:txPr>
                <a:bodyPr rot="0" spcFirstLastPara="1" vertOverflow="ellipsis" vert="horz" wrap="square" lIns="38100" tIns="19050" rIns="38100" bIns="19050" anchor="ctr" anchorCtr="1">
                  <a:noAutofit/>
                </a:bodyPr>
                <a:lstStyle/>
                <a:p>
                  <a:pPr>
                    <a:defRPr sz="140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18233888754067643"/>
                      <c:h val="0.17340987654320983"/>
                    </c:manualLayout>
                  </c15:layout>
                </c:ext>
                <c:ext xmlns:c16="http://schemas.microsoft.com/office/drawing/2014/chart" uri="{C3380CC4-5D6E-409C-BE32-E72D297353CC}">
                  <c16:uniqueId val="{00000005-F80C-44FF-B387-6ABD9292C0A5}"/>
                </c:ext>
              </c:extLst>
            </c:dLbl>
            <c:dLbl>
              <c:idx val="3"/>
              <c:layout>
                <c:manualLayout>
                  <c:x val="-7.8816928583687856E-2"/>
                  <c:y val="-4.3117283950617286E-2"/>
                </c:manualLayout>
              </c:layout>
              <c:numFmt formatCode="[&gt;=1000000]#,##0.0,,&quot;M&quot;;[&gt;=1000]##0,&quot;K&quot;;##0" sourceLinked="0"/>
              <c:spPr>
                <a:noFill/>
                <a:ln>
                  <a:noFill/>
                </a:ln>
                <a:effectLst/>
              </c:spPr>
              <c:txPr>
                <a:bodyPr rot="0" spcFirstLastPara="1" vertOverflow="ellipsis" vert="horz" wrap="square" lIns="38100" tIns="19050" rIns="38100" bIns="19050" anchor="ctr" anchorCtr="1">
                  <a:noAutofit/>
                </a:bodyPr>
                <a:lstStyle/>
                <a:p>
                  <a:pPr>
                    <a:defRPr sz="140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28621416376372982"/>
                      <c:h val="0.24639567901234569"/>
                    </c:manualLayout>
                  </c15:layout>
                </c:ext>
                <c:ext xmlns:c16="http://schemas.microsoft.com/office/drawing/2014/chart" uri="{C3380CC4-5D6E-409C-BE32-E72D297353CC}">
                  <c16:uniqueId val="{00000007-F80C-44FF-B387-6ABD9292C0A5}"/>
                </c:ext>
              </c:extLst>
            </c:dLbl>
            <c:numFmt formatCode="[&gt;=10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PivotTable!$L$3:$L$7</c:f>
              <c:strCache>
                <c:ptCount val="4"/>
                <c:pt idx="0">
                  <c:v>Corporate Sales</c:v>
                </c:pt>
                <c:pt idx="1">
                  <c:v>Marketplace</c:v>
                </c:pt>
                <c:pt idx="2">
                  <c:v>Online</c:v>
                </c:pt>
                <c:pt idx="3">
                  <c:v>Retail Store</c:v>
                </c:pt>
              </c:strCache>
            </c:strRef>
          </c:cat>
          <c:val>
            <c:numRef>
              <c:f>PivotTable!$M$3:$M$7</c:f>
              <c:numCache>
                <c:formatCode>[&gt;=1000000]\$\ #,##0.00,,"M";[&gt;=1000]\$\ #.00,"K";\$\ ###.00</c:formatCode>
                <c:ptCount val="4"/>
                <c:pt idx="0">
                  <c:v>718745.00499999954</c:v>
                </c:pt>
                <c:pt idx="1">
                  <c:v>310402.93139999988</c:v>
                </c:pt>
                <c:pt idx="2">
                  <c:v>791536.99460000044</c:v>
                </c:pt>
                <c:pt idx="3">
                  <c:v>631399.37030000018</c:v>
                </c:pt>
              </c:numCache>
            </c:numRef>
          </c:val>
          <c:extLst>
            <c:ext xmlns:c16="http://schemas.microsoft.com/office/drawing/2014/chart" uri="{C3380CC4-5D6E-409C-BE32-E72D297353CC}">
              <c16:uniqueId val="{00000008-F80C-44FF-B387-6ABD9292C0A5}"/>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A2A3C"/>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[sales_data.xlsx]PivotTable!Top 5 Products by Revenue</c:name>
    <c:fmtId val="6"/>
  </c:pivotSource>
  <c:chart>
    <c:title>
      <c:tx>
        <c:rich>
          <a:bodyPr rot="0" spcFirstLastPara="1" vertOverflow="ellipsis" vert="horz" wrap="square" anchor="ctr" anchorCtr="1"/>
          <a:lstStyle/>
          <a:p>
            <a:pPr algn="r">
              <a:defRPr sz="1400" b="1" i="0" u="none" strike="noStrike" kern="1200" spc="0" baseline="0">
                <a:solidFill>
                  <a:schemeClr val="bg1"/>
                </a:solidFill>
                <a:latin typeface="+mn-lt"/>
                <a:ea typeface="+mn-ea"/>
                <a:cs typeface="+mn-cs"/>
              </a:defRPr>
            </a:pPr>
            <a:r>
              <a:rPr lang="en-US" b="1">
                <a:solidFill>
                  <a:schemeClr val="bg1"/>
                </a:solidFill>
              </a:rPr>
              <a:t>Top</a:t>
            </a:r>
            <a:r>
              <a:rPr lang="en-US" b="1" baseline="0">
                <a:solidFill>
                  <a:schemeClr val="bg1"/>
                </a:solidFill>
              </a:rPr>
              <a:t> 5 Products by Revenue</a:t>
            </a:r>
            <a:endParaRPr lang="en-US" b="1">
              <a:solidFill>
                <a:schemeClr val="bg1"/>
              </a:solidFill>
            </a:endParaRPr>
          </a:p>
        </c:rich>
      </c:tx>
      <c:overlay val="0"/>
      <c:spPr>
        <a:noFill/>
        <a:ln>
          <a:noFill/>
        </a:ln>
        <a:effectLst/>
      </c:spPr>
      <c:txPr>
        <a:bodyPr rot="0" spcFirstLastPara="1" vertOverflow="ellipsis" vert="horz" wrap="square" anchor="ctr" anchorCtr="1"/>
        <a:lstStyle/>
        <a:p>
          <a:pPr algn="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gt;=1000000]#,##0,,&quot;M&quot;;[&gt;=1000]##0,&quot;K&quot;;##0" sourceLinked="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gt;=1000000]#,##0,,&quot;M&quot;;[&gt;=1000]##0,&quot;K&quot;;##0" sourceLinked="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6EC6FF"/>
          </a:solidFill>
          <a:ln>
            <a:noFill/>
          </a:ln>
          <a:effectLst/>
        </c:spPr>
        <c:marker>
          <c:symbol val="none"/>
        </c:marker>
        <c:dLbl>
          <c:idx val="0"/>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6EC6FF"/>
          </a:solidFill>
          <a:ln>
            <a:noFill/>
          </a:ln>
          <a:effectLst/>
        </c:spPr>
      </c:pivotFmt>
      <c:pivotFmt>
        <c:idx val="4"/>
        <c:spPr>
          <a:solidFill>
            <a:srgbClr val="6EC6FF"/>
          </a:solidFill>
          <a:ln>
            <a:noFill/>
          </a:ln>
          <a:effectLst/>
        </c:spPr>
      </c:pivotFmt>
      <c:pivotFmt>
        <c:idx val="5"/>
        <c:spPr>
          <a:solidFill>
            <a:srgbClr val="6EC6FF"/>
          </a:solidFill>
          <a:ln>
            <a:noFill/>
          </a:ln>
          <a:effectLst/>
        </c:spPr>
      </c:pivotFmt>
      <c:pivotFmt>
        <c:idx val="6"/>
        <c:spPr>
          <a:solidFill>
            <a:srgbClr val="6EC6FF"/>
          </a:solidFill>
          <a:ln>
            <a:noFill/>
          </a:ln>
          <a:effectLst/>
        </c:spPr>
      </c:pivotFmt>
    </c:pivotFmts>
    <c:plotArea>
      <c:layout>
        <c:manualLayout>
          <c:layoutTarget val="inner"/>
          <c:xMode val="edge"/>
          <c:yMode val="edge"/>
          <c:x val="0.26852577137037081"/>
          <c:y val="0.12302895322939865"/>
          <c:w val="0.68741118720370553"/>
          <c:h val="0.69134419444785433"/>
        </c:manualLayout>
      </c:layout>
      <c:barChart>
        <c:barDir val="bar"/>
        <c:grouping val="clustered"/>
        <c:varyColors val="0"/>
        <c:ser>
          <c:idx val="0"/>
          <c:order val="0"/>
          <c:tx>
            <c:strRef>
              <c:f>PivotTable!$G$13</c:f>
              <c:strCache>
                <c:ptCount val="1"/>
                <c:pt idx="0">
                  <c:v>Total</c:v>
                </c:pt>
              </c:strCache>
            </c:strRef>
          </c:tx>
          <c:spPr>
            <a:solidFill>
              <a:srgbClr val="6EC6FF"/>
            </a:solidFill>
            <a:ln>
              <a:noFill/>
            </a:ln>
            <a:effectLst/>
          </c:spPr>
          <c:invertIfNegative val="0"/>
          <c:dLbls>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PivotTable!$F$14:$F$19</c:f>
              <c:strCache>
                <c:ptCount val="5"/>
                <c:pt idx="0">
                  <c:v>Ultrawide Monitor</c:v>
                </c:pt>
                <c:pt idx="1">
                  <c:v>All-in-One PC</c:v>
                </c:pt>
                <c:pt idx="2">
                  <c:v>Laptop Pro 14</c:v>
                </c:pt>
                <c:pt idx="3">
                  <c:v>Laptop Air 13</c:v>
                </c:pt>
                <c:pt idx="4">
                  <c:v>Gaming Laptop</c:v>
                </c:pt>
              </c:strCache>
            </c:strRef>
          </c:cat>
          <c:val>
            <c:numRef>
              <c:f>PivotTable!$G$14:$G$19</c:f>
              <c:numCache>
                <c:formatCode>[&gt;=1000000]\$\ #,##0.00,,"M";[&gt;=1000]\$\ #.00,"K";\$\ ###.00</c:formatCode>
                <c:ptCount val="5"/>
                <c:pt idx="0">
                  <c:v>190959.45000000004</c:v>
                </c:pt>
                <c:pt idx="1">
                  <c:v>254994.00000000003</c:v>
                </c:pt>
                <c:pt idx="2">
                  <c:v>263486.39999999991</c:v>
                </c:pt>
                <c:pt idx="3">
                  <c:v>273532.5</c:v>
                </c:pt>
                <c:pt idx="4">
                  <c:v>432576.06000000017</c:v>
                </c:pt>
              </c:numCache>
            </c:numRef>
          </c:val>
          <c:extLst>
            <c:ext xmlns:c16="http://schemas.microsoft.com/office/drawing/2014/chart" uri="{C3380CC4-5D6E-409C-BE32-E72D297353CC}">
              <c16:uniqueId val="{00000000-AC2C-4A85-A372-2DAC84ABDC5D}"/>
            </c:ext>
          </c:extLst>
        </c:ser>
        <c:dLbls>
          <c:dLblPos val="outEnd"/>
          <c:showLegendKey val="0"/>
          <c:showVal val="1"/>
          <c:showCatName val="0"/>
          <c:showSerName val="0"/>
          <c:showPercent val="0"/>
          <c:showBubbleSize val="0"/>
        </c:dLbls>
        <c:gapWidth val="182"/>
        <c:axId val="999332335"/>
        <c:axId val="919420799"/>
      </c:barChart>
      <c:catAx>
        <c:axId val="999332335"/>
        <c:scaling>
          <c:orientation val="minMax"/>
        </c:scaling>
        <c:delete val="0"/>
        <c:axPos val="l"/>
        <c:title>
          <c:tx>
            <c:rich>
              <a:bodyPr rot="-5400000" spcFirstLastPara="1" vertOverflow="ellipsis" vert="horz" wrap="square" anchor="ctr" anchorCtr="1"/>
              <a:lstStyle/>
              <a:p>
                <a:pPr>
                  <a:defRPr sz="1100" b="1" i="0" u="none" strike="noStrike" kern="1200" baseline="0">
                    <a:solidFill>
                      <a:srgbClr val="9BA3B4"/>
                    </a:solidFill>
                    <a:latin typeface="+mn-lt"/>
                    <a:ea typeface="+mn-ea"/>
                    <a:cs typeface="+mn-cs"/>
                  </a:defRPr>
                </a:pPr>
                <a:r>
                  <a:rPr lang="en-GB" sz="1100" b="1">
                    <a:solidFill>
                      <a:srgbClr val="9BA3B4"/>
                    </a:solidFill>
                  </a:rPr>
                  <a:t>Products</a:t>
                </a:r>
              </a:p>
            </c:rich>
          </c:tx>
          <c:layout>
            <c:manualLayout>
              <c:xMode val="edge"/>
              <c:yMode val="edge"/>
              <c:x val="1.2182233162571039E-2"/>
              <c:y val="0.35351174087648846"/>
            </c:manualLayout>
          </c:layout>
          <c:overlay val="0"/>
          <c:spPr>
            <a:noFill/>
            <a:ln>
              <a:noFill/>
            </a:ln>
            <a:effectLst/>
          </c:spPr>
          <c:txPr>
            <a:bodyPr rot="-5400000" spcFirstLastPara="1" vertOverflow="ellipsis" vert="horz" wrap="square" anchor="ctr" anchorCtr="1"/>
            <a:lstStyle/>
            <a:p>
              <a:pPr>
                <a:defRPr sz="1100" b="1" i="0" u="none" strike="noStrike" kern="1200" baseline="0">
                  <a:solidFill>
                    <a:srgbClr val="9BA3B4"/>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rgbClr val="9BA3B4"/>
                </a:solidFill>
                <a:latin typeface="+mn-lt"/>
                <a:ea typeface="+mn-ea"/>
                <a:cs typeface="+mn-cs"/>
              </a:defRPr>
            </a:pPr>
            <a:endParaRPr lang="en-US"/>
          </a:p>
        </c:txPr>
        <c:crossAx val="919420799"/>
        <c:crosses val="autoZero"/>
        <c:auto val="1"/>
        <c:lblAlgn val="ctr"/>
        <c:lblOffset val="100"/>
        <c:noMultiLvlLbl val="0"/>
      </c:catAx>
      <c:valAx>
        <c:axId val="919420799"/>
        <c:scaling>
          <c:orientation val="minMax"/>
        </c:scaling>
        <c:delete val="0"/>
        <c:axPos val="b"/>
        <c:majorGridlines>
          <c:spPr>
            <a:ln w="9525" cap="flat" cmpd="sng" algn="ctr">
              <a:solidFill>
                <a:srgbClr val="3A3A4E"/>
              </a:solidFill>
              <a:round/>
            </a:ln>
            <a:effectLst/>
          </c:spPr>
        </c:majorGridlines>
        <c:title>
          <c:tx>
            <c:rich>
              <a:bodyPr rot="0" spcFirstLastPara="1" vertOverflow="ellipsis" vert="horz" wrap="square" anchor="ctr" anchorCtr="1"/>
              <a:lstStyle/>
              <a:p>
                <a:pPr>
                  <a:defRPr sz="1100" b="1" i="0" u="none" strike="noStrike" kern="1200" baseline="0">
                    <a:solidFill>
                      <a:srgbClr val="9BA3B4"/>
                    </a:solidFill>
                    <a:latin typeface="+mn-lt"/>
                    <a:ea typeface="+mn-ea"/>
                    <a:cs typeface="+mn-cs"/>
                  </a:defRPr>
                </a:pPr>
                <a:r>
                  <a:rPr lang="en-GB" sz="1100" b="1">
                    <a:solidFill>
                      <a:srgbClr val="9BA3B4"/>
                    </a:solidFill>
                  </a:rPr>
                  <a:t>Revenue</a:t>
                </a:r>
                <a:r>
                  <a:rPr lang="en-GB" sz="1100" b="1" baseline="0">
                    <a:solidFill>
                      <a:srgbClr val="9BA3B4"/>
                    </a:solidFill>
                  </a:rPr>
                  <a:t> ($)</a:t>
                </a:r>
                <a:endParaRPr lang="en-GB" sz="1100" b="1">
                  <a:solidFill>
                    <a:srgbClr val="9BA3B4"/>
                  </a:solidFill>
                </a:endParaRPr>
              </a:p>
            </c:rich>
          </c:tx>
          <c:layout>
            <c:manualLayout>
              <c:xMode val="edge"/>
              <c:yMode val="edge"/>
              <c:x val="0.4305333573524765"/>
              <c:y val="0.90810690423162588"/>
            </c:manualLayout>
          </c:layout>
          <c:overlay val="0"/>
          <c:spPr>
            <a:noFill/>
            <a:ln>
              <a:noFill/>
            </a:ln>
            <a:effectLst/>
          </c:spPr>
          <c:txPr>
            <a:bodyPr rot="0" spcFirstLastPara="1" vertOverflow="ellipsis" vert="horz" wrap="square" anchor="ctr" anchorCtr="1"/>
            <a:lstStyle/>
            <a:p>
              <a:pPr>
                <a:defRPr sz="1100" b="1" i="0" u="none" strike="noStrike" kern="1200" baseline="0">
                  <a:solidFill>
                    <a:srgbClr val="9BA3B4"/>
                  </a:solidFill>
                  <a:latin typeface="+mn-lt"/>
                  <a:ea typeface="+mn-ea"/>
                  <a:cs typeface="+mn-cs"/>
                </a:defRPr>
              </a:pPr>
              <a:endParaRPr lang="en-GB"/>
            </a:p>
          </c:txPr>
        </c:title>
        <c:numFmt formatCode="[&gt;=10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rgbClr val="9BA3B4"/>
                </a:solidFill>
                <a:latin typeface="+mn-lt"/>
                <a:ea typeface="+mn-ea"/>
                <a:cs typeface="+mn-cs"/>
              </a:defRPr>
            </a:pPr>
            <a:endParaRPr lang="en-US"/>
          </a:p>
        </c:txPr>
        <c:crossAx val="999332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A2A3C"/>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149679</xdr:colOff>
      <xdr:row>0</xdr:row>
      <xdr:rowOff>108857</xdr:rowOff>
    </xdr:from>
    <xdr:to>
      <xdr:col>29</xdr:col>
      <xdr:colOff>381000</xdr:colOff>
      <xdr:row>5</xdr:row>
      <xdr:rowOff>13607</xdr:rowOff>
    </xdr:to>
    <xdr:sp macro="" textlink="">
      <xdr:nvSpPr>
        <xdr:cNvPr id="2" name="Rectangle: Rounded Corners 1">
          <a:extLst>
            <a:ext uri="{FF2B5EF4-FFF2-40B4-BE49-F238E27FC236}">
              <a16:creationId xmlns:a16="http://schemas.microsoft.com/office/drawing/2014/main" id="{CAEFB09D-BE71-EEDE-8373-C2DFD0DAEC45}"/>
            </a:ext>
          </a:extLst>
        </xdr:cNvPr>
        <xdr:cNvSpPr/>
      </xdr:nvSpPr>
      <xdr:spPr>
        <a:xfrm>
          <a:off x="149679" y="108857"/>
          <a:ext cx="20119521" cy="952500"/>
        </a:xfrm>
        <a:prstGeom prst="roundRect">
          <a:avLst/>
        </a:prstGeom>
        <a:solidFill>
          <a:srgbClr val="18182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4000" b="1"/>
            <a:t>Sales Dashboard</a:t>
          </a:r>
        </a:p>
      </xdr:txBody>
    </xdr:sp>
    <xdr:clientData/>
  </xdr:twoCellAnchor>
  <xdr:twoCellAnchor>
    <xdr:from>
      <xdr:col>0</xdr:col>
      <xdr:colOff>489856</xdr:colOff>
      <xdr:row>1</xdr:row>
      <xdr:rowOff>183697</xdr:rowOff>
    </xdr:from>
    <xdr:to>
      <xdr:col>6</xdr:col>
      <xdr:colOff>108856</xdr:colOff>
      <xdr:row>3</xdr:row>
      <xdr:rowOff>142876</xdr:rowOff>
    </xdr:to>
    <xdr:sp macro="" textlink="">
      <xdr:nvSpPr>
        <xdr:cNvPr id="4" name="TextBox 3">
          <a:extLst>
            <a:ext uri="{FF2B5EF4-FFF2-40B4-BE49-F238E27FC236}">
              <a16:creationId xmlns:a16="http://schemas.microsoft.com/office/drawing/2014/main" id="{27345E4E-CC72-5F32-0A7B-8EB171E8B95F}"/>
            </a:ext>
          </a:extLst>
        </xdr:cNvPr>
        <xdr:cNvSpPr txBox="1"/>
      </xdr:nvSpPr>
      <xdr:spPr>
        <a:xfrm>
          <a:off x="489856" y="387804"/>
          <a:ext cx="3701143" cy="3673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GB" sz="2800" b="1">
              <a:solidFill>
                <a:srgbClr val="6EC6FF"/>
              </a:solidFill>
            </a:rPr>
            <a:t>NORTHLINE RETAIL</a:t>
          </a:r>
        </a:p>
      </xdr:txBody>
    </xdr:sp>
    <xdr:clientData/>
  </xdr:twoCellAnchor>
  <xdr:twoCellAnchor>
    <xdr:from>
      <xdr:col>8</xdr:col>
      <xdr:colOff>411617</xdr:colOff>
      <xdr:row>5</xdr:row>
      <xdr:rowOff>143555</xdr:rowOff>
    </xdr:from>
    <xdr:to>
      <xdr:col>13</xdr:col>
      <xdr:colOff>357189</xdr:colOff>
      <xdr:row>11</xdr:row>
      <xdr:rowOff>18369</xdr:rowOff>
    </xdr:to>
    <xdr:sp macro="" textlink="">
      <xdr:nvSpPr>
        <xdr:cNvPr id="5" name="Rectangle: Rounded Corners 4">
          <a:extLst>
            <a:ext uri="{FF2B5EF4-FFF2-40B4-BE49-F238E27FC236}">
              <a16:creationId xmlns:a16="http://schemas.microsoft.com/office/drawing/2014/main" id="{0592A5B7-095B-007F-DF04-E1AFBD2BE4C6}"/>
            </a:ext>
          </a:extLst>
        </xdr:cNvPr>
        <xdr:cNvSpPr/>
      </xdr:nvSpPr>
      <xdr:spPr>
        <a:xfrm>
          <a:off x="5872617" y="1175430"/>
          <a:ext cx="3358697" cy="1113064"/>
        </a:xfrm>
        <a:prstGeom prst="roundRect">
          <a:avLst/>
        </a:prstGeom>
        <a:solidFill>
          <a:srgbClr val="2A2A3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800" b="1"/>
            <a:t>Total</a:t>
          </a:r>
          <a:r>
            <a:rPr lang="en-GB" sz="1800" b="1" baseline="0"/>
            <a:t> Orders</a:t>
          </a:r>
        </a:p>
      </xdr:txBody>
    </xdr:sp>
    <xdr:clientData/>
  </xdr:twoCellAnchor>
  <xdr:twoCellAnchor>
    <xdr:from>
      <xdr:col>9</xdr:col>
      <xdr:colOff>628256</xdr:colOff>
      <xdr:row>7</xdr:row>
      <xdr:rowOff>55227</xdr:rowOff>
    </xdr:from>
    <xdr:to>
      <xdr:col>12</xdr:col>
      <xdr:colOff>140551</xdr:colOff>
      <xdr:row>10</xdr:row>
      <xdr:rowOff>142875</xdr:rowOff>
    </xdr:to>
    <xdr:sp macro="" textlink="PivotTable!$A$5">
      <xdr:nvSpPr>
        <xdr:cNvPr id="15" name="TextBox 14">
          <a:extLst>
            <a:ext uri="{FF2B5EF4-FFF2-40B4-BE49-F238E27FC236}">
              <a16:creationId xmlns:a16="http://schemas.microsoft.com/office/drawing/2014/main" id="{3ECB5B33-F2AE-1E53-9CFC-88A36A51BF18}"/>
            </a:ext>
          </a:extLst>
        </xdr:cNvPr>
        <xdr:cNvSpPr txBox="1"/>
      </xdr:nvSpPr>
      <xdr:spPr>
        <a:xfrm>
          <a:off x="6771881" y="1499852"/>
          <a:ext cx="1560170" cy="7067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B051EA4-D73F-4D5E-88D8-4DEFA79D3F87}" type="TxLink">
            <a:rPr lang="en-US" sz="4000" b="1" i="0" u="none" strike="noStrike">
              <a:solidFill>
                <a:srgbClr val="6EC6FF"/>
              </a:solidFill>
              <a:latin typeface="Segoe UI"/>
              <a:cs typeface="Segoe UI"/>
            </a:rPr>
            <a:pPr algn="ctr"/>
            <a:t>2,000</a:t>
          </a:fld>
          <a:endParaRPr lang="en-GB" sz="8000" b="1">
            <a:solidFill>
              <a:srgbClr val="6EC6FF"/>
            </a:solidFill>
          </a:endParaRPr>
        </a:p>
      </xdr:txBody>
    </xdr:sp>
    <xdr:clientData/>
  </xdr:twoCellAnchor>
  <xdr:twoCellAnchor>
    <xdr:from>
      <xdr:col>13</xdr:col>
      <xdr:colOff>651784</xdr:colOff>
      <xdr:row>5</xdr:row>
      <xdr:rowOff>143555</xdr:rowOff>
    </xdr:from>
    <xdr:to>
      <xdr:col>18</xdr:col>
      <xdr:colOff>597355</xdr:colOff>
      <xdr:row>11</xdr:row>
      <xdr:rowOff>18369</xdr:rowOff>
    </xdr:to>
    <xdr:sp macro="" textlink="">
      <xdr:nvSpPr>
        <xdr:cNvPr id="12" name="Rectangle: Rounded Corners 11">
          <a:extLst>
            <a:ext uri="{FF2B5EF4-FFF2-40B4-BE49-F238E27FC236}">
              <a16:creationId xmlns:a16="http://schemas.microsoft.com/office/drawing/2014/main" id="{CFC9F2FC-1583-0DF6-2F98-31BEB71607E6}"/>
            </a:ext>
          </a:extLst>
        </xdr:cNvPr>
        <xdr:cNvSpPr/>
      </xdr:nvSpPr>
      <xdr:spPr>
        <a:xfrm>
          <a:off x="9567184" y="1191305"/>
          <a:ext cx="3374571" cy="1132114"/>
        </a:xfrm>
        <a:prstGeom prst="roundRect">
          <a:avLst/>
        </a:prstGeom>
        <a:solidFill>
          <a:srgbClr val="2A2A3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800" b="1"/>
            <a:t>Quantity</a:t>
          </a:r>
          <a:r>
            <a:rPr lang="en-GB" sz="1800" b="1" baseline="0"/>
            <a:t> Sold</a:t>
          </a:r>
          <a:endParaRPr lang="en-GB" sz="1800" b="1"/>
        </a:p>
      </xdr:txBody>
    </xdr:sp>
    <xdr:clientData/>
  </xdr:twoCellAnchor>
  <xdr:twoCellAnchor>
    <xdr:from>
      <xdr:col>15</xdr:col>
      <xdr:colOff>128967</xdr:colOff>
      <xdr:row>7</xdr:row>
      <xdr:rowOff>43090</xdr:rowOff>
    </xdr:from>
    <xdr:to>
      <xdr:col>17</xdr:col>
      <xdr:colOff>460375</xdr:colOff>
      <xdr:row>10</xdr:row>
      <xdr:rowOff>111125</xdr:rowOff>
    </xdr:to>
    <xdr:sp macro="" textlink="PivotTable!$A$8">
      <xdr:nvSpPr>
        <xdr:cNvPr id="18" name="TextBox 17">
          <a:extLst>
            <a:ext uri="{FF2B5EF4-FFF2-40B4-BE49-F238E27FC236}">
              <a16:creationId xmlns:a16="http://schemas.microsoft.com/office/drawing/2014/main" id="{E22ECA64-18C3-40A9-8F8D-B510078A8F7A}"/>
            </a:ext>
          </a:extLst>
        </xdr:cNvPr>
        <xdr:cNvSpPr txBox="1"/>
      </xdr:nvSpPr>
      <xdr:spPr>
        <a:xfrm>
          <a:off x="10368342" y="1487715"/>
          <a:ext cx="1696658" cy="6871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3B8668B-7832-48EC-B39E-BDC4D8241E65}" type="TxLink">
            <a:rPr lang="en-US" sz="4000" b="1" i="0" u="none" strike="noStrike">
              <a:solidFill>
                <a:srgbClr val="6EC6FF"/>
              </a:solidFill>
              <a:latin typeface="Segoe UI"/>
              <a:cs typeface="Segoe UI"/>
            </a:rPr>
            <a:pPr algn="ctr"/>
            <a:t>5,552</a:t>
          </a:fld>
          <a:endParaRPr lang="en-GB" sz="85700" b="1">
            <a:solidFill>
              <a:srgbClr val="6EC6FF"/>
            </a:solidFill>
          </a:endParaRPr>
        </a:p>
      </xdr:txBody>
    </xdr:sp>
    <xdr:clientData/>
  </xdr:twoCellAnchor>
  <xdr:twoCellAnchor>
    <xdr:from>
      <xdr:col>19</xdr:col>
      <xdr:colOff>206150</xdr:colOff>
      <xdr:row>5</xdr:row>
      <xdr:rowOff>143555</xdr:rowOff>
    </xdr:from>
    <xdr:to>
      <xdr:col>24</xdr:col>
      <xdr:colOff>151721</xdr:colOff>
      <xdr:row>11</xdr:row>
      <xdr:rowOff>18369</xdr:rowOff>
    </xdr:to>
    <xdr:grpSp>
      <xdr:nvGrpSpPr>
        <xdr:cNvPr id="53" name="Group 52">
          <a:extLst>
            <a:ext uri="{FF2B5EF4-FFF2-40B4-BE49-F238E27FC236}">
              <a16:creationId xmlns:a16="http://schemas.microsoft.com/office/drawing/2014/main" id="{BF906F64-6CFD-9B9B-435C-C38E8E829B5C}"/>
            </a:ext>
          </a:extLst>
        </xdr:cNvPr>
        <xdr:cNvGrpSpPr/>
      </xdr:nvGrpSpPr>
      <xdr:grpSpPr>
        <a:xfrm>
          <a:off x="13260084" y="1158514"/>
          <a:ext cx="3380817" cy="1092765"/>
          <a:chOff x="10509250" y="1315810"/>
          <a:chExt cx="3374571" cy="1132114"/>
        </a:xfrm>
      </xdr:grpSpPr>
      <xdr:sp macro="" textlink="">
        <xdr:nvSpPr>
          <xdr:cNvPr id="13" name="Rectangle: Rounded Corners 12">
            <a:extLst>
              <a:ext uri="{FF2B5EF4-FFF2-40B4-BE49-F238E27FC236}">
                <a16:creationId xmlns:a16="http://schemas.microsoft.com/office/drawing/2014/main" id="{86D6B16B-9F48-32C4-34BA-D5B5F8C73C96}"/>
              </a:ext>
            </a:extLst>
          </xdr:cNvPr>
          <xdr:cNvSpPr/>
        </xdr:nvSpPr>
        <xdr:spPr>
          <a:xfrm>
            <a:off x="10509250" y="1315810"/>
            <a:ext cx="3374571" cy="1132114"/>
          </a:xfrm>
          <a:prstGeom prst="roundRect">
            <a:avLst/>
          </a:prstGeom>
          <a:solidFill>
            <a:srgbClr val="2A2A3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800" b="1"/>
              <a:t>Revemue</a:t>
            </a:r>
            <a:r>
              <a:rPr lang="en-GB" sz="1800" b="1" baseline="0"/>
              <a:t> Growth %</a:t>
            </a:r>
            <a:endParaRPr lang="en-GB" sz="1800" b="1"/>
          </a:p>
        </xdr:txBody>
      </xdr:sp>
      <xdr:sp macro="" textlink="PivotTable!$A$8">
        <xdr:nvSpPr>
          <xdr:cNvPr id="19" name="TextBox 18">
            <a:extLst>
              <a:ext uri="{FF2B5EF4-FFF2-40B4-BE49-F238E27FC236}">
                <a16:creationId xmlns:a16="http://schemas.microsoft.com/office/drawing/2014/main" id="{133FBECE-E1C1-4FAC-9001-F30BCE81BAB9}"/>
              </a:ext>
            </a:extLst>
          </xdr:cNvPr>
          <xdr:cNvSpPr txBox="1"/>
        </xdr:nvSpPr>
        <xdr:spPr>
          <a:xfrm>
            <a:off x="11606289" y="1666195"/>
            <a:ext cx="1144814" cy="5742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6A18F43-6159-43DC-94B3-05728E42CE77}" type="TxLink">
              <a:rPr lang="en-US" sz="1100" b="0" i="0" u="none" strike="noStrike">
                <a:solidFill>
                  <a:srgbClr val="1F2937"/>
                </a:solidFill>
                <a:latin typeface="Segoe UI"/>
                <a:cs typeface="Segoe UI"/>
              </a:rPr>
              <a:pPr/>
              <a:t>5,552</a:t>
            </a:fld>
            <a:endParaRPr lang="en-GB" sz="13800" b="1">
              <a:solidFill>
                <a:srgbClr val="6EC6FF"/>
              </a:solidFill>
            </a:endParaRPr>
          </a:p>
        </xdr:txBody>
      </xdr:sp>
    </xdr:grpSp>
    <xdr:clientData/>
  </xdr:twoCellAnchor>
  <xdr:twoCellAnchor>
    <xdr:from>
      <xdr:col>24</xdr:col>
      <xdr:colOff>446314</xdr:colOff>
      <xdr:row>5</xdr:row>
      <xdr:rowOff>143555</xdr:rowOff>
    </xdr:from>
    <xdr:to>
      <xdr:col>29</xdr:col>
      <xdr:colOff>391885</xdr:colOff>
      <xdr:row>11</xdr:row>
      <xdr:rowOff>18369</xdr:rowOff>
    </xdr:to>
    <xdr:sp macro="" textlink="">
      <xdr:nvSpPr>
        <xdr:cNvPr id="14" name="Rectangle: Rounded Corners 13">
          <a:extLst>
            <a:ext uri="{FF2B5EF4-FFF2-40B4-BE49-F238E27FC236}">
              <a16:creationId xmlns:a16="http://schemas.microsoft.com/office/drawing/2014/main" id="{AF8076CB-9D53-E05C-A238-5D1AD482A33F}"/>
            </a:ext>
          </a:extLst>
        </xdr:cNvPr>
        <xdr:cNvSpPr/>
      </xdr:nvSpPr>
      <xdr:spPr>
        <a:xfrm>
          <a:off x="16829314" y="1175430"/>
          <a:ext cx="3358696" cy="1113064"/>
        </a:xfrm>
        <a:prstGeom prst="roundRect">
          <a:avLst/>
        </a:prstGeom>
        <a:solidFill>
          <a:srgbClr val="2A2A3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800" b="1"/>
            <a:t>Average Order</a:t>
          </a:r>
          <a:r>
            <a:rPr lang="en-GB" sz="1800" b="1" baseline="0"/>
            <a:t> Value</a:t>
          </a:r>
          <a:endParaRPr lang="en-GB" sz="1800" b="1"/>
        </a:p>
      </xdr:txBody>
    </xdr:sp>
    <xdr:clientData/>
  </xdr:twoCellAnchor>
  <xdr:twoCellAnchor>
    <xdr:from>
      <xdr:col>25</xdr:col>
      <xdr:colOff>265451</xdr:colOff>
      <xdr:row>7</xdr:row>
      <xdr:rowOff>90909</xdr:rowOff>
    </xdr:from>
    <xdr:to>
      <xdr:col>29</xdr:col>
      <xdr:colOff>249837</xdr:colOff>
      <xdr:row>10</xdr:row>
      <xdr:rowOff>190240</xdr:rowOff>
    </xdr:to>
    <xdr:sp macro="" textlink="PivotTable!$A$11">
      <xdr:nvSpPr>
        <xdr:cNvPr id="20" name="TextBox 19">
          <a:extLst>
            <a:ext uri="{FF2B5EF4-FFF2-40B4-BE49-F238E27FC236}">
              <a16:creationId xmlns:a16="http://schemas.microsoft.com/office/drawing/2014/main" id="{F321FA4A-E0E7-4F6F-A175-256602129ED3}"/>
            </a:ext>
          </a:extLst>
        </xdr:cNvPr>
        <xdr:cNvSpPr txBox="1"/>
      </xdr:nvSpPr>
      <xdr:spPr>
        <a:xfrm>
          <a:off x="17441681" y="1511852"/>
          <a:ext cx="2732582" cy="7083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CAB0AC8-EEA8-4730-866C-AFC29C499A25}" type="TxLink">
            <a:rPr lang="en-US" sz="4000" b="1" i="0" u="none" strike="noStrike">
              <a:solidFill>
                <a:srgbClr val="6EC6FF"/>
              </a:solidFill>
              <a:latin typeface="Segoe UI"/>
              <a:cs typeface="Segoe UI"/>
            </a:rPr>
            <a:pPr/>
            <a:t> $ 1.23K</a:t>
          </a:fld>
          <a:endParaRPr lang="en-GB" sz="85700" b="1">
            <a:solidFill>
              <a:srgbClr val="6EC6FF"/>
            </a:solidFill>
          </a:endParaRPr>
        </a:p>
      </xdr:txBody>
    </xdr:sp>
    <xdr:clientData/>
  </xdr:twoCellAnchor>
  <xdr:twoCellAnchor>
    <xdr:from>
      <xdr:col>3</xdr:col>
      <xdr:colOff>190501</xdr:colOff>
      <xdr:row>17</xdr:row>
      <xdr:rowOff>158564</xdr:rowOff>
    </xdr:from>
    <xdr:to>
      <xdr:col>16</xdr:col>
      <xdr:colOff>623455</xdr:colOff>
      <xdr:row>33</xdr:row>
      <xdr:rowOff>207976</xdr:rowOff>
    </xdr:to>
    <xdr:graphicFrame macro="">
      <xdr:nvGraphicFramePr>
        <xdr:cNvPr id="34" name="Ch_Revenue by Month">
          <a:extLst>
            <a:ext uri="{FF2B5EF4-FFF2-40B4-BE49-F238E27FC236}">
              <a16:creationId xmlns:a16="http://schemas.microsoft.com/office/drawing/2014/main" id="{F48192DB-A2E2-4144-8C03-9D54D6D41F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51954</xdr:colOff>
      <xdr:row>17</xdr:row>
      <xdr:rowOff>158564</xdr:rowOff>
    </xdr:from>
    <xdr:to>
      <xdr:col>29</xdr:col>
      <xdr:colOff>565464</xdr:colOff>
      <xdr:row>33</xdr:row>
      <xdr:rowOff>207976</xdr:rowOff>
    </xdr:to>
    <xdr:graphicFrame macro="">
      <xdr:nvGraphicFramePr>
        <xdr:cNvPr id="35" name="Ch_Revenue by Region">
          <a:extLst>
            <a:ext uri="{FF2B5EF4-FFF2-40B4-BE49-F238E27FC236}">
              <a16:creationId xmlns:a16="http://schemas.microsoft.com/office/drawing/2014/main" id="{2B60E112-1673-40CA-A93D-C4F55A6669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223593</xdr:colOff>
      <xdr:row>34</xdr:row>
      <xdr:rowOff>43459</xdr:rowOff>
    </xdr:from>
    <xdr:to>
      <xdr:col>14</xdr:col>
      <xdr:colOff>640772</xdr:colOff>
      <xdr:row>49</xdr:row>
      <xdr:rowOff>89783</xdr:rowOff>
    </xdr:to>
    <xdr:graphicFrame macro="">
      <xdr:nvGraphicFramePr>
        <xdr:cNvPr id="36" name="Ch_Revenue by Category">
          <a:extLst>
            <a:ext uri="{FF2B5EF4-FFF2-40B4-BE49-F238E27FC236}">
              <a16:creationId xmlns:a16="http://schemas.microsoft.com/office/drawing/2014/main" id="{20C62DE5-55E7-4E9D-AE23-7C2C2FBCBE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18294</xdr:colOff>
      <xdr:row>34</xdr:row>
      <xdr:rowOff>43459</xdr:rowOff>
    </xdr:from>
    <xdr:to>
      <xdr:col>21</xdr:col>
      <xdr:colOff>589795</xdr:colOff>
      <xdr:row>49</xdr:row>
      <xdr:rowOff>89783</xdr:rowOff>
    </xdr:to>
    <xdr:graphicFrame macro="">
      <xdr:nvGraphicFramePr>
        <xdr:cNvPr id="37" name="Ch_Revenue by Sales Channle">
          <a:extLst>
            <a:ext uri="{FF2B5EF4-FFF2-40B4-BE49-F238E27FC236}">
              <a16:creationId xmlns:a16="http://schemas.microsoft.com/office/drawing/2014/main" id="{FBEE9989-F329-4F44-9894-E2C07CEBE9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650874</xdr:colOff>
      <xdr:row>34</xdr:row>
      <xdr:rowOff>43459</xdr:rowOff>
    </xdr:from>
    <xdr:to>
      <xdr:col>29</xdr:col>
      <xdr:colOff>606136</xdr:colOff>
      <xdr:row>49</xdr:row>
      <xdr:rowOff>89783</xdr:rowOff>
    </xdr:to>
    <xdr:graphicFrame macro="">
      <xdr:nvGraphicFramePr>
        <xdr:cNvPr id="38" name="Ch_Top 5 Products by Revenue">
          <a:extLst>
            <a:ext uri="{FF2B5EF4-FFF2-40B4-BE49-F238E27FC236}">
              <a16:creationId xmlns:a16="http://schemas.microsoft.com/office/drawing/2014/main" id="{F8548BBF-4F13-4D75-8F5A-B0F3CD18FD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xdr:col>
      <xdr:colOff>190046</xdr:colOff>
      <xdr:row>11</xdr:row>
      <xdr:rowOff>54975</xdr:rowOff>
    </xdr:from>
    <xdr:to>
      <xdr:col>5</xdr:col>
      <xdr:colOff>333375</xdr:colOff>
      <xdr:row>17</xdr:row>
      <xdr:rowOff>93675</xdr:rowOff>
    </xdr:to>
    <mc:AlternateContent xmlns:mc="http://schemas.openxmlformats.org/markup-compatibility/2006" xmlns:tsle="http://schemas.microsoft.com/office/drawing/2012/timeslicer">
      <mc:Choice Requires="tsle">
        <xdr:graphicFrame macro="">
          <xdr:nvGraphicFramePr>
            <xdr:cNvPr id="47" name="Date 5">
              <a:extLst>
                <a:ext uri="{FF2B5EF4-FFF2-40B4-BE49-F238E27FC236}">
                  <a16:creationId xmlns:a16="http://schemas.microsoft.com/office/drawing/2014/main" id="{C18E3347-49E3-42B8-AEB0-6A6FA88EB5C6}"/>
                </a:ext>
              </a:extLst>
            </xdr:cNvPr>
            <xdr:cNvGraphicFramePr/>
          </xdr:nvGraphicFramePr>
          <xdr:xfrm>
            <a:off x="0" y="0"/>
            <a:ext cx="0" cy="0"/>
          </xdr:xfrm>
          <a:graphic>
            <a:graphicData uri="http://schemas.microsoft.com/office/drawing/2012/timeslicer">
              <tsle:timeslicer name="Date 5"/>
            </a:graphicData>
          </a:graphic>
        </xdr:graphicFrame>
      </mc:Choice>
      <mc:Fallback xmlns="">
        <xdr:sp macro="" textlink="">
          <xdr:nvSpPr>
            <xdr:cNvPr id="0" name=""/>
            <xdr:cNvSpPr>
              <a:spLocks noTextEdit="1"/>
            </xdr:cNvSpPr>
          </xdr:nvSpPr>
          <xdr:spPr>
            <a:xfrm>
              <a:off x="2251194" y="2287885"/>
              <a:ext cx="1517427" cy="1256651"/>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twoCellAnchor editAs="oneCell">
    <xdr:from>
      <xdr:col>5</xdr:col>
      <xdr:colOff>508756</xdr:colOff>
      <xdr:row>11</xdr:row>
      <xdr:rowOff>54975</xdr:rowOff>
    </xdr:from>
    <xdr:to>
      <xdr:col>10</xdr:col>
      <xdr:colOff>335947</xdr:colOff>
      <xdr:row>17</xdr:row>
      <xdr:rowOff>93675</xdr:rowOff>
    </xdr:to>
    <mc:AlternateContent xmlns:mc="http://schemas.openxmlformats.org/markup-compatibility/2006" xmlns:tsle="http://schemas.microsoft.com/office/drawing/2012/timeslicer">
      <mc:Choice Requires="tsle">
        <xdr:graphicFrame macro="">
          <xdr:nvGraphicFramePr>
            <xdr:cNvPr id="48" name="Quarters">
              <a:extLst>
                <a:ext uri="{FF2B5EF4-FFF2-40B4-BE49-F238E27FC236}">
                  <a16:creationId xmlns:a16="http://schemas.microsoft.com/office/drawing/2014/main" id="{9608BD0C-3F0E-4F0D-BBAC-820DD02D6417}"/>
                </a:ext>
              </a:extLst>
            </xdr:cNvPr>
            <xdr:cNvGraphicFramePr/>
          </xdr:nvGraphicFramePr>
          <xdr:xfrm>
            <a:off x="0" y="0"/>
            <a:ext cx="0" cy="0"/>
          </xdr:xfrm>
          <a:graphic>
            <a:graphicData uri="http://schemas.microsoft.com/office/drawing/2012/timeslicer">
              <tsle:timeslicer name="Quarters"/>
            </a:graphicData>
          </a:graphic>
        </xdr:graphicFrame>
      </mc:Choice>
      <mc:Fallback xmlns="">
        <xdr:sp macro="" textlink="">
          <xdr:nvSpPr>
            <xdr:cNvPr id="0" name=""/>
            <xdr:cNvSpPr>
              <a:spLocks noTextEdit="1"/>
            </xdr:cNvSpPr>
          </xdr:nvSpPr>
          <xdr:spPr>
            <a:xfrm>
              <a:off x="3944002" y="2287885"/>
              <a:ext cx="3262437" cy="1256651"/>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twoCellAnchor editAs="oneCell">
    <xdr:from>
      <xdr:col>10</xdr:col>
      <xdr:colOff>511328</xdr:colOff>
      <xdr:row>11</xdr:row>
      <xdr:rowOff>54975</xdr:rowOff>
    </xdr:from>
    <xdr:to>
      <xdr:col>20</xdr:col>
      <xdr:colOff>62746</xdr:colOff>
      <xdr:row>17</xdr:row>
      <xdr:rowOff>93675</xdr:rowOff>
    </xdr:to>
    <mc:AlternateContent xmlns:mc="http://schemas.openxmlformats.org/markup-compatibility/2006" xmlns:tsle="http://schemas.microsoft.com/office/drawing/2012/timeslicer">
      <mc:Choice Requires="tsle">
        <xdr:graphicFrame macro="">
          <xdr:nvGraphicFramePr>
            <xdr:cNvPr id="50" name="Date 6">
              <a:extLst>
                <a:ext uri="{FF2B5EF4-FFF2-40B4-BE49-F238E27FC236}">
                  <a16:creationId xmlns:a16="http://schemas.microsoft.com/office/drawing/2014/main" id="{AE78F95A-4D19-41B9-AFD9-A6470BBD532F}"/>
                </a:ext>
              </a:extLst>
            </xdr:cNvPr>
            <xdr:cNvGraphicFramePr/>
          </xdr:nvGraphicFramePr>
          <xdr:xfrm>
            <a:off x="0" y="0"/>
            <a:ext cx="0" cy="0"/>
          </xdr:xfrm>
          <a:graphic>
            <a:graphicData uri="http://schemas.microsoft.com/office/drawing/2012/timeslicer">
              <tsle:timeslicer name="Date 6"/>
            </a:graphicData>
          </a:graphic>
        </xdr:graphicFrame>
      </mc:Choice>
      <mc:Fallback xmlns="">
        <xdr:sp macro="" textlink="">
          <xdr:nvSpPr>
            <xdr:cNvPr id="0" name=""/>
            <xdr:cNvSpPr>
              <a:spLocks noTextEdit="1"/>
            </xdr:cNvSpPr>
          </xdr:nvSpPr>
          <xdr:spPr>
            <a:xfrm>
              <a:off x="7381820" y="2287885"/>
              <a:ext cx="6421910" cy="1256651"/>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twoCellAnchor editAs="oneCell">
    <xdr:from>
      <xdr:col>20</xdr:col>
      <xdr:colOff>238126</xdr:colOff>
      <xdr:row>11</xdr:row>
      <xdr:rowOff>54975</xdr:rowOff>
    </xdr:from>
    <xdr:to>
      <xdr:col>29</xdr:col>
      <xdr:colOff>517526</xdr:colOff>
      <xdr:row>17</xdr:row>
      <xdr:rowOff>93675</xdr:rowOff>
    </xdr:to>
    <mc:AlternateContent xmlns:mc="http://schemas.openxmlformats.org/markup-compatibility/2006" xmlns:tsle="http://schemas.microsoft.com/office/drawing/2012/timeslicer">
      <mc:Choice Requires="tsle">
        <xdr:graphicFrame macro="">
          <xdr:nvGraphicFramePr>
            <xdr:cNvPr id="51" name="Date 7">
              <a:extLst>
                <a:ext uri="{FF2B5EF4-FFF2-40B4-BE49-F238E27FC236}">
                  <a16:creationId xmlns:a16="http://schemas.microsoft.com/office/drawing/2014/main" id="{F9AC56A8-EEC2-4D8A-80BF-9DAC32521C10}"/>
                </a:ext>
              </a:extLst>
            </xdr:cNvPr>
            <xdr:cNvGraphicFramePr/>
          </xdr:nvGraphicFramePr>
          <xdr:xfrm>
            <a:off x="0" y="0"/>
            <a:ext cx="0" cy="0"/>
          </xdr:xfrm>
          <a:graphic>
            <a:graphicData uri="http://schemas.microsoft.com/office/drawing/2012/timeslicer">
              <tsle:timeslicer name="Date 7"/>
            </a:graphicData>
          </a:graphic>
        </xdr:graphicFrame>
      </mc:Choice>
      <mc:Fallback xmlns="">
        <xdr:sp macro="" textlink="">
          <xdr:nvSpPr>
            <xdr:cNvPr id="0" name=""/>
            <xdr:cNvSpPr>
              <a:spLocks noTextEdit="1"/>
            </xdr:cNvSpPr>
          </xdr:nvSpPr>
          <xdr:spPr>
            <a:xfrm>
              <a:off x="13979110" y="2287885"/>
              <a:ext cx="6462842" cy="1256651"/>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twoCellAnchor editAs="oneCell">
    <xdr:from>
      <xdr:col>0</xdr:col>
      <xdr:colOff>60917</xdr:colOff>
      <xdr:row>5</xdr:row>
      <xdr:rowOff>122465</xdr:rowOff>
    </xdr:from>
    <xdr:to>
      <xdr:col>3</xdr:col>
      <xdr:colOff>107846</xdr:colOff>
      <xdr:row>15</xdr:row>
      <xdr:rowOff>0</xdr:rowOff>
    </xdr:to>
    <mc:AlternateContent xmlns:mc="http://schemas.openxmlformats.org/markup-compatibility/2006" xmlns:a14="http://schemas.microsoft.com/office/drawing/2010/main">
      <mc:Choice Requires="a14">
        <xdr:graphicFrame macro="">
          <xdr:nvGraphicFramePr>
            <xdr:cNvPr id="56" name="Region 1">
              <a:extLst>
                <a:ext uri="{FF2B5EF4-FFF2-40B4-BE49-F238E27FC236}">
                  <a16:creationId xmlns:a16="http://schemas.microsoft.com/office/drawing/2014/main" id="{09B6730C-FE03-4D3D-97D5-446D8D2E5C0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60917" y="1137424"/>
              <a:ext cx="2108077" cy="1907453"/>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0</xdr:col>
      <xdr:colOff>59380</xdr:colOff>
      <xdr:row>23</xdr:row>
      <xdr:rowOff>141229</xdr:rowOff>
    </xdr:from>
    <xdr:to>
      <xdr:col>3</xdr:col>
      <xdr:colOff>106309</xdr:colOff>
      <xdr:row>31</xdr:row>
      <xdr:rowOff>112584</xdr:rowOff>
    </xdr:to>
    <mc:AlternateContent xmlns:mc="http://schemas.openxmlformats.org/markup-compatibility/2006" xmlns:a14="http://schemas.microsoft.com/office/drawing/2010/main">
      <mc:Choice Requires="a14">
        <xdr:graphicFrame macro="">
          <xdr:nvGraphicFramePr>
            <xdr:cNvPr id="57" name="Sales Channel 1">
              <a:extLst>
                <a:ext uri="{FF2B5EF4-FFF2-40B4-BE49-F238E27FC236}">
                  <a16:creationId xmlns:a16="http://schemas.microsoft.com/office/drawing/2014/main" id="{96E8F172-C3F0-40ED-97E6-96876C5FE13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ales Channel 1"/>
            </a:graphicData>
          </a:graphic>
        </xdr:graphicFrame>
      </mc:Choice>
      <mc:Fallback xmlns="">
        <xdr:sp macro="" textlink="">
          <xdr:nvSpPr>
            <xdr:cNvPr id="0" name=""/>
            <xdr:cNvSpPr>
              <a:spLocks noTextEdit="1"/>
            </xdr:cNvSpPr>
          </xdr:nvSpPr>
          <xdr:spPr>
            <a:xfrm>
              <a:off x="59380" y="4810040"/>
              <a:ext cx="2108077" cy="159529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60917</xdr:colOff>
      <xdr:row>43</xdr:row>
      <xdr:rowOff>5492</xdr:rowOff>
    </xdr:from>
    <xdr:to>
      <xdr:col>3</xdr:col>
      <xdr:colOff>107846</xdr:colOff>
      <xdr:row>48</xdr:row>
      <xdr:rowOff>46089</xdr:rowOff>
    </xdr:to>
    <mc:AlternateContent xmlns:mc="http://schemas.openxmlformats.org/markup-compatibility/2006" xmlns:a14="http://schemas.microsoft.com/office/drawing/2010/main">
      <mc:Choice Requires="a14">
        <xdr:graphicFrame macro="">
          <xdr:nvGraphicFramePr>
            <xdr:cNvPr id="58" name="Customer Type 1">
              <a:extLst>
                <a:ext uri="{FF2B5EF4-FFF2-40B4-BE49-F238E27FC236}">
                  <a16:creationId xmlns:a16="http://schemas.microsoft.com/office/drawing/2014/main" id="{723ACB51-17F4-4009-AC22-43A7A942C7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ustomer Type 1"/>
            </a:graphicData>
          </a:graphic>
        </xdr:graphicFrame>
      </mc:Choice>
      <mc:Fallback xmlns="">
        <xdr:sp macro="" textlink="">
          <xdr:nvSpPr>
            <xdr:cNvPr id="0" name=""/>
            <xdr:cNvSpPr>
              <a:spLocks noTextEdit="1"/>
            </xdr:cNvSpPr>
          </xdr:nvSpPr>
          <xdr:spPr>
            <a:xfrm>
              <a:off x="60917" y="8734140"/>
              <a:ext cx="2108077" cy="105555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60148</xdr:colOff>
      <xdr:row>31</xdr:row>
      <xdr:rowOff>179521</xdr:rowOff>
    </xdr:from>
    <xdr:to>
      <xdr:col>3</xdr:col>
      <xdr:colOff>107077</xdr:colOff>
      <xdr:row>42</xdr:row>
      <xdr:rowOff>153634</xdr:rowOff>
    </xdr:to>
    <mc:AlternateContent xmlns:mc="http://schemas.openxmlformats.org/markup-compatibility/2006" xmlns:a14="http://schemas.microsoft.com/office/drawing/2010/main">
      <mc:Choice Requires="a14">
        <xdr:graphicFrame macro="">
          <xdr:nvGraphicFramePr>
            <xdr:cNvPr id="59" name="Product Category 1">
              <a:extLst>
                <a:ext uri="{FF2B5EF4-FFF2-40B4-BE49-F238E27FC236}">
                  <a16:creationId xmlns:a16="http://schemas.microsoft.com/office/drawing/2014/main" id="{B70D8D01-AF63-4093-934B-523642B093A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 Category 1"/>
            </a:graphicData>
          </a:graphic>
        </xdr:graphicFrame>
      </mc:Choice>
      <mc:Fallback xmlns="">
        <xdr:sp macro="" textlink="">
          <xdr:nvSpPr>
            <xdr:cNvPr id="0" name=""/>
            <xdr:cNvSpPr>
              <a:spLocks noTextEdit="1"/>
            </xdr:cNvSpPr>
          </xdr:nvSpPr>
          <xdr:spPr>
            <a:xfrm>
              <a:off x="60148" y="6472267"/>
              <a:ext cx="2108077" cy="2207023"/>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171450</xdr:colOff>
      <xdr:row>5</xdr:row>
      <xdr:rowOff>143555</xdr:rowOff>
    </xdr:from>
    <xdr:to>
      <xdr:col>8</xdr:col>
      <xdr:colOff>117022</xdr:colOff>
      <xdr:row>11</xdr:row>
      <xdr:rowOff>18369</xdr:rowOff>
    </xdr:to>
    <xdr:grpSp>
      <xdr:nvGrpSpPr>
        <xdr:cNvPr id="60" name="Group 59">
          <a:extLst>
            <a:ext uri="{FF2B5EF4-FFF2-40B4-BE49-F238E27FC236}">
              <a16:creationId xmlns:a16="http://schemas.microsoft.com/office/drawing/2014/main" id="{56464986-6C00-4722-B68E-C4D1C4472B07}"/>
            </a:ext>
          </a:extLst>
        </xdr:cNvPr>
        <xdr:cNvGrpSpPr/>
      </xdr:nvGrpSpPr>
      <xdr:grpSpPr>
        <a:xfrm>
          <a:off x="2232598" y="1158514"/>
          <a:ext cx="3380817" cy="1092765"/>
          <a:chOff x="3083378" y="1315810"/>
          <a:chExt cx="3374572" cy="1132114"/>
        </a:xfrm>
      </xdr:grpSpPr>
      <xdr:sp macro="" textlink="">
        <xdr:nvSpPr>
          <xdr:cNvPr id="61" name="Rectangle: Rounded Corners 60">
            <a:extLst>
              <a:ext uri="{FF2B5EF4-FFF2-40B4-BE49-F238E27FC236}">
                <a16:creationId xmlns:a16="http://schemas.microsoft.com/office/drawing/2014/main" id="{E1442C08-D2B1-E497-0770-9F368446D519}"/>
              </a:ext>
            </a:extLst>
          </xdr:cNvPr>
          <xdr:cNvSpPr/>
        </xdr:nvSpPr>
        <xdr:spPr>
          <a:xfrm>
            <a:off x="3083378" y="1315810"/>
            <a:ext cx="3374572" cy="1132114"/>
          </a:xfrm>
          <a:prstGeom prst="roundRect">
            <a:avLst/>
          </a:prstGeom>
          <a:solidFill>
            <a:srgbClr val="2A2A3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800" b="1"/>
              <a:t>Total</a:t>
            </a:r>
            <a:r>
              <a:rPr lang="en-GB" sz="1800" b="1" baseline="0"/>
              <a:t> Revenue</a:t>
            </a:r>
          </a:p>
        </xdr:txBody>
      </xdr:sp>
      <xdr:sp macro="" textlink="PivotTable!$A$2">
        <xdr:nvSpPr>
          <xdr:cNvPr id="62" name="TextBox 61">
            <a:extLst>
              <a:ext uri="{FF2B5EF4-FFF2-40B4-BE49-F238E27FC236}">
                <a16:creationId xmlns:a16="http://schemas.microsoft.com/office/drawing/2014/main" id="{2357E450-72E0-9405-D5CE-C83C9CA2B954}"/>
              </a:ext>
            </a:extLst>
          </xdr:cNvPr>
          <xdr:cNvSpPr txBox="1"/>
        </xdr:nvSpPr>
        <xdr:spPr>
          <a:xfrm>
            <a:off x="3280914" y="1622558"/>
            <a:ext cx="2949320" cy="6150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FC63A5E-E752-44BA-81EF-1D2EC12AA583}" type="TxLink">
              <a:rPr lang="en-US" sz="4000" b="1" i="0" u="none" strike="noStrike">
                <a:solidFill>
                  <a:srgbClr val="6EC6FF"/>
                </a:solidFill>
                <a:latin typeface="Segoe UI"/>
                <a:cs typeface="Segoe UI"/>
              </a:rPr>
              <a:pPr algn="ctr"/>
              <a:t>$ 2.45M</a:t>
            </a:fld>
            <a:endParaRPr lang="en-GB" sz="4000" b="1">
              <a:solidFill>
                <a:srgbClr val="6EC6FF"/>
              </a:solidFill>
            </a:endParaRPr>
          </a:p>
        </xdr:txBody>
      </xdr:sp>
    </xdr:grpSp>
    <xdr:clientData/>
  </xdr:twoCellAnchor>
  <xdr:twoCellAnchor>
    <xdr:from>
      <xdr:col>20</xdr:col>
      <xdr:colOff>304800</xdr:colOff>
      <xdr:row>7</xdr:row>
      <xdr:rowOff>53975</xdr:rowOff>
    </xdr:from>
    <xdr:to>
      <xdr:col>23</xdr:col>
      <xdr:colOff>57150</xdr:colOff>
      <xdr:row>10</xdr:row>
      <xdr:rowOff>174625</xdr:rowOff>
    </xdr:to>
    <xdr:sp macro="" textlink="PivotTable!$M$17">
      <xdr:nvSpPr>
        <xdr:cNvPr id="67" name="TextBox 66">
          <a:extLst>
            <a:ext uri="{FF2B5EF4-FFF2-40B4-BE49-F238E27FC236}">
              <a16:creationId xmlns:a16="http://schemas.microsoft.com/office/drawing/2014/main" id="{28375660-B5A6-EC5E-7C69-09B07F05F5C3}"/>
            </a:ext>
          </a:extLst>
        </xdr:cNvPr>
        <xdr:cNvSpPr txBox="1"/>
      </xdr:nvSpPr>
      <xdr:spPr>
        <a:xfrm>
          <a:off x="13957300" y="1498600"/>
          <a:ext cx="1800225" cy="739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D24E2BD-DAA5-421D-A2BE-3A8ABF58A455}" type="TxLink">
            <a:rPr lang="en-US" sz="4000" b="1" i="0" u="none" strike="noStrike">
              <a:solidFill>
                <a:srgbClr val="6EC6FF"/>
              </a:solidFill>
              <a:latin typeface="Segoe UI"/>
              <a:cs typeface="Segoe UI"/>
            </a:rPr>
            <a:pPr algn="ctr"/>
            <a:t>10%</a:t>
          </a:fld>
          <a:endParaRPr lang="en-GB" sz="8000" b="1">
            <a:solidFill>
              <a:srgbClr val="6EC6FF"/>
            </a:solidFill>
          </a:endParaRPr>
        </a:p>
      </xdr:txBody>
    </xdr:sp>
    <xdr:clientData/>
  </xdr:twoCellAnchor>
  <xdr:twoCellAnchor editAs="oneCell">
    <xdr:from>
      <xdr:col>0</xdr:col>
      <xdr:colOff>61200</xdr:colOff>
      <xdr:row>15</xdr:row>
      <xdr:rowOff>50114</xdr:rowOff>
    </xdr:from>
    <xdr:to>
      <xdr:col>3</xdr:col>
      <xdr:colOff>107925</xdr:colOff>
      <xdr:row>23</xdr:row>
      <xdr:rowOff>91114</xdr:rowOff>
    </xdr:to>
    <mc:AlternateContent xmlns:mc="http://schemas.openxmlformats.org/markup-compatibility/2006" xmlns:a14="http://schemas.microsoft.com/office/drawing/2010/main">
      <mc:Choice Requires="a14">
        <xdr:graphicFrame macro="">
          <xdr:nvGraphicFramePr>
            <xdr:cNvPr id="6" name="Salesperson 1">
              <a:extLst>
                <a:ext uri="{FF2B5EF4-FFF2-40B4-BE49-F238E27FC236}">
                  <a16:creationId xmlns:a16="http://schemas.microsoft.com/office/drawing/2014/main" id="{E00F508D-55CB-4451-8027-2A9AED453F1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alesperson 1"/>
            </a:graphicData>
          </a:graphic>
        </xdr:graphicFrame>
      </mc:Choice>
      <mc:Fallback xmlns="">
        <xdr:sp macro="" textlink="">
          <xdr:nvSpPr>
            <xdr:cNvPr id="0" name=""/>
            <xdr:cNvSpPr>
              <a:spLocks noTextEdit="1"/>
            </xdr:cNvSpPr>
          </xdr:nvSpPr>
          <xdr:spPr>
            <a:xfrm>
              <a:off x="61200" y="3094991"/>
              <a:ext cx="2107873" cy="166493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om 3030" refreshedDate="46258.766320023147" createdVersion="8" refreshedVersion="8" minRefreshableVersion="3" recordCount="2000" xr:uid="{BA571FE6-A624-4237-A7C1-D5AD2E0EB574}">
  <cacheSource type="worksheet">
    <worksheetSource name="Sales_Data"/>
  </cacheSource>
  <cacheFields count="14">
    <cacheField name="Order ID" numFmtId="0">
      <sharedItems count="2000">
        <s v="ORD-1001"/>
        <s v="ORD-1002"/>
        <s v="ORD-1003"/>
        <s v="ORD-1004"/>
        <s v="ORD-1005"/>
        <s v="ORD-1006"/>
        <s v="ORD-1007"/>
        <s v="ORD-1008"/>
        <s v="ORD-1009"/>
        <s v="ORD-1010"/>
        <s v="ORD-1011"/>
        <s v="ORD-1012"/>
        <s v="ORD-1013"/>
        <s v="ORD-1014"/>
        <s v="ORD-1015"/>
        <s v="ORD-1016"/>
        <s v="ORD-1017"/>
        <s v="ORD-1018"/>
        <s v="ORD-1019"/>
        <s v="ORD-1020"/>
        <s v="ORD-1021"/>
        <s v="ORD-1022"/>
        <s v="ORD-1023"/>
        <s v="ORD-1024"/>
        <s v="ORD-1025"/>
        <s v="ORD-1026"/>
        <s v="ORD-1027"/>
        <s v="ORD-1028"/>
        <s v="ORD-1029"/>
        <s v="ORD-1030"/>
        <s v="ORD-1031"/>
        <s v="ORD-1032"/>
        <s v="ORD-1033"/>
        <s v="ORD-1034"/>
        <s v="ORD-1035"/>
        <s v="ORD-1036"/>
        <s v="ORD-1037"/>
        <s v="ORD-1038"/>
        <s v="ORD-1039"/>
        <s v="ORD-1040"/>
        <s v="ORD-1041"/>
        <s v="ORD-1042"/>
        <s v="ORD-1043"/>
        <s v="ORD-1044"/>
        <s v="ORD-1045"/>
        <s v="ORD-1046"/>
        <s v="ORD-1047"/>
        <s v="ORD-1048"/>
        <s v="ORD-1049"/>
        <s v="ORD-1050"/>
        <s v="ORD-1051"/>
        <s v="ORD-1052"/>
        <s v="ORD-1053"/>
        <s v="ORD-1054"/>
        <s v="ORD-1055"/>
        <s v="ORD-1056"/>
        <s v="ORD-1057"/>
        <s v="ORD-1058"/>
        <s v="ORD-1059"/>
        <s v="ORD-1060"/>
        <s v="ORD-1061"/>
        <s v="ORD-1062"/>
        <s v="ORD-1063"/>
        <s v="ORD-1064"/>
        <s v="ORD-1065"/>
        <s v="ORD-1066"/>
        <s v="ORD-1067"/>
        <s v="ORD-1068"/>
        <s v="ORD-1069"/>
        <s v="ORD-1070"/>
        <s v="ORD-1071"/>
        <s v="ORD-1072"/>
        <s v="ORD-1073"/>
        <s v="ORD-1074"/>
        <s v="ORD-1075"/>
        <s v="ORD-1076"/>
        <s v="ORD-1077"/>
        <s v="ORD-1078"/>
        <s v="ORD-1079"/>
        <s v="ORD-1080"/>
        <s v="ORD-1081"/>
        <s v="ORD-1082"/>
        <s v="ORD-1083"/>
        <s v="ORD-1084"/>
        <s v="ORD-1085"/>
        <s v="ORD-1086"/>
        <s v="ORD-1087"/>
        <s v="ORD-1088"/>
        <s v="ORD-1089"/>
        <s v="ORD-1090"/>
        <s v="ORD-1091"/>
        <s v="ORD-1092"/>
        <s v="ORD-1093"/>
        <s v="ORD-1094"/>
        <s v="ORD-1095"/>
        <s v="ORD-1096"/>
        <s v="ORD-1097"/>
        <s v="ORD-1098"/>
        <s v="ORD-1099"/>
        <s v="ORD-1100"/>
        <s v="ORD-1101"/>
        <s v="ORD-1102"/>
        <s v="ORD-1103"/>
        <s v="ORD-1104"/>
        <s v="ORD-1105"/>
        <s v="ORD-1106"/>
        <s v="ORD-1107"/>
        <s v="ORD-1108"/>
        <s v="ORD-1109"/>
        <s v="ORD-1110"/>
        <s v="ORD-1111"/>
        <s v="ORD-1112"/>
        <s v="ORD-1113"/>
        <s v="ORD-1114"/>
        <s v="ORD-1115"/>
        <s v="ORD-1116"/>
        <s v="ORD-1117"/>
        <s v="ORD-1118"/>
        <s v="ORD-1119"/>
        <s v="ORD-1120"/>
        <s v="ORD-1121"/>
        <s v="ORD-1122"/>
        <s v="ORD-1123"/>
        <s v="ORD-1124"/>
        <s v="ORD-1125"/>
        <s v="ORD-1126"/>
        <s v="ORD-1127"/>
        <s v="ORD-1128"/>
        <s v="ORD-1129"/>
        <s v="ORD-1130"/>
        <s v="ORD-1131"/>
        <s v="ORD-1132"/>
        <s v="ORD-1133"/>
        <s v="ORD-1134"/>
        <s v="ORD-1135"/>
        <s v="ORD-1136"/>
        <s v="ORD-1137"/>
        <s v="ORD-1138"/>
        <s v="ORD-1139"/>
        <s v="ORD-1140"/>
        <s v="ORD-1141"/>
        <s v="ORD-1142"/>
        <s v="ORD-1143"/>
        <s v="ORD-1144"/>
        <s v="ORD-1145"/>
        <s v="ORD-1146"/>
        <s v="ORD-1147"/>
        <s v="ORD-1148"/>
        <s v="ORD-1149"/>
        <s v="ORD-1150"/>
        <s v="ORD-1151"/>
        <s v="ORD-1152"/>
        <s v="ORD-1153"/>
        <s v="ORD-1154"/>
        <s v="ORD-1155"/>
        <s v="ORD-1156"/>
        <s v="ORD-1157"/>
        <s v="ORD-1158"/>
        <s v="ORD-1159"/>
        <s v="ORD-1160"/>
        <s v="ORD-1161"/>
        <s v="ORD-1162"/>
        <s v="ORD-1163"/>
        <s v="ORD-1164"/>
        <s v="ORD-1165"/>
        <s v="ORD-1166"/>
        <s v="ORD-1167"/>
        <s v="ORD-1168"/>
        <s v="ORD-1169"/>
        <s v="ORD-1170"/>
        <s v="ORD-1171"/>
        <s v="ORD-1172"/>
        <s v="ORD-1173"/>
        <s v="ORD-1174"/>
        <s v="ORD-1175"/>
        <s v="ORD-1176"/>
        <s v="ORD-1177"/>
        <s v="ORD-1178"/>
        <s v="ORD-1179"/>
        <s v="ORD-1180"/>
        <s v="ORD-1181"/>
        <s v="ORD-1182"/>
        <s v="ORD-1183"/>
        <s v="ORD-1184"/>
        <s v="ORD-1185"/>
        <s v="ORD-1186"/>
        <s v="ORD-1187"/>
        <s v="ORD-1188"/>
        <s v="ORD-1189"/>
        <s v="ORD-1190"/>
        <s v="ORD-1191"/>
        <s v="ORD-1192"/>
        <s v="ORD-1193"/>
        <s v="ORD-1194"/>
        <s v="ORD-1195"/>
        <s v="ORD-1196"/>
        <s v="ORD-1197"/>
        <s v="ORD-1198"/>
        <s v="ORD-1199"/>
        <s v="ORD-1200"/>
        <s v="ORD-1201"/>
        <s v="ORD-1202"/>
        <s v="ORD-1203"/>
        <s v="ORD-1204"/>
        <s v="ORD-1205"/>
        <s v="ORD-1206"/>
        <s v="ORD-1207"/>
        <s v="ORD-1208"/>
        <s v="ORD-1209"/>
        <s v="ORD-1210"/>
        <s v="ORD-1211"/>
        <s v="ORD-1212"/>
        <s v="ORD-1213"/>
        <s v="ORD-1214"/>
        <s v="ORD-1215"/>
        <s v="ORD-1216"/>
        <s v="ORD-1217"/>
        <s v="ORD-1218"/>
        <s v="ORD-1219"/>
        <s v="ORD-1220"/>
        <s v="ORD-1221"/>
        <s v="ORD-1222"/>
        <s v="ORD-1223"/>
        <s v="ORD-1224"/>
        <s v="ORD-1225"/>
        <s v="ORD-1226"/>
        <s v="ORD-1227"/>
        <s v="ORD-1228"/>
        <s v="ORD-1229"/>
        <s v="ORD-1230"/>
        <s v="ORD-1231"/>
        <s v="ORD-1232"/>
        <s v="ORD-1233"/>
        <s v="ORD-1234"/>
        <s v="ORD-1235"/>
        <s v="ORD-1236"/>
        <s v="ORD-1237"/>
        <s v="ORD-1238"/>
        <s v="ORD-1239"/>
        <s v="ORD-1240"/>
        <s v="ORD-1241"/>
        <s v="ORD-1242"/>
        <s v="ORD-1243"/>
        <s v="ORD-1244"/>
        <s v="ORD-1245"/>
        <s v="ORD-1246"/>
        <s v="ORD-1247"/>
        <s v="ORD-1248"/>
        <s v="ORD-1249"/>
        <s v="ORD-1250"/>
        <s v="ORD-1251"/>
        <s v="ORD-1252"/>
        <s v="ORD-1253"/>
        <s v="ORD-1254"/>
        <s v="ORD-1255"/>
        <s v="ORD-1256"/>
        <s v="ORD-1257"/>
        <s v="ORD-1258"/>
        <s v="ORD-1259"/>
        <s v="ORD-1260"/>
        <s v="ORD-1261"/>
        <s v="ORD-1262"/>
        <s v="ORD-1263"/>
        <s v="ORD-1264"/>
        <s v="ORD-1265"/>
        <s v="ORD-1266"/>
        <s v="ORD-1267"/>
        <s v="ORD-1268"/>
        <s v="ORD-1269"/>
        <s v="ORD-1270"/>
        <s v="ORD-1271"/>
        <s v="ORD-1272"/>
        <s v="ORD-1273"/>
        <s v="ORD-1274"/>
        <s v="ORD-1275"/>
        <s v="ORD-1276"/>
        <s v="ORD-1277"/>
        <s v="ORD-1278"/>
        <s v="ORD-1279"/>
        <s v="ORD-1280"/>
        <s v="ORD-1281"/>
        <s v="ORD-1282"/>
        <s v="ORD-1283"/>
        <s v="ORD-1284"/>
        <s v="ORD-1285"/>
        <s v="ORD-1286"/>
        <s v="ORD-1287"/>
        <s v="ORD-1288"/>
        <s v="ORD-1289"/>
        <s v="ORD-1290"/>
        <s v="ORD-1291"/>
        <s v="ORD-1292"/>
        <s v="ORD-1293"/>
        <s v="ORD-1294"/>
        <s v="ORD-1295"/>
        <s v="ORD-1296"/>
        <s v="ORD-1297"/>
        <s v="ORD-1298"/>
        <s v="ORD-1299"/>
        <s v="ORD-1300"/>
        <s v="ORD-1301"/>
        <s v="ORD-1302"/>
        <s v="ORD-1303"/>
        <s v="ORD-1304"/>
        <s v="ORD-1305"/>
        <s v="ORD-1306"/>
        <s v="ORD-1307"/>
        <s v="ORD-1308"/>
        <s v="ORD-1309"/>
        <s v="ORD-1310"/>
        <s v="ORD-1311"/>
        <s v="ORD-1312"/>
        <s v="ORD-1313"/>
        <s v="ORD-1314"/>
        <s v="ORD-1315"/>
        <s v="ORD-1316"/>
        <s v="ORD-1317"/>
        <s v="ORD-1318"/>
        <s v="ORD-1319"/>
        <s v="ORD-1320"/>
        <s v="ORD-1321"/>
        <s v="ORD-1322"/>
        <s v="ORD-1323"/>
        <s v="ORD-1324"/>
        <s v="ORD-1325"/>
        <s v="ORD-1326"/>
        <s v="ORD-1327"/>
        <s v="ORD-1328"/>
        <s v="ORD-1329"/>
        <s v="ORD-1330"/>
        <s v="ORD-1331"/>
        <s v="ORD-1332"/>
        <s v="ORD-1333"/>
        <s v="ORD-1334"/>
        <s v="ORD-1335"/>
        <s v="ORD-1336"/>
        <s v="ORD-1337"/>
        <s v="ORD-1338"/>
        <s v="ORD-1339"/>
        <s v="ORD-1340"/>
        <s v="ORD-1341"/>
        <s v="ORD-1342"/>
        <s v="ORD-1343"/>
        <s v="ORD-1344"/>
        <s v="ORD-1345"/>
        <s v="ORD-1346"/>
        <s v="ORD-1347"/>
        <s v="ORD-1348"/>
        <s v="ORD-1349"/>
        <s v="ORD-1350"/>
        <s v="ORD-1351"/>
        <s v="ORD-1352"/>
        <s v="ORD-1353"/>
        <s v="ORD-1354"/>
        <s v="ORD-1355"/>
        <s v="ORD-1356"/>
        <s v="ORD-1357"/>
        <s v="ORD-1358"/>
        <s v="ORD-1359"/>
        <s v="ORD-1360"/>
        <s v="ORD-1361"/>
        <s v="ORD-1362"/>
        <s v="ORD-1363"/>
        <s v="ORD-1364"/>
        <s v="ORD-1365"/>
        <s v="ORD-1366"/>
        <s v="ORD-1367"/>
        <s v="ORD-1368"/>
        <s v="ORD-1369"/>
        <s v="ORD-1370"/>
        <s v="ORD-1371"/>
        <s v="ORD-1372"/>
        <s v="ORD-1373"/>
        <s v="ORD-1374"/>
        <s v="ORD-1375"/>
        <s v="ORD-1376"/>
        <s v="ORD-1377"/>
        <s v="ORD-1378"/>
        <s v="ORD-1379"/>
        <s v="ORD-1380"/>
        <s v="ORD-1381"/>
        <s v="ORD-1382"/>
        <s v="ORD-1383"/>
        <s v="ORD-1384"/>
        <s v="ORD-1385"/>
        <s v="ORD-1386"/>
        <s v="ORD-1387"/>
        <s v="ORD-1388"/>
        <s v="ORD-1389"/>
        <s v="ORD-1390"/>
        <s v="ORD-1391"/>
        <s v="ORD-1392"/>
        <s v="ORD-1393"/>
        <s v="ORD-1394"/>
        <s v="ORD-1395"/>
        <s v="ORD-1396"/>
        <s v="ORD-1397"/>
        <s v="ORD-1398"/>
        <s v="ORD-1399"/>
        <s v="ORD-1400"/>
        <s v="ORD-1401"/>
        <s v="ORD-1402"/>
        <s v="ORD-1403"/>
        <s v="ORD-1404"/>
        <s v="ORD-1405"/>
        <s v="ORD-1406"/>
        <s v="ORD-1407"/>
        <s v="ORD-1408"/>
        <s v="ORD-1409"/>
        <s v="ORD-1410"/>
        <s v="ORD-1411"/>
        <s v="ORD-1412"/>
        <s v="ORD-1413"/>
        <s v="ORD-1414"/>
        <s v="ORD-1415"/>
        <s v="ORD-1416"/>
        <s v="ORD-1417"/>
        <s v="ORD-1418"/>
        <s v="ORD-1419"/>
        <s v="ORD-1420"/>
        <s v="ORD-1421"/>
        <s v="ORD-1422"/>
        <s v="ORD-1423"/>
        <s v="ORD-1424"/>
        <s v="ORD-1425"/>
        <s v="ORD-1426"/>
        <s v="ORD-1427"/>
        <s v="ORD-1428"/>
        <s v="ORD-1429"/>
        <s v="ORD-1430"/>
        <s v="ORD-1431"/>
        <s v="ORD-1432"/>
        <s v="ORD-1433"/>
        <s v="ORD-1434"/>
        <s v="ORD-1435"/>
        <s v="ORD-1436"/>
        <s v="ORD-1437"/>
        <s v="ORD-1438"/>
        <s v="ORD-1439"/>
        <s v="ORD-1440"/>
        <s v="ORD-1441"/>
        <s v="ORD-1442"/>
        <s v="ORD-1443"/>
        <s v="ORD-1444"/>
        <s v="ORD-1445"/>
        <s v="ORD-1446"/>
        <s v="ORD-1447"/>
        <s v="ORD-1448"/>
        <s v="ORD-1449"/>
        <s v="ORD-1450"/>
        <s v="ORD-1451"/>
        <s v="ORD-1452"/>
        <s v="ORD-1453"/>
        <s v="ORD-1454"/>
        <s v="ORD-1455"/>
        <s v="ORD-1456"/>
        <s v="ORD-1457"/>
        <s v="ORD-1458"/>
        <s v="ORD-1459"/>
        <s v="ORD-1460"/>
        <s v="ORD-1461"/>
        <s v="ORD-1462"/>
        <s v="ORD-1463"/>
        <s v="ORD-1464"/>
        <s v="ORD-1465"/>
        <s v="ORD-1466"/>
        <s v="ORD-1467"/>
        <s v="ORD-1468"/>
        <s v="ORD-1469"/>
        <s v="ORD-1470"/>
        <s v="ORD-1471"/>
        <s v="ORD-1472"/>
        <s v="ORD-1473"/>
        <s v="ORD-1474"/>
        <s v="ORD-1475"/>
        <s v="ORD-1476"/>
        <s v="ORD-1477"/>
        <s v="ORD-1478"/>
        <s v="ORD-1479"/>
        <s v="ORD-1480"/>
        <s v="ORD-1481"/>
        <s v="ORD-1482"/>
        <s v="ORD-1483"/>
        <s v="ORD-1484"/>
        <s v="ORD-1485"/>
        <s v="ORD-1486"/>
        <s v="ORD-1487"/>
        <s v="ORD-1488"/>
        <s v="ORD-1489"/>
        <s v="ORD-1490"/>
        <s v="ORD-1491"/>
        <s v="ORD-1492"/>
        <s v="ORD-1493"/>
        <s v="ORD-1494"/>
        <s v="ORD-1495"/>
        <s v="ORD-1496"/>
        <s v="ORD-1497"/>
        <s v="ORD-1498"/>
        <s v="ORD-1499"/>
        <s v="ORD-1500"/>
        <s v="ORD-1501"/>
        <s v="ORD-1502"/>
        <s v="ORD-1503"/>
        <s v="ORD-1504"/>
        <s v="ORD-1505"/>
        <s v="ORD-1506"/>
        <s v="ORD-1507"/>
        <s v="ORD-1508"/>
        <s v="ORD-1509"/>
        <s v="ORD-1510"/>
        <s v="ORD-1511"/>
        <s v="ORD-1512"/>
        <s v="ORD-1513"/>
        <s v="ORD-1514"/>
        <s v="ORD-1515"/>
        <s v="ORD-1516"/>
        <s v="ORD-1517"/>
        <s v="ORD-1518"/>
        <s v="ORD-1519"/>
        <s v="ORD-1520"/>
        <s v="ORD-1521"/>
        <s v="ORD-1522"/>
        <s v="ORD-1523"/>
        <s v="ORD-1524"/>
        <s v="ORD-1525"/>
        <s v="ORD-1526"/>
        <s v="ORD-1527"/>
        <s v="ORD-1528"/>
        <s v="ORD-1529"/>
        <s v="ORD-1530"/>
        <s v="ORD-1531"/>
        <s v="ORD-1532"/>
        <s v="ORD-1533"/>
        <s v="ORD-1534"/>
        <s v="ORD-1535"/>
        <s v="ORD-1536"/>
        <s v="ORD-1537"/>
        <s v="ORD-1538"/>
        <s v="ORD-1539"/>
        <s v="ORD-1540"/>
        <s v="ORD-1541"/>
        <s v="ORD-1542"/>
        <s v="ORD-1543"/>
        <s v="ORD-1544"/>
        <s v="ORD-1545"/>
        <s v="ORD-1546"/>
        <s v="ORD-1547"/>
        <s v="ORD-1548"/>
        <s v="ORD-1549"/>
        <s v="ORD-1550"/>
        <s v="ORD-1551"/>
        <s v="ORD-1552"/>
        <s v="ORD-1553"/>
        <s v="ORD-1554"/>
        <s v="ORD-1555"/>
        <s v="ORD-1556"/>
        <s v="ORD-1557"/>
        <s v="ORD-1558"/>
        <s v="ORD-1559"/>
        <s v="ORD-1560"/>
        <s v="ORD-1561"/>
        <s v="ORD-1562"/>
        <s v="ORD-1563"/>
        <s v="ORD-1564"/>
        <s v="ORD-1565"/>
        <s v="ORD-1566"/>
        <s v="ORD-1567"/>
        <s v="ORD-1568"/>
        <s v="ORD-1569"/>
        <s v="ORD-1570"/>
        <s v="ORD-1571"/>
        <s v="ORD-1572"/>
        <s v="ORD-1573"/>
        <s v="ORD-1574"/>
        <s v="ORD-1575"/>
        <s v="ORD-1576"/>
        <s v="ORD-1577"/>
        <s v="ORD-1578"/>
        <s v="ORD-1579"/>
        <s v="ORD-1580"/>
        <s v="ORD-1581"/>
        <s v="ORD-1582"/>
        <s v="ORD-1583"/>
        <s v="ORD-1584"/>
        <s v="ORD-1585"/>
        <s v="ORD-1586"/>
        <s v="ORD-1587"/>
        <s v="ORD-1588"/>
        <s v="ORD-1589"/>
        <s v="ORD-1590"/>
        <s v="ORD-1591"/>
        <s v="ORD-1592"/>
        <s v="ORD-1593"/>
        <s v="ORD-1594"/>
        <s v="ORD-1595"/>
        <s v="ORD-1596"/>
        <s v="ORD-1597"/>
        <s v="ORD-1598"/>
        <s v="ORD-1599"/>
        <s v="ORD-1600"/>
        <s v="ORD-1601"/>
        <s v="ORD-1602"/>
        <s v="ORD-1603"/>
        <s v="ORD-1604"/>
        <s v="ORD-1605"/>
        <s v="ORD-1606"/>
        <s v="ORD-1607"/>
        <s v="ORD-1608"/>
        <s v="ORD-1609"/>
        <s v="ORD-1610"/>
        <s v="ORD-1611"/>
        <s v="ORD-1612"/>
        <s v="ORD-1613"/>
        <s v="ORD-1614"/>
        <s v="ORD-1615"/>
        <s v="ORD-1616"/>
        <s v="ORD-1617"/>
        <s v="ORD-1618"/>
        <s v="ORD-1619"/>
        <s v="ORD-1620"/>
        <s v="ORD-1621"/>
        <s v="ORD-1622"/>
        <s v="ORD-1623"/>
        <s v="ORD-1624"/>
        <s v="ORD-1625"/>
        <s v="ORD-1626"/>
        <s v="ORD-1627"/>
        <s v="ORD-1628"/>
        <s v="ORD-1629"/>
        <s v="ORD-1630"/>
        <s v="ORD-1631"/>
        <s v="ORD-1632"/>
        <s v="ORD-1633"/>
        <s v="ORD-1634"/>
        <s v="ORD-1635"/>
        <s v="ORD-1636"/>
        <s v="ORD-1637"/>
        <s v="ORD-1638"/>
        <s v="ORD-1639"/>
        <s v="ORD-1640"/>
        <s v="ORD-1641"/>
        <s v="ORD-1642"/>
        <s v="ORD-1643"/>
        <s v="ORD-1644"/>
        <s v="ORD-1645"/>
        <s v="ORD-1646"/>
        <s v="ORD-1647"/>
        <s v="ORD-1648"/>
        <s v="ORD-1649"/>
        <s v="ORD-1650"/>
        <s v="ORD-1651"/>
        <s v="ORD-1652"/>
        <s v="ORD-1653"/>
        <s v="ORD-1654"/>
        <s v="ORD-1655"/>
        <s v="ORD-1656"/>
        <s v="ORD-1657"/>
        <s v="ORD-1658"/>
        <s v="ORD-1659"/>
        <s v="ORD-1660"/>
        <s v="ORD-1661"/>
        <s v="ORD-1662"/>
        <s v="ORD-1663"/>
        <s v="ORD-1664"/>
        <s v="ORD-1665"/>
        <s v="ORD-1666"/>
        <s v="ORD-1667"/>
        <s v="ORD-1668"/>
        <s v="ORD-1669"/>
        <s v="ORD-1670"/>
        <s v="ORD-1671"/>
        <s v="ORD-1672"/>
        <s v="ORD-1673"/>
        <s v="ORD-1674"/>
        <s v="ORD-1675"/>
        <s v="ORD-1676"/>
        <s v="ORD-1677"/>
        <s v="ORD-1678"/>
        <s v="ORD-1679"/>
        <s v="ORD-1680"/>
        <s v="ORD-1681"/>
        <s v="ORD-1682"/>
        <s v="ORD-1683"/>
        <s v="ORD-1684"/>
        <s v="ORD-1685"/>
        <s v="ORD-1686"/>
        <s v="ORD-1687"/>
        <s v="ORD-1688"/>
        <s v="ORD-1689"/>
        <s v="ORD-1690"/>
        <s v="ORD-1691"/>
        <s v="ORD-1692"/>
        <s v="ORD-1693"/>
        <s v="ORD-1694"/>
        <s v="ORD-1695"/>
        <s v="ORD-1696"/>
        <s v="ORD-1697"/>
        <s v="ORD-1698"/>
        <s v="ORD-1699"/>
        <s v="ORD-1700"/>
        <s v="ORD-1701"/>
        <s v="ORD-1702"/>
        <s v="ORD-1703"/>
        <s v="ORD-1704"/>
        <s v="ORD-1705"/>
        <s v="ORD-1706"/>
        <s v="ORD-1707"/>
        <s v="ORD-1708"/>
        <s v="ORD-1709"/>
        <s v="ORD-1710"/>
        <s v="ORD-1711"/>
        <s v="ORD-1712"/>
        <s v="ORD-1713"/>
        <s v="ORD-1714"/>
        <s v="ORD-1715"/>
        <s v="ORD-1716"/>
        <s v="ORD-1717"/>
        <s v="ORD-1718"/>
        <s v="ORD-1719"/>
        <s v="ORD-1720"/>
        <s v="ORD-1721"/>
        <s v="ORD-1722"/>
        <s v="ORD-1723"/>
        <s v="ORD-1724"/>
        <s v="ORD-1725"/>
        <s v="ORD-1726"/>
        <s v="ORD-1727"/>
        <s v="ORD-1728"/>
        <s v="ORD-1729"/>
        <s v="ORD-1730"/>
        <s v="ORD-1731"/>
        <s v="ORD-1732"/>
        <s v="ORD-1733"/>
        <s v="ORD-1734"/>
        <s v="ORD-1735"/>
        <s v="ORD-1736"/>
        <s v="ORD-1737"/>
        <s v="ORD-1738"/>
        <s v="ORD-1739"/>
        <s v="ORD-1740"/>
        <s v="ORD-1741"/>
        <s v="ORD-1742"/>
        <s v="ORD-1743"/>
        <s v="ORD-1744"/>
        <s v="ORD-1745"/>
        <s v="ORD-1746"/>
        <s v="ORD-1747"/>
        <s v="ORD-1748"/>
        <s v="ORD-1749"/>
        <s v="ORD-1750"/>
        <s v="ORD-1751"/>
        <s v="ORD-1752"/>
        <s v="ORD-1753"/>
        <s v="ORD-1754"/>
        <s v="ORD-1755"/>
        <s v="ORD-1756"/>
        <s v="ORD-1757"/>
        <s v="ORD-1758"/>
        <s v="ORD-1759"/>
        <s v="ORD-1760"/>
        <s v="ORD-1761"/>
        <s v="ORD-1762"/>
        <s v="ORD-1763"/>
        <s v="ORD-1764"/>
        <s v="ORD-1765"/>
        <s v="ORD-1766"/>
        <s v="ORD-1767"/>
        <s v="ORD-1768"/>
        <s v="ORD-1769"/>
        <s v="ORD-1770"/>
        <s v="ORD-1771"/>
        <s v="ORD-1772"/>
        <s v="ORD-1773"/>
        <s v="ORD-1774"/>
        <s v="ORD-1775"/>
        <s v="ORD-1776"/>
        <s v="ORD-1777"/>
        <s v="ORD-1778"/>
        <s v="ORD-1779"/>
        <s v="ORD-1780"/>
        <s v="ORD-1781"/>
        <s v="ORD-1782"/>
        <s v="ORD-1783"/>
        <s v="ORD-1784"/>
        <s v="ORD-1785"/>
        <s v="ORD-1786"/>
        <s v="ORD-1787"/>
        <s v="ORD-1788"/>
        <s v="ORD-1789"/>
        <s v="ORD-1790"/>
        <s v="ORD-1791"/>
        <s v="ORD-1792"/>
        <s v="ORD-1793"/>
        <s v="ORD-1794"/>
        <s v="ORD-1795"/>
        <s v="ORD-1796"/>
        <s v="ORD-1797"/>
        <s v="ORD-1798"/>
        <s v="ORD-1799"/>
        <s v="ORD-1800"/>
        <s v="ORD-1801"/>
        <s v="ORD-1802"/>
        <s v="ORD-1803"/>
        <s v="ORD-1804"/>
        <s v="ORD-1805"/>
        <s v="ORD-1806"/>
        <s v="ORD-1807"/>
        <s v="ORD-1808"/>
        <s v="ORD-1809"/>
        <s v="ORD-1810"/>
        <s v="ORD-1811"/>
        <s v="ORD-1812"/>
        <s v="ORD-1813"/>
        <s v="ORD-1814"/>
        <s v="ORD-1815"/>
        <s v="ORD-1816"/>
        <s v="ORD-1817"/>
        <s v="ORD-1818"/>
        <s v="ORD-1819"/>
        <s v="ORD-1820"/>
        <s v="ORD-1821"/>
        <s v="ORD-1822"/>
        <s v="ORD-1823"/>
        <s v="ORD-1824"/>
        <s v="ORD-1825"/>
        <s v="ORD-1826"/>
        <s v="ORD-1827"/>
        <s v="ORD-1828"/>
        <s v="ORD-1829"/>
        <s v="ORD-1830"/>
        <s v="ORD-1831"/>
        <s v="ORD-1832"/>
        <s v="ORD-1833"/>
        <s v="ORD-1834"/>
        <s v="ORD-1835"/>
        <s v="ORD-1836"/>
        <s v="ORD-1837"/>
        <s v="ORD-1838"/>
        <s v="ORD-1839"/>
        <s v="ORD-1840"/>
        <s v="ORD-1841"/>
        <s v="ORD-1842"/>
        <s v="ORD-1843"/>
        <s v="ORD-1844"/>
        <s v="ORD-1845"/>
        <s v="ORD-1846"/>
        <s v="ORD-1847"/>
        <s v="ORD-1848"/>
        <s v="ORD-1849"/>
        <s v="ORD-1850"/>
        <s v="ORD-1851"/>
        <s v="ORD-1852"/>
        <s v="ORD-1853"/>
        <s v="ORD-1854"/>
        <s v="ORD-1855"/>
        <s v="ORD-1856"/>
        <s v="ORD-1857"/>
        <s v="ORD-1858"/>
        <s v="ORD-1859"/>
        <s v="ORD-1860"/>
        <s v="ORD-1861"/>
        <s v="ORD-1862"/>
        <s v="ORD-1863"/>
        <s v="ORD-1864"/>
        <s v="ORD-1865"/>
        <s v="ORD-1866"/>
        <s v="ORD-1867"/>
        <s v="ORD-1868"/>
        <s v="ORD-1869"/>
        <s v="ORD-1870"/>
        <s v="ORD-1871"/>
        <s v="ORD-1872"/>
        <s v="ORD-1873"/>
        <s v="ORD-1874"/>
        <s v="ORD-1875"/>
        <s v="ORD-1876"/>
        <s v="ORD-1877"/>
        <s v="ORD-1878"/>
        <s v="ORD-1879"/>
        <s v="ORD-1880"/>
        <s v="ORD-1881"/>
        <s v="ORD-1882"/>
        <s v="ORD-1883"/>
        <s v="ORD-1884"/>
        <s v="ORD-1885"/>
        <s v="ORD-1886"/>
        <s v="ORD-1887"/>
        <s v="ORD-1888"/>
        <s v="ORD-1889"/>
        <s v="ORD-1890"/>
        <s v="ORD-1891"/>
        <s v="ORD-1892"/>
        <s v="ORD-1893"/>
        <s v="ORD-1894"/>
        <s v="ORD-1895"/>
        <s v="ORD-1896"/>
        <s v="ORD-1897"/>
        <s v="ORD-1898"/>
        <s v="ORD-1899"/>
        <s v="ORD-1900"/>
        <s v="ORD-1901"/>
        <s v="ORD-1902"/>
        <s v="ORD-1903"/>
        <s v="ORD-1904"/>
        <s v="ORD-1905"/>
        <s v="ORD-1906"/>
        <s v="ORD-1907"/>
        <s v="ORD-1908"/>
        <s v="ORD-1909"/>
        <s v="ORD-1910"/>
        <s v="ORD-1911"/>
        <s v="ORD-1912"/>
        <s v="ORD-1913"/>
        <s v="ORD-1914"/>
        <s v="ORD-1915"/>
        <s v="ORD-1916"/>
        <s v="ORD-1917"/>
        <s v="ORD-1918"/>
        <s v="ORD-1919"/>
        <s v="ORD-1920"/>
        <s v="ORD-1921"/>
        <s v="ORD-1922"/>
        <s v="ORD-1923"/>
        <s v="ORD-1924"/>
        <s v="ORD-1925"/>
        <s v="ORD-1926"/>
        <s v="ORD-1927"/>
        <s v="ORD-1928"/>
        <s v="ORD-1929"/>
        <s v="ORD-1930"/>
        <s v="ORD-1931"/>
        <s v="ORD-1932"/>
        <s v="ORD-1933"/>
        <s v="ORD-1934"/>
        <s v="ORD-1935"/>
        <s v="ORD-1936"/>
        <s v="ORD-1937"/>
        <s v="ORD-1938"/>
        <s v="ORD-1939"/>
        <s v="ORD-1940"/>
        <s v="ORD-1941"/>
        <s v="ORD-1942"/>
        <s v="ORD-1943"/>
        <s v="ORD-1944"/>
        <s v="ORD-1945"/>
        <s v="ORD-1946"/>
        <s v="ORD-1947"/>
        <s v="ORD-1948"/>
        <s v="ORD-1949"/>
        <s v="ORD-1950"/>
        <s v="ORD-1951"/>
        <s v="ORD-1952"/>
        <s v="ORD-1953"/>
        <s v="ORD-1954"/>
        <s v="ORD-1955"/>
        <s v="ORD-1956"/>
        <s v="ORD-1957"/>
        <s v="ORD-1958"/>
        <s v="ORD-1959"/>
        <s v="ORD-1960"/>
        <s v="ORD-1961"/>
        <s v="ORD-1962"/>
        <s v="ORD-1963"/>
        <s v="ORD-1964"/>
        <s v="ORD-1965"/>
        <s v="ORD-1966"/>
        <s v="ORD-1967"/>
        <s v="ORD-1968"/>
        <s v="ORD-1969"/>
        <s v="ORD-1970"/>
        <s v="ORD-1971"/>
        <s v="ORD-1972"/>
        <s v="ORD-1973"/>
        <s v="ORD-1974"/>
        <s v="ORD-1975"/>
        <s v="ORD-1976"/>
        <s v="ORD-1977"/>
        <s v="ORD-1978"/>
        <s v="ORD-1979"/>
        <s v="ORD-1980"/>
        <s v="ORD-1981"/>
        <s v="ORD-1982"/>
        <s v="ORD-1983"/>
        <s v="ORD-1984"/>
        <s v="ORD-1985"/>
        <s v="ORD-1986"/>
        <s v="ORD-1987"/>
        <s v="ORD-1988"/>
        <s v="ORD-1989"/>
        <s v="ORD-1990"/>
        <s v="ORD-1991"/>
        <s v="ORD-1992"/>
        <s v="ORD-1993"/>
        <s v="ORD-1994"/>
        <s v="ORD-1995"/>
        <s v="ORD-1996"/>
        <s v="ORD-1997"/>
        <s v="ORD-1998"/>
        <s v="ORD-1999"/>
        <s v="ORD-2000"/>
        <s v="ORD-2001"/>
        <s v="ORD-2002"/>
        <s v="ORD-2003"/>
        <s v="ORD-2004"/>
        <s v="ORD-2005"/>
        <s v="ORD-2006"/>
        <s v="ORD-2007"/>
        <s v="ORD-2008"/>
        <s v="ORD-2009"/>
        <s v="ORD-2010"/>
        <s v="ORD-2011"/>
        <s v="ORD-2012"/>
        <s v="ORD-2013"/>
        <s v="ORD-2014"/>
        <s v="ORD-2015"/>
        <s v="ORD-2016"/>
        <s v="ORD-2017"/>
        <s v="ORD-2018"/>
        <s v="ORD-2019"/>
        <s v="ORD-2020"/>
        <s v="ORD-2021"/>
        <s v="ORD-2022"/>
        <s v="ORD-2023"/>
        <s v="ORD-2024"/>
        <s v="ORD-2025"/>
        <s v="ORD-2026"/>
        <s v="ORD-2027"/>
        <s v="ORD-2028"/>
        <s v="ORD-2029"/>
        <s v="ORD-2030"/>
        <s v="ORD-2031"/>
        <s v="ORD-2032"/>
        <s v="ORD-2033"/>
        <s v="ORD-2034"/>
        <s v="ORD-2035"/>
        <s v="ORD-2036"/>
        <s v="ORD-2037"/>
        <s v="ORD-2038"/>
        <s v="ORD-2039"/>
        <s v="ORD-2040"/>
        <s v="ORD-2041"/>
        <s v="ORD-2042"/>
        <s v="ORD-2043"/>
        <s v="ORD-2044"/>
        <s v="ORD-2045"/>
        <s v="ORD-2046"/>
        <s v="ORD-2047"/>
        <s v="ORD-2048"/>
        <s v="ORD-2049"/>
        <s v="ORD-2050"/>
        <s v="ORD-2051"/>
        <s v="ORD-2052"/>
        <s v="ORD-2053"/>
        <s v="ORD-2054"/>
        <s v="ORD-2055"/>
        <s v="ORD-2056"/>
        <s v="ORD-2057"/>
        <s v="ORD-2058"/>
        <s v="ORD-2059"/>
        <s v="ORD-2060"/>
        <s v="ORD-2061"/>
        <s v="ORD-2062"/>
        <s v="ORD-2063"/>
        <s v="ORD-2064"/>
        <s v="ORD-2065"/>
        <s v="ORD-2066"/>
        <s v="ORD-2067"/>
        <s v="ORD-2068"/>
        <s v="ORD-2069"/>
        <s v="ORD-2070"/>
        <s v="ORD-2071"/>
        <s v="ORD-2072"/>
        <s v="ORD-2073"/>
        <s v="ORD-2074"/>
        <s v="ORD-2075"/>
        <s v="ORD-2076"/>
        <s v="ORD-2077"/>
        <s v="ORD-2078"/>
        <s v="ORD-2079"/>
        <s v="ORD-2080"/>
        <s v="ORD-2081"/>
        <s v="ORD-2082"/>
        <s v="ORD-2083"/>
        <s v="ORD-2084"/>
        <s v="ORD-2085"/>
        <s v="ORD-2086"/>
        <s v="ORD-2087"/>
        <s v="ORD-2088"/>
        <s v="ORD-2089"/>
        <s v="ORD-2090"/>
        <s v="ORD-2091"/>
        <s v="ORD-2092"/>
        <s v="ORD-2093"/>
        <s v="ORD-2094"/>
        <s v="ORD-2095"/>
        <s v="ORD-2096"/>
        <s v="ORD-2097"/>
        <s v="ORD-2098"/>
        <s v="ORD-2099"/>
        <s v="ORD-2100"/>
        <s v="ORD-2101"/>
        <s v="ORD-2102"/>
        <s v="ORD-2103"/>
        <s v="ORD-2104"/>
        <s v="ORD-2105"/>
        <s v="ORD-2106"/>
        <s v="ORD-2107"/>
        <s v="ORD-2108"/>
        <s v="ORD-2109"/>
        <s v="ORD-2110"/>
        <s v="ORD-2111"/>
        <s v="ORD-2112"/>
        <s v="ORD-2113"/>
        <s v="ORD-2114"/>
        <s v="ORD-2115"/>
        <s v="ORD-2116"/>
        <s v="ORD-2117"/>
        <s v="ORD-2118"/>
        <s v="ORD-2119"/>
        <s v="ORD-2120"/>
        <s v="ORD-2121"/>
        <s v="ORD-2122"/>
        <s v="ORD-2123"/>
        <s v="ORD-2124"/>
        <s v="ORD-2125"/>
        <s v="ORD-2126"/>
        <s v="ORD-2127"/>
        <s v="ORD-2128"/>
        <s v="ORD-2129"/>
        <s v="ORD-2130"/>
        <s v="ORD-2131"/>
        <s v="ORD-2132"/>
        <s v="ORD-2133"/>
        <s v="ORD-2134"/>
        <s v="ORD-2135"/>
        <s v="ORD-2136"/>
        <s v="ORD-2137"/>
        <s v="ORD-2138"/>
        <s v="ORD-2139"/>
        <s v="ORD-2140"/>
        <s v="ORD-2141"/>
        <s v="ORD-2142"/>
        <s v="ORD-2143"/>
        <s v="ORD-2144"/>
        <s v="ORD-2145"/>
        <s v="ORD-2146"/>
        <s v="ORD-2147"/>
        <s v="ORD-2148"/>
        <s v="ORD-2149"/>
        <s v="ORD-2150"/>
        <s v="ORD-2151"/>
        <s v="ORD-2152"/>
        <s v="ORD-2153"/>
        <s v="ORD-2154"/>
        <s v="ORD-2155"/>
        <s v="ORD-2156"/>
        <s v="ORD-2157"/>
        <s v="ORD-2158"/>
        <s v="ORD-2159"/>
        <s v="ORD-2160"/>
        <s v="ORD-2161"/>
        <s v="ORD-2162"/>
        <s v="ORD-2163"/>
        <s v="ORD-2164"/>
        <s v="ORD-2165"/>
        <s v="ORD-2166"/>
        <s v="ORD-2167"/>
        <s v="ORD-2168"/>
        <s v="ORD-2169"/>
        <s v="ORD-2170"/>
        <s v="ORD-2171"/>
        <s v="ORD-2172"/>
        <s v="ORD-2173"/>
        <s v="ORD-2174"/>
        <s v="ORD-2175"/>
        <s v="ORD-2176"/>
        <s v="ORD-2177"/>
        <s v="ORD-2178"/>
        <s v="ORD-2179"/>
        <s v="ORD-2180"/>
        <s v="ORD-2181"/>
        <s v="ORD-2182"/>
        <s v="ORD-2183"/>
        <s v="ORD-2184"/>
        <s v="ORD-2185"/>
        <s v="ORD-2186"/>
        <s v="ORD-2187"/>
        <s v="ORD-2188"/>
        <s v="ORD-2189"/>
        <s v="ORD-2190"/>
        <s v="ORD-2191"/>
        <s v="ORD-2192"/>
        <s v="ORD-2193"/>
        <s v="ORD-2194"/>
        <s v="ORD-2195"/>
        <s v="ORD-2196"/>
        <s v="ORD-2197"/>
        <s v="ORD-2198"/>
        <s v="ORD-2199"/>
        <s v="ORD-2200"/>
        <s v="ORD-2201"/>
        <s v="ORD-2202"/>
        <s v="ORD-2203"/>
        <s v="ORD-2204"/>
        <s v="ORD-2205"/>
        <s v="ORD-2206"/>
        <s v="ORD-2207"/>
        <s v="ORD-2208"/>
        <s v="ORD-2209"/>
        <s v="ORD-2210"/>
        <s v="ORD-2211"/>
        <s v="ORD-2212"/>
        <s v="ORD-2213"/>
        <s v="ORD-2214"/>
        <s v="ORD-2215"/>
        <s v="ORD-2216"/>
        <s v="ORD-2217"/>
        <s v="ORD-2218"/>
        <s v="ORD-2219"/>
        <s v="ORD-2220"/>
        <s v="ORD-2221"/>
        <s v="ORD-2222"/>
        <s v="ORD-2223"/>
        <s v="ORD-2224"/>
        <s v="ORD-2225"/>
        <s v="ORD-2226"/>
        <s v="ORD-2227"/>
        <s v="ORD-2228"/>
        <s v="ORD-2229"/>
        <s v="ORD-2230"/>
        <s v="ORD-2231"/>
        <s v="ORD-2232"/>
        <s v="ORD-2233"/>
        <s v="ORD-2234"/>
        <s v="ORD-2235"/>
        <s v="ORD-2236"/>
        <s v="ORD-2237"/>
        <s v="ORD-2238"/>
        <s v="ORD-2239"/>
        <s v="ORD-2240"/>
        <s v="ORD-2241"/>
        <s v="ORD-2242"/>
        <s v="ORD-2243"/>
        <s v="ORD-2244"/>
        <s v="ORD-2245"/>
        <s v="ORD-2246"/>
        <s v="ORD-2247"/>
        <s v="ORD-2248"/>
        <s v="ORD-2249"/>
        <s v="ORD-2250"/>
        <s v="ORD-2251"/>
        <s v="ORD-2252"/>
        <s v="ORD-2253"/>
        <s v="ORD-2254"/>
        <s v="ORD-2255"/>
        <s v="ORD-2256"/>
        <s v="ORD-2257"/>
        <s v="ORD-2258"/>
        <s v="ORD-2259"/>
        <s v="ORD-2260"/>
        <s v="ORD-2261"/>
        <s v="ORD-2262"/>
        <s v="ORD-2263"/>
        <s v="ORD-2264"/>
        <s v="ORD-2265"/>
        <s v="ORD-2266"/>
        <s v="ORD-2267"/>
        <s v="ORD-2268"/>
        <s v="ORD-2269"/>
        <s v="ORD-2270"/>
        <s v="ORD-2271"/>
        <s v="ORD-2272"/>
        <s v="ORD-2273"/>
        <s v="ORD-2274"/>
        <s v="ORD-2275"/>
        <s v="ORD-2276"/>
        <s v="ORD-2277"/>
        <s v="ORD-2278"/>
        <s v="ORD-2279"/>
        <s v="ORD-2280"/>
        <s v="ORD-2281"/>
        <s v="ORD-2282"/>
        <s v="ORD-2283"/>
        <s v="ORD-2284"/>
        <s v="ORD-2285"/>
        <s v="ORD-2286"/>
        <s v="ORD-2287"/>
        <s v="ORD-2288"/>
        <s v="ORD-2289"/>
        <s v="ORD-2290"/>
        <s v="ORD-2291"/>
        <s v="ORD-2292"/>
        <s v="ORD-2293"/>
        <s v="ORD-2294"/>
        <s v="ORD-2295"/>
        <s v="ORD-2296"/>
        <s v="ORD-2297"/>
        <s v="ORD-2298"/>
        <s v="ORD-2299"/>
        <s v="ORD-2300"/>
        <s v="ORD-2301"/>
        <s v="ORD-2302"/>
        <s v="ORD-2303"/>
        <s v="ORD-2304"/>
        <s v="ORD-2305"/>
        <s v="ORD-2306"/>
        <s v="ORD-2307"/>
        <s v="ORD-2308"/>
        <s v="ORD-2309"/>
        <s v="ORD-2310"/>
        <s v="ORD-2311"/>
        <s v="ORD-2312"/>
        <s v="ORD-2313"/>
        <s v="ORD-2314"/>
        <s v="ORD-2315"/>
        <s v="ORD-2316"/>
        <s v="ORD-2317"/>
        <s v="ORD-2318"/>
        <s v="ORD-2319"/>
        <s v="ORD-2320"/>
        <s v="ORD-2321"/>
        <s v="ORD-2322"/>
        <s v="ORD-2323"/>
        <s v="ORD-2324"/>
        <s v="ORD-2325"/>
        <s v="ORD-2326"/>
        <s v="ORD-2327"/>
        <s v="ORD-2328"/>
        <s v="ORD-2329"/>
        <s v="ORD-2330"/>
        <s v="ORD-2331"/>
        <s v="ORD-2332"/>
        <s v="ORD-2333"/>
        <s v="ORD-2334"/>
        <s v="ORD-2335"/>
        <s v="ORD-2336"/>
        <s v="ORD-2337"/>
        <s v="ORD-2338"/>
        <s v="ORD-2339"/>
        <s v="ORD-2340"/>
        <s v="ORD-2341"/>
        <s v="ORD-2342"/>
        <s v="ORD-2343"/>
        <s v="ORD-2344"/>
        <s v="ORD-2345"/>
        <s v="ORD-2346"/>
        <s v="ORD-2347"/>
        <s v="ORD-2348"/>
        <s v="ORD-2349"/>
        <s v="ORD-2350"/>
        <s v="ORD-2351"/>
        <s v="ORD-2352"/>
        <s v="ORD-2353"/>
        <s v="ORD-2354"/>
        <s v="ORD-2355"/>
        <s v="ORD-2356"/>
        <s v="ORD-2357"/>
        <s v="ORD-2358"/>
        <s v="ORD-2359"/>
        <s v="ORD-2360"/>
        <s v="ORD-2361"/>
        <s v="ORD-2362"/>
        <s v="ORD-2363"/>
        <s v="ORD-2364"/>
        <s v="ORD-2365"/>
        <s v="ORD-2366"/>
        <s v="ORD-2367"/>
        <s v="ORD-2368"/>
        <s v="ORD-2369"/>
        <s v="ORD-2370"/>
        <s v="ORD-2371"/>
        <s v="ORD-2372"/>
        <s v="ORD-2373"/>
        <s v="ORD-2374"/>
        <s v="ORD-2375"/>
        <s v="ORD-2376"/>
        <s v="ORD-2377"/>
        <s v="ORD-2378"/>
        <s v="ORD-2379"/>
        <s v="ORD-2380"/>
        <s v="ORD-2381"/>
        <s v="ORD-2382"/>
        <s v="ORD-2383"/>
        <s v="ORD-2384"/>
        <s v="ORD-2385"/>
        <s v="ORD-2386"/>
        <s v="ORD-2387"/>
        <s v="ORD-2388"/>
        <s v="ORD-2389"/>
        <s v="ORD-2390"/>
        <s v="ORD-2391"/>
        <s v="ORD-2392"/>
        <s v="ORD-2393"/>
        <s v="ORD-2394"/>
        <s v="ORD-2395"/>
        <s v="ORD-2396"/>
        <s v="ORD-2397"/>
        <s v="ORD-2398"/>
        <s v="ORD-2399"/>
        <s v="ORD-2400"/>
        <s v="ORD-2401"/>
        <s v="ORD-2402"/>
        <s v="ORD-2403"/>
        <s v="ORD-2404"/>
        <s v="ORD-2405"/>
        <s v="ORD-2406"/>
        <s v="ORD-2407"/>
        <s v="ORD-2408"/>
        <s v="ORD-2409"/>
        <s v="ORD-2410"/>
        <s v="ORD-2411"/>
        <s v="ORD-2412"/>
        <s v="ORD-2413"/>
        <s v="ORD-2414"/>
        <s v="ORD-2415"/>
        <s v="ORD-2416"/>
        <s v="ORD-2417"/>
        <s v="ORD-2418"/>
        <s v="ORD-2419"/>
        <s v="ORD-2420"/>
        <s v="ORD-2421"/>
        <s v="ORD-2422"/>
        <s v="ORD-2423"/>
        <s v="ORD-2424"/>
        <s v="ORD-2425"/>
        <s v="ORD-2426"/>
        <s v="ORD-2427"/>
        <s v="ORD-2428"/>
        <s v="ORD-2429"/>
        <s v="ORD-2430"/>
        <s v="ORD-2431"/>
        <s v="ORD-2432"/>
        <s v="ORD-2433"/>
        <s v="ORD-2434"/>
        <s v="ORD-2435"/>
        <s v="ORD-2436"/>
        <s v="ORD-2437"/>
        <s v="ORD-2438"/>
        <s v="ORD-2439"/>
        <s v="ORD-2440"/>
        <s v="ORD-2441"/>
        <s v="ORD-2442"/>
        <s v="ORD-2443"/>
        <s v="ORD-2444"/>
        <s v="ORD-2445"/>
        <s v="ORD-2446"/>
        <s v="ORD-2447"/>
        <s v="ORD-2448"/>
        <s v="ORD-2449"/>
        <s v="ORD-2450"/>
        <s v="ORD-2451"/>
        <s v="ORD-2452"/>
        <s v="ORD-2453"/>
        <s v="ORD-2454"/>
        <s v="ORD-2455"/>
        <s v="ORD-2456"/>
        <s v="ORD-2457"/>
        <s v="ORD-2458"/>
        <s v="ORD-2459"/>
        <s v="ORD-2460"/>
        <s v="ORD-2461"/>
        <s v="ORD-2462"/>
        <s v="ORD-2463"/>
        <s v="ORD-2464"/>
        <s v="ORD-2465"/>
        <s v="ORD-2466"/>
        <s v="ORD-2467"/>
        <s v="ORD-2468"/>
        <s v="ORD-2469"/>
        <s v="ORD-2470"/>
        <s v="ORD-2471"/>
        <s v="ORD-2472"/>
        <s v="ORD-2473"/>
        <s v="ORD-2474"/>
        <s v="ORD-2475"/>
        <s v="ORD-2476"/>
        <s v="ORD-2477"/>
        <s v="ORD-2478"/>
        <s v="ORD-2479"/>
        <s v="ORD-2480"/>
        <s v="ORD-2481"/>
        <s v="ORD-2482"/>
        <s v="ORD-2483"/>
        <s v="ORD-2484"/>
        <s v="ORD-2485"/>
        <s v="ORD-2486"/>
        <s v="ORD-2487"/>
        <s v="ORD-2488"/>
        <s v="ORD-2489"/>
        <s v="ORD-2490"/>
        <s v="ORD-2491"/>
        <s v="ORD-2492"/>
        <s v="ORD-2493"/>
        <s v="ORD-2494"/>
        <s v="ORD-2495"/>
        <s v="ORD-2496"/>
        <s v="ORD-2497"/>
        <s v="ORD-2498"/>
        <s v="ORD-2499"/>
        <s v="ORD-2500"/>
        <s v="ORD-2501"/>
        <s v="ORD-2502"/>
        <s v="ORD-2503"/>
        <s v="ORD-2504"/>
        <s v="ORD-2505"/>
        <s v="ORD-2506"/>
        <s v="ORD-2507"/>
        <s v="ORD-2508"/>
        <s v="ORD-2509"/>
        <s v="ORD-2510"/>
        <s v="ORD-2511"/>
        <s v="ORD-2512"/>
        <s v="ORD-2513"/>
        <s v="ORD-2514"/>
        <s v="ORD-2515"/>
        <s v="ORD-2516"/>
        <s v="ORD-2517"/>
        <s v="ORD-2518"/>
        <s v="ORD-2519"/>
        <s v="ORD-2520"/>
        <s v="ORD-2521"/>
        <s v="ORD-2522"/>
        <s v="ORD-2523"/>
        <s v="ORD-2524"/>
        <s v="ORD-2525"/>
        <s v="ORD-2526"/>
        <s v="ORD-2527"/>
        <s v="ORD-2528"/>
        <s v="ORD-2529"/>
        <s v="ORD-2530"/>
        <s v="ORD-2531"/>
        <s v="ORD-2532"/>
        <s v="ORD-2533"/>
        <s v="ORD-2534"/>
        <s v="ORD-2535"/>
        <s v="ORD-2536"/>
        <s v="ORD-2537"/>
        <s v="ORD-2538"/>
        <s v="ORD-2539"/>
        <s v="ORD-2540"/>
        <s v="ORD-2541"/>
        <s v="ORD-2542"/>
        <s v="ORD-2543"/>
        <s v="ORD-2544"/>
        <s v="ORD-2545"/>
        <s v="ORD-2546"/>
        <s v="ORD-2547"/>
        <s v="ORD-2548"/>
        <s v="ORD-2549"/>
        <s v="ORD-2550"/>
        <s v="ORD-2551"/>
        <s v="ORD-2552"/>
        <s v="ORD-2553"/>
        <s v="ORD-2554"/>
        <s v="ORD-2555"/>
        <s v="ORD-2556"/>
        <s v="ORD-2557"/>
        <s v="ORD-2558"/>
        <s v="ORD-2559"/>
        <s v="ORD-2560"/>
        <s v="ORD-2561"/>
        <s v="ORD-2562"/>
        <s v="ORD-2563"/>
        <s v="ORD-2564"/>
        <s v="ORD-2565"/>
        <s v="ORD-2566"/>
        <s v="ORD-2567"/>
        <s v="ORD-2568"/>
        <s v="ORD-2569"/>
        <s v="ORD-2570"/>
        <s v="ORD-2571"/>
        <s v="ORD-2572"/>
        <s v="ORD-2573"/>
        <s v="ORD-2574"/>
        <s v="ORD-2575"/>
        <s v="ORD-2576"/>
        <s v="ORD-2577"/>
        <s v="ORD-2578"/>
        <s v="ORD-2579"/>
        <s v="ORD-2580"/>
        <s v="ORD-2581"/>
        <s v="ORD-2582"/>
        <s v="ORD-2583"/>
        <s v="ORD-2584"/>
        <s v="ORD-2585"/>
        <s v="ORD-2586"/>
        <s v="ORD-2587"/>
        <s v="ORD-2588"/>
        <s v="ORD-2589"/>
        <s v="ORD-2590"/>
        <s v="ORD-2591"/>
        <s v="ORD-2592"/>
        <s v="ORD-2593"/>
        <s v="ORD-2594"/>
        <s v="ORD-2595"/>
        <s v="ORD-2596"/>
        <s v="ORD-2597"/>
        <s v="ORD-2598"/>
        <s v="ORD-2599"/>
        <s v="ORD-2600"/>
        <s v="ORD-2601"/>
        <s v="ORD-2602"/>
        <s v="ORD-2603"/>
        <s v="ORD-2604"/>
        <s v="ORD-2605"/>
        <s v="ORD-2606"/>
        <s v="ORD-2607"/>
        <s v="ORD-2608"/>
        <s v="ORD-2609"/>
        <s v="ORD-2610"/>
        <s v="ORD-2611"/>
        <s v="ORD-2612"/>
        <s v="ORD-2613"/>
        <s v="ORD-2614"/>
        <s v="ORD-2615"/>
        <s v="ORD-2616"/>
        <s v="ORD-2617"/>
        <s v="ORD-2618"/>
        <s v="ORD-2619"/>
        <s v="ORD-2620"/>
        <s v="ORD-2621"/>
        <s v="ORD-2622"/>
        <s v="ORD-2623"/>
        <s v="ORD-2624"/>
        <s v="ORD-2625"/>
        <s v="ORD-2626"/>
        <s v="ORD-2627"/>
        <s v="ORD-2628"/>
        <s v="ORD-2629"/>
        <s v="ORD-2630"/>
        <s v="ORD-2631"/>
        <s v="ORD-2632"/>
        <s v="ORD-2633"/>
        <s v="ORD-2634"/>
        <s v="ORD-2635"/>
        <s v="ORD-2636"/>
        <s v="ORD-2637"/>
        <s v="ORD-2638"/>
        <s v="ORD-2639"/>
        <s v="ORD-2640"/>
        <s v="ORD-2641"/>
        <s v="ORD-2642"/>
        <s v="ORD-2643"/>
        <s v="ORD-2644"/>
        <s v="ORD-2645"/>
        <s v="ORD-2646"/>
        <s v="ORD-2647"/>
        <s v="ORD-2648"/>
        <s v="ORD-2649"/>
        <s v="ORD-2650"/>
        <s v="ORD-2651"/>
        <s v="ORD-2652"/>
        <s v="ORD-2653"/>
        <s v="ORD-2654"/>
        <s v="ORD-2655"/>
        <s v="ORD-2656"/>
        <s v="ORD-2657"/>
        <s v="ORD-2658"/>
        <s v="ORD-2659"/>
        <s v="ORD-2660"/>
        <s v="ORD-2661"/>
        <s v="ORD-2662"/>
        <s v="ORD-2663"/>
        <s v="ORD-2664"/>
        <s v="ORD-2665"/>
        <s v="ORD-2666"/>
        <s v="ORD-2667"/>
        <s v="ORD-2668"/>
        <s v="ORD-2669"/>
        <s v="ORD-2670"/>
        <s v="ORD-2671"/>
        <s v="ORD-2672"/>
        <s v="ORD-2673"/>
        <s v="ORD-2674"/>
        <s v="ORD-2675"/>
        <s v="ORD-2676"/>
        <s v="ORD-2677"/>
        <s v="ORD-2678"/>
        <s v="ORD-2679"/>
        <s v="ORD-2680"/>
        <s v="ORD-2681"/>
        <s v="ORD-2682"/>
        <s v="ORD-2683"/>
        <s v="ORD-2684"/>
        <s v="ORD-2685"/>
        <s v="ORD-2686"/>
        <s v="ORD-2687"/>
        <s v="ORD-2688"/>
        <s v="ORD-2689"/>
        <s v="ORD-2690"/>
        <s v="ORD-2691"/>
        <s v="ORD-2692"/>
        <s v="ORD-2693"/>
        <s v="ORD-2694"/>
        <s v="ORD-2695"/>
        <s v="ORD-2696"/>
        <s v="ORD-2697"/>
        <s v="ORD-2698"/>
        <s v="ORD-2699"/>
        <s v="ORD-2700"/>
        <s v="ORD-2701"/>
        <s v="ORD-2702"/>
        <s v="ORD-2703"/>
        <s v="ORD-2704"/>
        <s v="ORD-2705"/>
        <s v="ORD-2706"/>
        <s v="ORD-2707"/>
        <s v="ORD-2708"/>
        <s v="ORD-2709"/>
        <s v="ORD-2710"/>
        <s v="ORD-2711"/>
        <s v="ORD-2712"/>
        <s v="ORD-2713"/>
        <s v="ORD-2714"/>
        <s v="ORD-2715"/>
        <s v="ORD-2716"/>
        <s v="ORD-2717"/>
        <s v="ORD-2718"/>
        <s v="ORD-2719"/>
        <s v="ORD-2720"/>
        <s v="ORD-2721"/>
        <s v="ORD-2722"/>
        <s v="ORD-2723"/>
        <s v="ORD-2724"/>
        <s v="ORD-2725"/>
        <s v="ORD-2726"/>
        <s v="ORD-2727"/>
        <s v="ORD-2728"/>
        <s v="ORD-2729"/>
        <s v="ORD-2730"/>
        <s v="ORD-2731"/>
        <s v="ORD-2732"/>
        <s v="ORD-2733"/>
        <s v="ORD-2734"/>
        <s v="ORD-2735"/>
        <s v="ORD-2736"/>
        <s v="ORD-2737"/>
        <s v="ORD-2738"/>
        <s v="ORD-2739"/>
        <s v="ORD-2740"/>
        <s v="ORD-2741"/>
        <s v="ORD-2742"/>
        <s v="ORD-2743"/>
        <s v="ORD-2744"/>
        <s v="ORD-2745"/>
        <s v="ORD-2746"/>
        <s v="ORD-2747"/>
        <s v="ORD-2748"/>
        <s v="ORD-2749"/>
        <s v="ORD-2750"/>
        <s v="ORD-2751"/>
        <s v="ORD-2752"/>
        <s v="ORD-2753"/>
        <s v="ORD-2754"/>
        <s v="ORD-2755"/>
        <s v="ORD-2756"/>
        <s v="ORD-2757"/>
        <s v="ORD-2758"/>
        <s v="ORD-2759"/>
        <s v="ORD-2760"/>
        <s v="ORD-2761"/>
        <s v="ORD-2762"/>
        <s v="ORD-2763"/>
        <s v="ORD-2764"/>
        <s v="ORD-2765"/>
        <s v="ORD-2766"/>
        <s v="ORD-2767"/>
        <s v="ORD-2768"/>
        <s v="ORD-2769"/>
        <s v="ORD-2770"/>
        <s v="ORD-2771"/>
        <s v="ORD-2772"/>
        <s v="ORD-2773"/>
        <s v="ORD-2774"/>
        <s v="ORD-2775"/>
        <s v="ORD-2776"/>
        <s v="ORD-2777"/>
        <s v="ORD-2778"/>
        <s v="ORD-2779"/>
        <s v="ORD-2780"/>
        <s v="ORD-2781"/>
        <s v="ORD-2782"/>
        <s v="ORD-2783"/>
        <s v="ORD-2784"/>
        <s v="ORD-2785"/>
        <s v="ORD-2786"/>
        <s v="ORD-2787"/>
        <s v="ORD-2788"/>
        <s v="ORD-2789"/>
        <s v="ORD-2790"/>
        <s v="ORD-2791"/>
        <s v="ORD-2792"/>
        <s v="ORD-2793"/>
        <s v="ORD-2794"/>
        <s v="ORD-2795"/>
        <s v="ORD-2796"/>
        <s v="ORD-2797"/>
        <s v="ORD-2798"/>
        <s v="ORD-2799"/>
        <s v="ORD-2800"/>
        <s v="ORD-2801"/>
        <s v="ORD-2802"/>
        <s v="ORD-2803"/>
        <s v="ORD-2804"/>
        <s v="ORD-2805"/>
        <s v="ORD-2806"/>
        <s v="ORD-2807"/>
        <s v="ORD-2808"/>
        <s v="ORD-2809"/>
        <s v="ORD-2810"/>
        <s v="ORD-2811"/>
        <s v="ORD-2812"/>
        <s v="ORD-2813"/>
        <s v="ORD-2814"/>
        <s v="ORD-2815"/>
        <s v="ORD-2816"/>
        <s v="ORD-2817"/>
        <s v="ORD-2818"/>
        <s v="ORD-2819"/>
        <s v="ORD-2820"/>
        <s v="ORD-2821"/>
        <s v="ORD-2822"/>
        <s v="ORD-2823"/>
        <s v="ORD-2824"/>
        <s v="ORD-2825"/>
        <s v="ORD-2826"/>
        <s v="ORD-2827"/>
        <s v="ORD-2828"/>
        <s v="ORD-2829"/>
        <s v="ORD-2830"/>
        <s v="ORD-2831"/>
        <s v="ORD-2832"/>
        <s v="ORD-2833"/>
        <s v="ORD-2834"/>
        <s v="ORD-2835"/>
        <s v="ORD-2836"/>
        <s v="ORD-2837"/>
        <s v="ORD-2838"/>
        <s v="ORD-2839"/>
        <s v="ORD-2840"/>
        <s v="ORD-2841"/>
        <s v="ORD-2842"/>
        <s v="ORD-2843"/>
        <s v="ORD-2844"/>
        <s v="ORD-2845"/>
        <s v="ORD-2846"/>
        <s v="ORD-2847"/>
        <s v="ORD-2848"/>
        <s v="ORD-2849"/>
        <s v="ORD-2850"/>
        <s v="ORD-2851"/>
        <s v="ORD-2852"/>
        <s v="ORD-2853"/>
        <s v="ORD-2854"/>
        <s v="ORD-2855"/>
        <s v="ORD-2856"/>
        <s v="ORD-2857"/>
        <s v="ORD-2858"/>
        <s v="ORD-2859"/>
        <s v="ORD-2860"/>
        <s v="ORD-2861"/>
        <s v="ORD-2862"/>
        <s v="ORD-2863"/>
        <s v="ORD-2864"/>
        <s v="ORD-2865"/>
        <s v="ORD-2866"/>
        <s v="ORD-2867"/>
        <s v="ORD-2868"/>
        <s v="ORD-2869"/>
        <s v="ORD-2870"/>
        <s v="ORD-2871"/>
        <s v="ORD-2872"/>
        <s v="ORD-2873"/>
        <s v="ORD-2874"/>
        <s v="ORD-2875"/>
        <s v="ORD-2876"/>
        <s v="ORD-2877"/>
        <s v="ORD-2878"/>
        <s v="ORD-2879"/>
        <s v="ORD-2880"/>
        <s v="ORD-2881"/>
        <s v="ORD-2882"/>
        <s v="ORD-2883"/>
        <s v="ORD-2884"/>
        <s v="ORD-2885"/>
        <s v="ORD-2886"/>
        <s v="ORD-2887"/>
        <s v="ORD-2888"/>
        <s v="ORD-2889"/>
        <s v="ORD-2890"/>
        <s v="ORD-2891"/>
        <s v="ORD-2892"/>
        <s v="ORD-2893"/>
        <s v="ORD-2894"/>
        <s v="ORD-2895"/>
        <s v="ORD-2896"/>
        <s v="ORD-2897"/>
        <s v="ORD-2898"/>
        <s v="ORD-2899"/>
        <s v="ORD-2900"/>
        <s v="ORD-2901"/>
        <s v="ORD-2902"/>
        <s v="ORD-2903"/>
        <s v="ORD-2904"/>
        <s v="ORD-2905"/>
        <s v="ORD-2906"/>
        <s v="ORD-2907"/>
        <s v="ORD-2908"/>
        <s v="ORD-2909"/>
        <s v="ORD-2910"/>
        <s v="ORD-2911"/>
        <s v="ORD-2912"/>
        <s v="ORD-2913"/>
        <s v="ORD-2914"/>
        <s v="ORD-2915"/>
        <s v="ORD-2916"/>
        <s v="ORD-2917"/>
        <s v="ORD-2918"/>
        <s v="ORD-2919"/>
        <s v="ORD-2920"/>
        <s v="ORD-2921"/>
        <s v="ORD-2922"/>
        <s v="ORD-2923"/>
        <s v="ORD-2924"/>
        <s v="ORD-2925"/>
        <s v="ORD-2926"/>
        <s v="ORD-2927"/>
        <s v="ORD-2928"/>
        <s v="ORD-2929"/>
        <s v="ORD-2930"/>
        <s v="ORD-2931"/>
        <s v="ORD-2932"/>
        <s v="ORD-2933"/>
        <s v="ORD-2934"/>
        <s v="ORD-2935"/>
        <s v="ORD-2936"/>
        <s v="ORD-2937"/>
        <s v="ORD-2938"/>
        <s v="ORD-2939"/>
        <s v="ORD-2940"/>
        <s v="ORD-2941"/>
        <s v="ORD-2942"/>
        <s v="ORD-2943"/>
        <s v="ORD-2944"/>
        <s v="ORD-2945"/>
        <s v="ORD-2946"/>
        <s v="ORD-2947"/>
        <s v="ORD-2948"/>
        <s v="ORD-2949"/>
        <s v="ORD-2950"/>
        <s v="ORD-2951"/>
        <s v="ORD-2952"/>
        <s v="ORD-2953"/>
        <s v="ORD-2954"/>
        <s v="ORD-2955"/>
        <s v="ORD-2956"/>
        <s v="ORD-2957"/>
        <s v="ORD-2958"/>
        <s v="ORD-2959"/>
        <s v="ORD-2960"/>
        <s v="ORD-2961"/>
        <s v="ORD-2962"/>
        <s v="ORD-2963"/>
        <s v="ORD-2964"/>
        <s v="ORD-2965"/>
        <s v="ORD-2966"/>
        <s v="ORD-2967"/>
        <s v="ORD-2968"/>
        <s v="ORD-2969"/>
        <s v="ORD-2970"/>
        <s v="ORD-2971"/>
        <s v="ORD-2972"/>
        <s v="ORD-2973"/>
        <s v="ORD-2974"/>
        <s v="ORD-2975"/>
        <s v="ORD-2976"/>
        <s v="ORD-2977"/>
        <s v="ORD-2978"/>
        <s v="ORD-2979"/>
        <s v="ORD-2980"/>
        <s v="ORD-2981"/>
        <s v="ORD-2982"/>
        <s v="ORD-2983"/>
        <s v="ORD-2984"/>
        <s v="ORD-2985"/>
        <s v="ORD-2986"/>
        <s v="ORD-2987"/>
        <s v="ORD-2988"/>
        <s v="ORD-2989"/>
        <s v="ORD-2990"/>
        <s v="ORD-2991"/>
        <s v="ORD-2992"/>
        <s v="ORD-2993"/>
        <s v="ORD-2994"/>
        <s v="ORD-2995"/>
        <s v="ORD-2996"/>
        <s v="ORD-2997"/>
        <s v="ORD-2998"/>
        <s v="ORD-2999"/>
        <s v="ORD-3000"/>
      </sharedItems>
    </cacheField>
    <cacheField name="Date" numFmtId="14">
      <sharedItems containsSemiMixedTypes="0" containsNonDate="0" containsDate="1" containsString="0" minDate="2026-01-01T00:00:00" maxDate="2027-01-01T00:00:00" count="363">
        <d v="2026-09-01T00:00:00"/>
        <d v="2026-03-17T00:00:00"/>
        <d v="2026-10-06T00:00:00"/>
        <d v="2026-08-26T00:00:00"/>
        <d v="2026-08-23T00:00:00"/>
        <d v="2026-03-12T00:00:00"/>
        <d v="2026-09-08T00:00:00"/>
        <d v="2026-11-11T00:00:00"/>
        <d v="2026-04-19T00:00:00"/>
        <d v="2026-03-06T00:00:00"/>
        <d v="2026-09-04T00:00:00"/>
        <d v="2026-11-09T00:00:00"/>
        <d v="2026-12-30T00:00:00"/>
        <d v="2026-12-03T00:00:00"/>
        <d v="2026-04-28T00:00:00"/>
        <d v="2026-06-17T00:00:00"/>
        <d v="2026-08-08T00:00:00"/>
        <d v="2026-01-21T00:00:00"/>
        <d v="2026-06-09T00:00:00"/>
        <d v="2026-04-26T00:00:00"/>
        <d v="2026-08-18T00:00:00"/>
        <d v="2026-01-03T00:00:00"/>
        <d v="2026-08-11T00:00:00"/>
        <d v="2026-11-29T00:00:00"/>
        <d v="2026-02-05T00:00:00"/>
        <d v="2026-11-17T00:00:00"/>
        <d v="2026-09-09T00:00:00"/>
        <d v="2026-07-27T00:00:00"/>
        <d v="2026-09-12T00:00:00"/>
        <d v="2026-11-01T00:00:00"/>
        <d v="2026-11-28T00:00:00"/>
        <d v="2026-04-03T00:00:00"/>
        <d v="2026-03-31T00:00:00"/>
        <d v="2026-11-07T00:00:00"/>
        <d v="2026-08-22T00:00:00"/>
        <d v="2026-03-22T00:00:00"/>
        <d v="2026-03-26T00:00:00"/>
        <d v="2026-03-03T00:00:00"/>
        <d v="2026-01-16T00:00:00"/>
        <d v="2026-09-29T00:00:00"/>
        <d v="2026-06-26T00:00:00"/>
        <d v="2026-10-16T00:00:00"/>
        <d v="2026-06-11T00:00:00"/>
        <d v="2026-10-28T00:00:00"/>
        <d v="2026-06-22T00:00:00"/>
        <d v="2026-04-27T00:00:00"/>
        <d v="2026-01-01T00:00:00"/>
        <d v="2026-12-19T00:00:00"/>
        <d v="2026-08-04T00:00:00"/>
        <d v="2026-11-04T00:00:00"/>
        <d v="2026-04-15T00:00:00"/>
        <d v="2026-05-09T00:00:00"/>
        <d v="2026-07-08T00:00:00"/>
        <d v="2026-03-24T00:00:00"/>
        <d v="2026-08-25T00:00:00"/>
        <d v="2026-02-02T00:00:00"/>
        <d v="2026-01-05T00:00:00"/>
        <d v="2026-10-13T00:00:00"/>
        <d v="2026-08-09T00:00:00"/>
        <d v="2026-01-10T00:00:00"/>
        <d v="2026-03-09T00:00:00"/>
        <d v="2026-12-27T00:00:00"/>
        <d v="2026-09-30T00:00:00"/>
        <d v="2026-02-06T00:00:00"/>
        <d v="2026-12-13T00:00:00"/>
        <d v="2026-10-21T00:00:00"/>
        <d v="2026-12-20T00:00:00"/>
        <d v="2026-06-04T00:00:00"/>
        <d v="2026-04-18T00:00:00"/>
        <d v="2026-05-26T00:00:00"/>
        <d v="2026-05-18T00:00:00"/>
        <d v="2026-05-16T00:00:00"/>
        <d v="2026-05-04T00:00:00"/>
        <d v="2026-11-02T00:00:00"/>
        <d v="2026-07-19T00:00:00"/>
        <d v="2026-04-14T00:00:00"/>
        <d v="2026-04-23T00:00:00"/>
        <d v="2026-10-08T00:00:00"/>
        <d v="2026-10-02T00:00:00"/>
        <d v="2026-07-30T00:00:00"/>
        <d v="2026-02-12T00:00:00"/>
        <d v="2026-11-18T00:00:00"/>
        <d v="2026-12-10T00:00:00"/>
        <d v="2026-12-14T00:00:00"/>
        <d v="2026-05-15T00:00:00"/>
        <d v="2026-10-07T00:00:00"/>
        <d v="2026-01-28T00:00:00"/>
        <d v="2026-08-01T00:00:00"/>
        <d v="2026-02-17T00:00:00"/>
        <d v="2026-12-28T00:00:00"/>
        <d v="2026-04-21T00:00:00"/>
        <d v="2026-02-21T00:00:00"/>
        <d v="2026-02-24T00:00:00"/>
        <d v="2026-11-24T00:00:00"/>
        <d v="2026-04-06T00:00:00"/>
        <d v="2026-10-01T00:00:00"/>
        <d v="2026-08-29T00:00:00"/>
        <d v="2026-06-07T00:00:00"/>
        <d v="2026-06-20T00:00:00"/>
        <d v="2026-06-05T00:00:00"/>
        <d v="2026-01-30T00:00:00"/>
        <d v="2026-06-10T00:00:00"/>
        <d v="2026-05-31T00:00:00"/>
        <d v="2026-02-25T00:00:00"/>
        <d v="2026-09-26T00:00:00"/>
        <d v="2026-09-28T00:00:00"/>
        <d v="2026-09-15T00:00:00"/>
        <d v="2026-11-22T00:00:00"/>
        <d v="2026-03-07T00:00:00"/>
        <d v="2026-10-27T00:00:00"/>
        <d v="2026-11-25T00:00:00"/>
        <d v="2026-11-03T00:00:00"/>
        <d v="2026-06-03T00:00:00"/>
        <d v="2026-09-05T00:00:00"/>
        <d v="2026-08-14T00:00:00"/>
        <d v="2026-09-17T00:00:00"/>
        <d v="2026-12-09T00:00:00"/>
        <d v="2026-06-02T00:00:00"/>
        <d v="2026-10-29T00:00:00"/>
        <d v="2026-06-27T00:00:00"/>
        <d v="2026-06-18T00:00:00"/>
        <d v="2026-02-28T00:00:00"/>
        <d v="2026-04-16T00:00:00"/>
        <d v="2026-06-23T00:00:00"/>
        <d v="2026-05-30T00:00:00"/>
        <d v="2026-12-12T00:00:00"/>
        <d v="2026-03-02T00:00:00"/>
        <d v="2026-08-02T00:00:00"/>
        <d v="2026-02-09T00:00:00"/>
        <d v="2026-12-25T00:00:00"/>
        <d v="2026-07-23T00:00:00"/>
        <d v="2026-11-21T00:00:00"/>
        <d v="2026-07-24T00:00:00"/>
        <d v="2026-03-23T00:00:00"/>
        <d v="2026-06-13T00:00:00"/>
        <d v="2026-04-10T00:00:00"/>
        <d v="2026-04-04T00:00:00"/>
        <d v="2026-02-15T00:00:00"/>
        <d v="2026-04-02T00:00:00"/>
        <d v="2026-01-18T00:00:00"/>
        <d v="2026-05-21T00:00:00"/>
        <d v="2026-12-11T00:00:00"/>
        <d v="2026-03-15T00:00:00"/>
        <d v="2026-04-25T00:00:00"/>
        <d v="2026-06-06T00:00:00"/>
        <d v="2026-11-27T00:00:00"/>
        <d v="2026-02-27T00:00:00"/>
        <d v="2026-07-29T00:00:00"/>
        <d v="2026-11-30T00:00:00"/>
        <d v="2026-07-25T00:00:00"/>
        <d v="2026-04-29T00:00:00"/>
        <d v="2026-01-12T00:00:00"/>
        <d v="2026-06-28T00:00:00"/>
        <d v="2026-08-28T00:00:00"/>
        <d v="2026-12-01T00:00:00"/>
        <d v="2026-12-18T00:00:00"/>
        <d v="2026-07-31T00:00:00"/>
        <d v="2026-03-18T00:00:00"/>
        <d v="2026-07-10T00:00:00"/>
        <d v="2026-09-23T00:00:00"/>
        <d v="2026-03-28T00:00:00"/>
        <d v="2026-09-18T00:00:00"/>
        <d v="2026-05-25T00:00:00"/>
        <d v="2026-10-05T00:00:00"/>
        <d v="2026-02-14T00:00:00"/>
        <d v="2026-01-14T00:00:00"/>
        <d v="2026-07-20T00:00:00"/>
        <d v="2026-02-19T00:00:00"/>
        <d v="2026-10-03T00:00:00"/>
        <d v="2026-08-30T00:00:00"/>
        <d v="2026-06-25T00:00:00"/>
        <d v="2026-08-17T00:00:00"/>
        <d v="2026-12-08T00:00:00"/>
        <d v="2026-08-13T00:00:00"/>
        <d v="2026-07-07T00:00:00"/>
        <d v="2026-02-01T00:00:00"/>
        <d v="2026-07-04T00:00:00"/>
        <d v="2026-11-05T00:00:00"/>
        <d v="2026-10-22T00:00:00"/>
        <d v="2026-06-24T00:00:00"/>
        <d v="2026-10-15T00:00:00"/>
        <d v="2026-10-26T00:00:00"/>
        <d v="2026-01-02T00:00:00"/>
        <d v="2026-07-05T00:00:00"/>
        <d v="2026-09-03T00:00:00"/>
        <d v="2026-08-10T00:00:00"/>
        <d v="2026-03-25T00:00:00"/>
        <d v="2026-05-27T00:00:00"/>
        <d v="2026-01-15T00:00:00"/>
        <d v="2026-04-12T00:00:00"/>
        <d v="2026-02-04T00:00:00"/>
        <d v="2026-04-11T00:00:00"/>
        <d v="2026-10-19T00:00:00"/>
        <d v="2026-02-08T00:00:00"/>
        <d v="2026-09-21T00:00:00"/>
        <d v="2026-06-14T00:00:00"/>
        <d v="2026-11-26T00:00:00"/>
        <d v="2026-01-23T00:00:00"/>
        <d v="2026-04-08T00:00:00"/>
        <d v="2026-11-20T00:00:00"/>
        <d v="2026-05-13T00:00:00"/>
        <d v="2026-05-20T00:00:00"/>
        <d v="2026-11-12T00:00:00"/>
        <d v="2026-09-20T00:00:00"/>
        <d v="2026-02-22T00:00:00"/>
        <d v="2026-02-18T00:00:00"/>
        <d v="2026-04-24T00:00:00"/>
        <d v="2026-09-13T00:00:00"/>
        <d v="2026-09-19T00:00:00"/>
        <d v="2026-11-06T00:00:00"/>
        <d v="2026-01-07T00:00:00"/>
        <d v="2026-03-29T00:00:00"/>
        <d v="2026-01-08T00:00:00"/>
        <d v="2026-04-20T00:00:00"/>
        <d v="2026-09-16T00:00:00"/>
        <d v="2026-10-04T00:00:00"/>
        <d v="2026-05-29T00:00:00"/>
        <d v="2026-04-13T00:00:00"/>
        <d v="2026-12-05T00:00:00"/>
        <d v="2026-05-22T00:00:00"/>
        <d v="2026-09-11T00:00:00"/>
        <d v="2026-03-11T00:00:00"/>
        <d v="2026-07-26T00:00:00"/>
        <d v="2026-12-02T00:00:00"/>
        <d v="2026-05-19T00:00:00"/>
        <d v="2026-12-24T00:00:00"/>
        <d v="2026-06-30T00:00:00"/>
        <d v="2026-01-22T00:00:00"/>
        <d v="2026-05-03T00:00:00"/>
        <d v="2026-11-14T00:00:00"/>
        <d v="2026-09-02T00:00:00"/>
        <d v="2026-06-01T00:00:00"/>
        <d v="2026-02-26T00:00:00"/>
        <d v="2026-01-04T00:00:00"/>
        <d v="2026-06-12T00:00:00"/>
        <d v="2026-10-10T00:00:00"/>
        <d v="2026-09-25T00:00:00"/>
        <d v="2026-04-09T00:00:00"/>
        <d v="2026-09-27T00:00:00"/>
        <d v="2026-08-27T00:00:00"/>
        <d v="2026-08-03T00:00:00"/>
        <d v="2026-08-07T00:00:00"/>
        <d v="2026-12-26T00:00:00"/>
        <d v="2026-10-31T00:00:00"/>
        <d v="2026-09-22T00:00:00"/>
        <d v="2026-11-16T00:00:00"/>
        <d v="2026-03-14T00:00:00"/>
        <d v="2026-05-10T00:00:00"/>
        <d v="2026-07-01T00:00:00"/>
        <d v="2026-05-08T00:00:00"/>
        <d v="2026-11-15T00:00:00"/>
        <d v="2026-06-21T00:00:00"/>
        <d v="2026-04-01T00:00:00"/>
        <d v="2026-06-15T00:00:00"/>
        <d v="2026-12-07T00:00:00"/>
        <d v="2026-03-04T00:00:00"/>
        <d v="2026-07-16T00:00:00"/>
        <d v="2026-12-15T00:00:00"/>
        <d v="2026-01-27T00:00:00"/>
        <d v="2026-03-27T00:00:00"/>
        <d v="2026-10-30T00:00:00"/>
        <d v="2026-07-21T00:00:00"/>
        <d v="2026-04-17T00:00:00"/>
        <d v="2026-02-11T00:00:00"/>
        <d v="2026-04-22T00:00:00"/>
        <d v="2026-11-08T00:00:00"/>
        <d v="2026-05-17T00:00:00"/>
        <d v="2026-12-16T00:00:00"/>
        <d v="2026-01-17T00:00:00"/>
        <d v="2026-03-30T00:00:00"/>
        <d v="2026-10-24T00:00:00"/>
        <d v="2026-01-13T00:00:00"/>
        <d v="2026-02-10T00:00:00"/>
        <d v="2026-07-13T00:00:00"/>
        <d v="2026-02-20T00:00:00"/>
        <d v="2026-06-08T00:00:00"/>
        <d v="2026-03-19T00:00:00"/>
        <d v="2026-07-22T00:00:00"/>
        <d v="2026-08-06T00:00:00"/>
        <d v="2026-12-22T00:00:00"/>
        <d v="2026-05-06T00:00:00"/>
        <d v="2026-09-07T00:00:00"/>
        <d v="2026-12-21T00:00:00"/>
        <d v="2026-12-29T00:00:00"/>
        <d v="2026-11-13T00:00:00"/>
        <d v="2026-07-17T00:00:00"/>
        <d v="2026-06-16T00:00:00"/>
        <d v="2026-11-10T00:00:00"/>
        <d v="2026-03-16T00:00:00"/>
        <d v="2026-08-12T00:00:00"/>
        <d v="2026-07-28T00:00:00"/>
        <d v="2026-10-18T00:00:00"/>
        <d v="2026-10-11T00:00:00"/>
        <d v="2026-08-05T00:00:00"/>
        <d v="2026-01-11T00:00:00"/>
        <d v="2026-01-09T00:00:00"/>
        <d v="2026-05-14T00:00:00"/>
        <d v="2026-11-19T00:00:00"/>
        <d v="2026-05-24T00:00:00"/>
        <d v="2026-08-24T00:00:00"/>
        <d v="2026-04-07T00:00:00"/>
        <d v="2026-07-06T00:00:00"/>
        <d v="2026-10-17T00:00:00"/>
        <d v="2026-05-01T00:00:00"/>
        <d v="2026-08-21T00:00:00"/>
        <d v="2026-10-25T00:00:00"/>
        <d v="2026-08-31T00:00:00"/>
        <d v="2026-03-01T00:00:00"/>
        <d v="2026-02-07T00:00:00"/>
        <d v="2026-05-28T00:00:00"/>
        <d v="2026-07-14T00:00:00"/>
        <d v="2026-10-14T00:00:00"/>
        <d v="2026-02-16T00:00:00"/>
        <d v="2026-01-26T00:00:00"/>
        <d v="2026-07-12T00:00:00"/>
        <d v="2026-09-14T00:00:00"/>
        <d v="2026-11-23T00:00:00"/>
        <d v="2026-12-31T00:00:00"/>
        <d v="2026-04-05T00:00:00"/>
        <d v="2026-10-23T00:00:00"/>
        <d v="2026-03-08T00:00:00"/>
        <d v="2026-06-29T00:00:00"/>
        <d v="2026-07-18T00:00:00"/>
        <d v="2026-05-23T00:00:00"/>
        <d v="2026-01-31T00:00:00"/>
        <d v="2026-12-17T00:00:00"/>
        <d v="2026-05-02T00:00:00"/>
        <d v="2026-01-20T00:00:00"/>
        <d v="2026-06-19T00:00:00"/>
        <d v="2026-01-24T00:00:00"/>
        <d v="2026-01-06T00:00:00"/>
        <d v="2026-12-23T00:00:00"/>
        <d v="2026-02-23T00:00:00"/>
        <d v="2026-03-20T00:00:00"/>
        <d v="2026-05-11T00:00:00"/>
        <d v="2026-07-11T00:00:00"/>
        <d v="2026-07-09T00:00:00"/>
        <d v="2026-04-30T00:00:00"/>
        <d v="2026-03-05T00:00:00"/>
        <d v="2026-09-10T00:00:00"/>
        <d v="2026-09-06T00:00:00"/>
        <d v="2026-05-12T00:00:00"/>
        <d v="2026-10-12T00:00:00"/>
        <d v="2026-08-20T00:00:00"/>
        <d v="2026-03-21T00:00:00"/>
        <d v="2026-07-03T00:00:00"/>
        <d v="2026-08-15T00:00:00"/>
        <d v="2026-02-03T00:00:00"/>
        <d v="2026-12-04T00:00:00"/>
        <d v="2026-03-10T00:00:00"/>
        <d v="2026-01-25T00:00:00"/>
        <d v="2026-05-05T00:00:00"/>
        <d v="2026-09-24T00:00:00"/>
        <d v="2026-01-19T00:00:00"/>
        <d v="2026-02-13T00:00:00"/>
        <d v="2026-08-19T00:00:00"/>
        <d v="2026-03-13T00:00:00"/>
        <d v="2026-12-06T00:00:00"/>
        <d v="2026-08-16T00:00:00"/>
        <d v="2026-10-20T00:00:00"/>
        <d v="2026-05-07T00:00:00"/>
        <d v="2026-07-15T00:00:00"/>
        <d v="2026-07-02T00:00:00"/>
      </sharedItems>
      <fieldGroup par="13"/>
    </cacheField>
    <cacheField name="Region" numFmtId="0">
      <sharedItems count="5">
        <s v="West"/>
        <s v="East"/>
        <s v="North"/>
        <s v="Central"/>
        <s v="South"/>
      </sharedItems>
    </cacheField>
    <cacheField name="Sales Channel" numFmtId="0">
      <sharedItems count="4">
        <s v="Online"/>
        <s v="Retail Store"/>
        <s v="Corporate Sales"/>
        <s v="Marketplace"/>
      </sharedItems>
    </cacheField>
    <cacheField name="Customer Type" numFmtId="0">
      <sharedItems count="2">
        <s v="New"/>
        <s v="Returning"/>
      </sharedItems>
    </cacheField>
    <cacheField name="Product Category" numFmtId="0">
      <sharedItems count="6">
        <s v="Accessories"/>
        <s v="Storage"/>
        <s v="Networking"/>
        <s v="Computers"/>
        <s v="Monitors"/>
        <s v="Office Supplies"/>
      </sharedItems>
    </cacheField>
    <cacheField name="Product" numFmtId="0">
      <sharedItems count="28">
        <s v="Mouse Pad"/>
        <s v="Memory Card 256GB"/>
        <s v="Ethernet Cable"/>
        <s v="Wi-Fi Router"/>
        <s v="Mesh Wi-Fi Set"/>
        <s v="External HDD 2TB"/>
        <s v="Wireless Mouse"/>
        <s v="Gaming Laptop"/>
        <s v="External SSD 1TB"/>
        <s v="Desktop Mini"/>
        <s v="Laptop Stand"/>
        <s v="27-inch Monitor"/>
        <s v="Webcam"/>
        <s v="Ultrawide Monitor"/>
        <s v="USB-C Hub"/>
        <s v="Laptop Pro 14"/>
        <s v="Sticky Notes"/>
        <s v="Portable Monitor"/>
        <s v="Pen Pack"/>
        <s v="24-inch Monitor"/>
        <s v="Laptop Air 13"/>
        <s v="All-in-One PC"/>
        <s v="Keyboard"/>
        <s v="Notebook Set"/>
        <s v="Desk Organizer"/>
        <s v="USB Drive 128GB"/>
        <s v="Printer Paper"/>
        <s v="Network Switch"/>
      </sharedItems>
    </cacheField>
    <cacheField name="Salesperson" numFmtId="0">
      <sharedItems count="15">
        <s v="Sofia Tan"/>
        <s v="Nora Chen"/>
        <s v="Ben Ho"/>
        <s v="Aisha Lim"/>
        <s v="Daniel Wong"/>
        <s v="Priya Shah"/>
        <s v="Chloe Lim"/>
        <s v="Kevin Yap"/>
        <s v="Grace Ng"/>
        <s v="Amir Hassan"/>
        <s v="Mei Tan"/>
        <s v="Hafiz Rahman"/>
        <s v="Jason Lee"/>
        <s v="Raj Kumar"/>
        <s v="Farah Ali"/>
      </sharedItems>
    </cacheField>
    <cacheField name="Quantity" numFmtId="0">
      <sharedItems containsSemiMixedTypes="0" containsString="0" containsNumber="1" containsInteger="1" minValue="1" maxValue="15"/>
    </cacheField>
    <cacheField name="Unit Price" numFmtId="2">
      <sharedItems containsSemiMixedTypes="0" containsString="0" containsNumber="1" minValue="7.6" maxValue="4452"/>
    </cacheField>
    <cacheField name="Discount" numFmtId="9">
      <sharedItems containsSemiMixedTypes="0" containsString="0" containsNumber="1" minValue="0" maxValue="0.2"/>
    </cacheField>
    <cacheField name="Revenue" numFmtId="2">
      <sharedItems containsSemiMixedTypes="0" containsString="0" containsNumber="1" minValue="6.2080000000000002" maxValue="16074.240000000002"/>
    </cacheField>
    <cacheField name="Days (Date)" numFmtId="0" databaseField="0">
      <fieldGroup base="1">
        <rangePr groupBy="days" startDate="2026-01-01T00:00:00" endDate="2027-01-01T00:00:00"/>
        <groupItems count="368">
          <s v="&lt;01/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7"/>
        </groupItems>
      </fieldGroup>
    </cacheField>
    <cacheField name="Months (Date)" numFmtId="0" databaseField="0">
      <fieldGroup base="1">
        <rangePr groupBy="months" startDate="2026-01-01T00:00:00" endDate="2027-01-01T00:00:00"/>
        <groupItems count="14">
          <s v="&lt;01/01/2026"/>
          <s v="Jan"/>
          <s v="Feb"/>
          <s v="Mar"/>
          <s v="Apr"/>
          <s v="May"/>
          <s v="Jun"/>
          <s v="Jul"/>
          <s v="Aug"/>
          <s v="Sep"/>
          <s v="Oct"/>
          <s v="Nov"/>
          <s v="Dec"/>
          <s v="&gt;01/01/2027"/>
        </groupItems>
      </fieldGroup>
    </cacheField>
  </cacheFields>
  <extLst>
    <ext xmlns:x14="http://schemas.microsoft.com/office/spreadsheetml/2009/9/main" uri="{725AE2AE-9491-48be-B2B4-4EB974FC3084}">
      <x14:pivotCacheDefinition pivotCacheId="41286791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x v="0"/>
    <x v="0"/>
    <x v="0"/>
    <x v="0"/>
    <x v="0"/>
    <n v="3"/>
    <n v="14.55"/>
    <n v="0"/>
    <n v="43.650000000000006"/>
  </r>
  <r>
    <x v="1"/>
    <x v="1"/>
    <x v="1"/>
    <x v="1"/>
    <x v="1"/>
    <x v="1"/>
    <x v="1"/>
    <x v="1"/>
    <n v="2"/>
    <n v="90"/>
    <n v="0.03"/>
    <n v="174.6"/>
  </r>
  <r>
    <x v="2"/>
    <x v="2"/>
    <x v="0"/>
    <x v="0"/>
    <x v="0"/>
    <x v="2"/>
    <x v="2"/>
    <x v="2"/>
    <n v="1"/>
    <n v="19.399999999999999"/>
    <n v="0"/>
    <n v="19.399999999999999"/>
  </r>
  <r>
    <x v="3"/>
    <x v="3"/>
    <x v="2"/>
    <x v="1"/>
    <x v="0"/>
    <x v="2"/>
    <x v="3"/>
    <x v="3"/>
    <n v="5"/>
    <n v="280"/>
    <n v="0.05"/>
    <n v="1330"/>
  </r>
  <r>
    <x v="4"/>
    <x v="4"/>
    <x v="2"/>
    <x v="2"/>
    <x v="1"/>
    <x v="2"/>
    <x v="4"/>
    <x v="3"/>
    <n v="6"/>
    <n v="727.5"/>
    <n v="0.05"/>
    <n v="4146.75"/>
  </r>
  <r>
    <x v="5"/>
    <x v="5"/>
    <x v="2"/>
    <x v="0"/>
    <x v="1"/>
    <x v="1"/>
    <x v="5"/>
    <x v="4"/>
    <n v="1"/>
    <n v="320"/>
    <n v="0.05"/>
    <n v="304"/>
  </r>
  <r>
    <x v="6"/>
    <x v="6"/>
    <x v="0"/>
    <x v="3"/>
    <x v="1"/>
    <x v="0"/>
    <x v="6"/>
    <x v="5"/>
    <n v="2"/>
    <n v="45.9"/>
    <n v="0"/>
    <n v="91.8"/>
  </r>
  <r>
    <x v="7"/>
    <x v="7"/>
    <x v="2"/>
    <x v="1"/>
    <x v="1"/>
    <x v="1"/>
    <x v="5"/>
    <x v="4"/>
    <n v="1"/>
    <n v="320"/>
    <n v="0.15"/>
    <n v="272"/>
  </r>
  <r>
    <x v="8"/>
    <x v="8"/>
    <x v="1"/>
    <x v="1"/>
    <x v="1"/>
    <x v="2"/>
    <x v="4"/>
    <x v="1"/>
    <n v="1"/>
    <n v="795"/>
    <n v="0"/>
    <n v="795"/>
  </r>
  <r>
    <x v="9"/>
    <x v="9"/>
    <x v="3"/>
    <x v="1"/>
    <x v="0"/>
    <x v="3"/>
    <x v="7"/>
    <x v="6"/>
    <n v="4"/>
    <n v="4200"/>
    <n v="0.1"/>
    <n v="15120"/>
  </r>
  <r>
    <x v="10"/>
    <x v="10"/>
    <x v="0"/>
    <x v="1"/>
    <x v="0"/>
    <x v="1"/>
    <x v="8"/>
    <x v="5"/>
    <n v="2"/>
    <n v="450"/>
    <n v="0.05"/>
    <n v="855"/>
  </r>
  <r>
    <x v="11"/>
    <x v="11"/>
    <x v="3"/>
    <x v="2"/>
    <x v="1"/>
    <x v="3"/>
    <x v="9"/>
    <x v="7"/>
    <n v="1"/>
    <n v="1800"/>
    <n v="0.15"/>
    <n v="1530"/>
  </r>
  <r>
    <x v="12"/>
    <x v="12"/>
    <x v="1"/>
    <x v="0"/>
    <x v="0"/>
    <x v="0"/>
    <x v="10"/>
    <x v="8"/>
    <n v="1"/>
    <n v="38"/>
    <n v="0.05"/>
    <n v="36.1"/>
  </r>
  <r>
    <x v="13"/>
    <x v="13"/>
    <x v="0"/>
    <x v="3"/>
    <x v="1"/>
    <x v="4"/>
    <x v="11"/>
    <x v="0"/>
    <n v="2"/>
    <n v="850"/>
    <n v="0.2"/>
    <n v="1360"/>
  </r>
  <r>
    <x v="14"/>
    <x v="14"/>
    <x v="1"/>
    <x v="3"/>
    <x v="1"/>
    <x v="1"/>
    <x v="5"/>
    <x v="9"/>
    <n v="2"/>
    <n v="320"/>
    <n v="0.1"/>
    <n v="576"/>
  </r>
  <r>
    <x v="15"/>
    <x v="15"/>
    <x v="1"/>
    <x v="0"/>
    <x v="0"/>
    <x v="0"/>
    <x v="12"/>
    <x v="8"/>
    <n v="3"/>
    <n v="80"/>
    <n v="0"/>
    <n v="240"/>
  </r>
  <r>
    <x v="16"/>
    <x v="6"/>
    <x v="2"/>
    <x v="0"/>
    <x v="0"/>
    <x v="4"/>
    <x v="13"/>
    <x v="4"/>
    <n v="1"/>
    <n v="1590"/>
    <n v="0"/>
    <n v="1590"/>
  </r>
  <r>
    <x v="17"/>
    <x v="16"/>
    <x v="3"/>
    <x v="3"/>
    <x v="0"/>
    <x v="0"/>
    <x v="14"/>
    <x v="7"/>
    <n v="2"/>
    <n v="56.1"/>
    <n v="0.08"/>
    <n v="103.224"/>
  </r>
  <r>
    <x v="18"/>
    <x v="17"/>
    <x v="3"/>
    <x v="0"/>
    <x v="1"/>
    <x v="3"/>
    <x v="15"/>
    <x v="6"/>
    <n v="1"/>
    <n v="3200"/>
    <n v="0.05"/>
    <n v="3040"/>
  </r>
  <r>
    <x v="19"/>
    <x v="18"/>
    <x v="1"/>
    <x v="3"/>
    <x v="0"/>
    <x v="5"/>
    <x v="16"/>
    <x v="1"/>
    <n v="1"/>
    <n v="7.76"/>
    <n v="0.2"/>
    <n v="6.2080000000000002"/>
  </r>
  <r>
    <x v="20"/>
    <x v="12"/>
    <x v="0"/>
    <x v="0"/>
    <x v="1"/>
    <x v="4"/>
    <x v="17"/>
    <x v="2"/>
    <n v="1"/>
    <n v="665"/>
    <n v="0"/>
    <n v="665"/>
  </r>
  <r>
    <x v="21"/>
    <x v="19"/>
    <x v="3"/>
    <x v="0"/>
    <x v="1"/>
    <x v="1"/>
    <x v="1"/>
    <x v="6"/>
    <n v="1"/>
    <n v="90"/>
    <n v="0.03"/>
    <n v="87.3"/>
  </r>
  <r>
    <x v="22"/>
    <x v="20"/>
    <x v="2"/>
    <x v="0"/>
    <x v="0"/>
    <x v="4"/>
    <x v="11"/>
    <x v="10"/>
    <n v="4"/>
    <n v="807.5"/>
    <n v="0"/>
    <n v="3230"/>
  </r>
  <r>
    <x v="23"/>
    <x v="21"/>
    <x v="0"/>
    <x v="0"/>
    <x v="0"/>
    <x v="5"/>
    <x v="18"/>
    <x v="5"/>
    <n v="3"/>
    <n v="11.4"/>
    <n v="0.03"/>
    <n v="33.173999999999999"/>
  </r>
  <r>
    <x v="24"/>
    <x v="22"/>
    <x v="3"/>
    <x v="0"/>
    <x v="1"/>
    <x v="0"/>
    <x v="14"/>
    <x v="11"/>
    <n v="4"/>
    <n v="55"/>
    <n v="0.03"/>
    <n v="213.4"/>
  </r>
  <r>
    <x v="25"/>
    <x v="12"/>
    <x v="2"/>
    <x v="1"/>
    <x v="1"/>
    <x v="2"/>
    <x v="3"/>
    <x v="3"/>
    <n v="3"/>
    <n v="280"/>
    <n v="0.03"/>
    <n v="814.8"/>
  </r>
  <r>
    <x v="26"/>
    <x v="23"/>
    <x v="4"/>
    <x v="0"/>
    <x v="1"/>
    <x v="4"/>
    <x v="13"/>
    <x v="12"/>
    <n v="2"/>
    <n v="1425"/>
    <n v="0.08"/>
    <n v="2622"/>
  </r>
  <r>
    <x v="27"/>
    <x v="24"/>
    <x v="4"/>
    <x v="3"/>
    <x v="1"/>
    <x v="0"/>
    <x v="10"/>
    <x v="12"/>
    <n v="4"/>
    <n v="38"/>
    <n v="0.03"/>
    <n v="147.44"/>
  </r>
  <r>
    <x v="28"/>
    <x v="25"/>
    <x v="1"/>
    <x v="3"/>
    <x v="1"/>
    <x v="0"/>
    <x v="14"/>
    <x v="1"/>
    <n v="1"/>
    <n v="55"/>
    <n v="0.05"/>
    <n v="52.25"/>
  </r>
  <r>
    <x v="29"/>
    <x v="26"/>
    <x v="2"/>
    <x v="1"/>
    <x v="1"/>
    <x v="4"/>
    <x v="19"/>
    <x v="10"/>
    <n v="4"/>
    <n v="562.6"/>
    <n v="0.08"/>
    <n v="2070.3680000000004"/>
  </r>
  <r>
    <x v="30"/>
    <x v="27"/>
    <x v="4"/>
    <x v="1"/>
    <x v="1"/>
    <x v="0"/>
    <x v="10"/>
    <x v="13"/>
    <n v="6"/>
    <n v="36.1"/>
    <n v="0.03"/>
    <n v="210.102"/>
  </r>
  <r>
    <x v="31"/>
    <x v="28"/>
    <x v="3"/>
    <x v="3"/>
    <x v="1"/>
    <x v="1"/>
    <x v="5"/>
    <x v="6"/>
    <n v="5"/>
    <n v="320"/>
    <n v="0.2"/>
    <n v="1280"/>
  </r>
  <r>
    <x v="32"/>
    <x v="29"/>
    <x v="2"/>
    <x v="3"/>
    <x v="1"/>
    <x v="3"/>
    <x v="20"/>
    <x v="3"/>
    <n v="1"/>
    <n v="2500"/>
    <n v="0.1"/>
    <n v="2250"/>
  </r>
  <r>
    <x v="33"/>
    <x v="30"/>
    <x v="1"/>
    <x v="0"/>
    <x v="1"/>
    <x v="3"/>
    <x v="20"/>
    <x v="9"/>
    <n v="1"/>
    <n v="2500"/>
    <n v="0.05"/>
    <n v="2375"/>
  </r>
  <r>
    <x v="34"/>
    <x v="31"/>
    <x v="3"/>
    <x v="0"/>
    <x v="1"/>
    <x v="3"/>
    <x v="21"/>
    <x v="11"/>
    <n v="3"/>
    <n v="3060"/>
    <n v="0"/>
    <n v="9180"/>
  </r>
  <r>
    <x v="35"/>
    <x v="32"/>
    <x v="3"/>
    <x v="0"/>
    <x v="1"/>
    <x v="3"/>
    <x v="9"/>
    <x v="11"/>
    <n v="1"/>
    <n v="1872"/>
    <n v="0.05"/>
    <n v="1778.3999999999999"/>
  </r>
  <r>
    <x v="36"/>
    <x v="33"/>
    <x v="4"/>
    <x v="2"/>
    <x v="0"/>
    <x v="2"/>
    <x v="4"/>
    <x v="14"/>
    <n v="6"/>
    <n v="765"/>
    <n v="0.2"/>
    <n v="3672"/>
  </r>
  <r>
    <x v="37"/>
    <x v="34"/>
    <x v="3"/>
    <x v="2"/>
    <x v="0"/>
    <x v="3"/>
    <x v="7"/>
    <x v="6"/>
    <n v="1"/>
    <n v="4284"/>
    <n v="0.05"/>
    <n v="4069.7999999999997"/>
  </r>
  <r>
    <x v="38"/>
    <x v="35"/>
    <x v="3"/>
    <x v="2"/>
    <x v="1"/>
    <x v="4"/>
    <x v="13"/>
    <x v="11"/>
    <n v="2"/>
    <n v="1560"/>
    <n v="0"/>
    <n v="3120"/>
  </r>
  <r>
    <x v="39"/>
    <x v="36"/>
    <x v="1"/>
    <x v="2"/>
    <x v="1"/>
    <x v="4"/>
    <x v="11"/>
    <x v="8"/>
    <n v="3"/>
    <n v="901"/>
    <n v="0.2"/>
    <n v="2162.4"/>
  </r>
  <r>
    <x v="40"/>
    <x v="37"/>
    <x v="4"/>
    <x v="2"/>
    <x v="1"/>
    <x v="3"/>
    <x v="20"/>
    <x v="13"/>
    <n v="1"/>
    <n v="2500"/>
    <n v="0.03"/>
    <n v="2425"/>
  </r>
  <r>
    <x v="41"/>
    <x v="38"/>
    <x v="1"/>
    <x v="2"/>
    <x v="1"/>
    <x v="2"/>
    <x v="4"/>
    <x v="8"/>
    <n v="7"/>
    <n v="780"/>
    <n v="0.05"/>
    <n v="5187"/>
  </r>
  <r>
    <x v="42"/>
    <x v="39"/>
    <x v="0"/>
    <x v="2"/>
    <x v="0"/>
    <x v="4"/>
    <x v="11"/>
    <x v="0"/>
    <n v="1"/>
    <n v="901"/>
    <n v="0.05"/>
    <n v="855.94999999999993"/>
  </r>
  <r>
    <x v="43"/>
    <x v="40"/>
    <x v="1"/>
    <x v="1"/>
    <x v="1"/>
    <x v="3"/>
    <x v="7"/>
    <x v="1"/>
    <n v="2"/>
    <n v="4368"/>
    <n v="0.08"/>
    <n v="8037.1200000000008"/>
  </r>
  <r>
    <x v="44"/>
    <x v="41"/>
    <x v="1"/>
    <x v="2"/>
    <x v="1"/>
    <x v="3"/>
    <x v="21"/>
    <x v="1"/>
    <n v="1"/>
    <n v="3180"/>
    <n v="0.05"/>
    <n v="3021"/>
  </r>
  <r>
    <x v="45"/>
    <x v="6"/>
    <x v="4"/>
    <x v="0"/>
    <x v="1"/>
    <x v="0"/>
    <x v="22"/>
    <x v="13"/>
    <n v="4"/>
    <n v="67.599999999999994"/>
    <n v="0.08"/>
    <n v="248.768"/>
  </r>
  <r>
    <x v="46"/>
    <x v="42"/>
    <x v="1"/>
    <x v="1"/>
    <x v="0"/>
    <x v="4"/>
    <x v="19"/>
    <x v="9"/>
    <n v="1"/>
    <n v="603.20000000000005"/>
    <n v="0.2"/>
    <n v="482.56000000000006"/>
  </r>
  <r>
    <x v="47"/>
    <x v="43"/>
    <x v="3"/>
    <x v="3"/>
    <x v="1"/>
    <x v="1"/>
    <x v="5"/>
    <x v="6"/>
    <n v="1"/>
    <n v="339.2"/>
    <n v="0.05"/>
    <n v="322.23999999999995"/>
  </r>
  <r>
    <x v="48"/>
    <x v="44"/>
    <x v="0"/>
    <x v="1"/>
    <x v="0"/>
    <x v="4"/>
    <x v="11"/>
    <x v="5"/>
    <n v="4"/>
    <n v="807.5"/>
    <n v="0.1"/>
    <n v="2907"/>
  </r>
  <r>
    <x v="49"/>
    <x v="17"/>
    <x v="1"/>
    <x v="3"/>
    <x v="0"/>
    <x v="0"/>
    <x v="10"/>
    <x v="9"/>
    <n v="2"/>
    <n v="38"/>
    <n v="0.05"/>
    <n v="72.2"/>
  </r>
  <r>
    <x v="50"/>
    <x v="45"/>
    <x v="1"/>
    <x v="3"/>
    <x v="1"/>
    <x v="1"/>
    <x v="8"/>
    <x v="8"/>
    <n v="1"/>
    <n v="459"/>
    <n v="0"/>
    <n v="459"/>
  </r>
  <r>
    <x v="51"/>
    <x v="46"/>
    <x v="3"/>
    <x v="0"/>
    <x v="0"/>
    <x v="0"/>
    <x v="22"/>
    <x v="6"/>
    <n v="3"/>
    <n v="68.900000000000006"/>
    <n v="0.05"/>
    <n v="196.36500000000001"/>
  </r>
  <r>
    <x v="52"/>
    <x v="18"/>
    <x v="0"/>
    <x v="0"/>
    <x v="1"/>
    <x v="1"/>
    <x v="8"/>
    <x v="0"/>
    <n v="7"/>
    <n v="450"/>
    <n v="0.03"/>
    <n v="3055.5"/>
  </r>
  <r>
    <x v="53"/>
    <x v="47"/>
    <x v="0"/>
    <x v="3"/>
    <x v="1"/>
    <x v="1"/>
    <x v="8"/>
    <x v="5"/>
    <n v="1"/>
    <n v="450"/>
    <n v="0.15"/>
    <n v="382.5"/>
  </r>
  <r>
    <x v="54"/>
    <x v="48"/>
    <x v="3"/>
    <x v="1"/>
    <x v="0"/>
    <x v="4"/>
    <x v="13"/>
    <x v="11"/>
    <n v="2"/>
    <n v="1455"/>
    <n v="0.03"/>
    <n v="2822.7"/>
  </r>
  <r>
    <x v="55"/>
    <x v="49"/>
    <x v="1"/>
    <x v="0"/>
    <x v="1"/>
    <x v="4"/>
    <x v="11"/>
    <x v="8"/>
    <n v="1"/>
    <n v="884"/>
    <n v="0.08"/>
    <n v="813.28000000000009"/>
  </r>
  <r>
    <x v="56"/>
    <x v="19"/>
    <x v="3"/>
    <x v="2"/>
    <x v="1"/>
    <x v="5"/>
    <x v="16"/>
    <x v="6"/>
    <n v="5"/>
    <n v="8"/>
    <n v="0.05"/>
    <n v="38"/>
  </r>
  <r>
    <x v="57"/>
    <x v="50"/>
    <x v="4"/>
    <x v="1"/>
    <x v="1"/>
    <x v="3"/>
    <x v="15"/>
    <x v="13"/>
    <n v="2"/>
    <n v="3392"/>
    <n v="0.03"/>
    <n v="6580.48"/>
  </r>
  <r>
    <x v="58"/>
    <x v="51"/>
    <x v="4"/>
    <x v="3"/>
    <x v="1"/>
    <x v="0"/>
    <x v="6"/>
    <x v="14"/>
    <n v="1"/>
    <n v="45"/>
    <n v="0.1"/>
    <n v="40.5"/>
  </r>
  <r>
    <x v="59"/>
    <x v="52"/>
    <x v="0"/>
    <x v="2"/>
    <x v="1"/>
    <x v="5"/>
    <x v="23"/>
    <x v="2"/>
    <n v="4"/>
    <n v="25"/>
    <n v="0.1"/>
    <n v="90"/>
  </r>
  <r>
    <x v="60"/>
    <x v="28"/>
    <x v="1"/>
    <x v="1"/>
    <x v="1"/>
    <x v="5"/>
    <x v="24"/>
    <x v="9"/>
    <n v="4"/>
    <n v="35.700000000000003"/>
    <n v="0.03"/>
    <n v="138.51600000000002"/>
  </r>
  <r>
    <x v="61"/>
    <x v="53"/>
    <x v="2"/>
    <x v="0"/>
    <x v="1"/>
    <x v="1"/>
    <x v="5"/>
    <x v="4"/>
    <n v="1"/>
    <n v="320"/>
    <n v="0.05"/>
    <n v="304"/>
  </r>
  <r>
    <x v="62"/>
    <x v="54"/>
    <x v="1"/>
    <x v="0"/>
    <x v="0"/>
    <x v="0"/>
    <x v="22"/>
    <x v="8"/>
    <n v="1"/>
    <n v="66.3"/>
    <n v="0"/>
    <n v="66.3"/>
  </r>
  <r>
    <x v="63"/>
    <x v="55"/>
    <x v="3"/>
    <x v="1"/>
    <x v="1"/>
    <x v="0"/>
    <x v="14"/>
    <x v="11"/>
    <n v="5"/>
    <n v="53.35"/>
    <n v="0.08"/>
    <n v="245.41"/>
  </r>
  <r>
    <x v="64"/>
    <x v="42"/>
    <x v="2"/>
    <x v="0"/>
    <x v="1"/>
    <x v="4"/>
    <x v="19"/>
    <x v="4"/>
    <n v="1"/>
    <n v="603.20000000000005"/>
    <n v="0.1"/>
    <n v="542.88000000000011"/>
  </r>
  <r>
    <x v="65"/>
    <x v="56"/>
    <x v="3"/>
    <x v="3"/>
    <x v="0"/>
    <x v="0"/>
    <x v="12"/>
    <x v="6"/>
    <n v="3"/>
    <n v="83.2"/>
    <n v="0.1"/>
    <n v="224.64000000000001"/>
  </r>
  <r>
    <x v="66"/>
    <x v="57"/>
    <x v="1"/>
    <x v="1"/>
    <x v="1"/>
    <x v="2"/>
    <x v="2"/>
    <x v="1"/>
    <n v="3"/>
    <n v="19"/>
    <n v="0.1"/>
    <n v="51.300000000000004"/>
  </r>
  <r>
    <x v="67"/>
    <x v="58"/>
    <x v="0"/>
    <x v="0"/>
    <x v="0"/>
    <x v="0"/>
    <x v="6"/>
    <x v="2"/>
    <n v="2"/>
    <n v="46.8"/>
    <n v="0.05"/>
    <n v="88.919999999999987"/>
  </r>
  <r>
    <x v="68"/>
    <x v="59"/>
    <x v="0"/>
    <x v="2"/>
    <x v="1"/>
    <x v="1"/>
    <x v="25"/>
    <x v="5"/>
    <n v="6"/>
    <n v="60"/>
    <n v="0.08"/>
    <n v="331.2"/>
  </r>
  <r>
    <x v="69"/>
    <x v="60"/>
    <x v="3"/>
    <x v="0"/>
    <x v="0"/>
    <x v="3"/>
    <x v="21"/>
    <x v="11"/>
    <n v="1"/>
    <n v="3000"/>
    <n v="0.05"/>
    <n v="2850"/>
  </r>
  <r>
    <x v="70"/>
    <x v="26"/>
    <x v="1"/>
    <x v="1"/>
    <x v="0"/>
    <x v="0"/>
    <x v="14"/>
    <x v="1"/>
    <n v="3"/>
    <n v="56.1"/>
    <n v="0"/>
    <n v="168.3"/>
  </r>
  <r>
    <x v="71"/>
    <x v="61"/>
    <x v="3"/>
    <x v="1"/>
    <x v="0"/>
    <x v="5"/>
    <x v="24"/>
    <x v="7"/>
    <n v="4"/>
    <n v="33.25"/>
    <n v="0.03"/>
    <n v="129.01"/>
  </r>
  <r>
    <x v="72"/>
    <x v="62"/>
    <x v="4"/>
    <x v="3"/>
    <x v="1"/>
    <x v="5"/>
    <x v="23"/>
    <x v="12"/>
    <n v="2"/>
    <n v="26.5"/>
    <n v="0.05"/>
    <n v="50.349999999999994"/>
  </r>
  <r>
    <x v="73"/>
    <x v="63"/>
    <x v="4"/>
    <x v="2"/>
    <x v="0"/>
    <x v="2"/>
    <x v="3"/>
    <x v="13"/>
    <n v="3"/>
    <n v="296.8"/>
    <n v="0.05"/>
    <n v="845.88"/>
  </r>
  <r>
    <x v="74"/>
    <x v="64"/>
    <x v="3"/>
    <x v="3"/>
    <x v="0"/>
    <x v="5"/>
    <x v="26"/>
    <x v="7"/>
    <n v="1"/>
    <n v="18.72"/>
    <n v="0.08"/>
    <n v="17.2224"/>
  </r>
  <r>
    <x v="75"/>
    <x v="65"/>
    <x v="1"/>
    <x v="0"/>
    <x v="0"/>
    <x v="0"/>
    <x v="10"/>
    <x v="1"/>
    <n v="6"/>
    <n v="40.28"/>
    <n v="0.05"/>
    <n v="229.596"/>
  </r>
  <r>
    <x v="76"/>
    <x v="66"/>
    <x v="3"/>
    <x v="2"/>
    <x v="0"/>
    <x v="0"/>
    <x v="14"/>
    <x v="6"/>
    <n v="4"/>
    <n v="53.35"/>
    <n v="0.15"/>
    <n v="181.39"/>
  </r>
  <r>
    <x v="77"/>
    <x v="67"/>
    <x v="0"/>
    <x v="0"/>
    <x v="1"/>
    <x v="0"/>
    <x v="0"/>
    <x v="2"/>
    <n v="2"/>
    <n v="15"/>
    <n v="0.08"/>
    <n v="27.6"/>
  </r>
  <r>
    <x v="78"/>
    <x v="68"/>
    <x v="2"/>
    <x v="0"/>
    <x v="1"/>
    <x v="1"/>
    <x v="5"/>
    <x v="3"/>
    <n v="2"/>
    <n v="310.39999999999998"/>
    <n v="0.1"/>
    <n v="558.72"/>
  </r>
  <r>
    <x v="79"/>
    <x v="69"/>
    <x v="1"/>
    <x v="3"/>
    <x v="0"/>
    <x v="0"/>
    <x v="12"/>
    <x v="9"/>
    <n v="5"/>
    <n v="84.8"/>
    <n v="0.05"/>
    <n v="402.79999999999995"/>
  </r>
  <r>
    <x v="80"/>
    <x v="70"/>
    <x v="0"/>
    <x v="0"/>
    <x v="1"/>
    <x v="5"/>
    <x v="18"/>
    <x v="0"/>
    <n v="1"/>
    <n v="12.48"/>
    <n v="0.1"/>
    <n v="11.232000000000001"/>
  </r>
  <r>
    <x v="81"/>
    <x v="71"/>
    <x v="0"/>
    <x v="3"/>
    <x v="1"/>
    <x v="1"/>
    <x v="5"/>
    <x v="5"/>
    <n v="7"/>
    <n v="339.2"/>
    <n v="0.03"/>
    <n v="2303.1680000000001"/>
  </r>
  <r>
    <x v="82"/>
    <x v="72"/>
    <x v="3"/>
    <x v="1"/>
    <x v="1"/>
    <x v="4"/>
    <x v="11"/>
    <x v="6"/>
    <n v="3"/>
    <n v="884"/>
    <n v="0.2"/>
    <n v="2121.6"/>
  </r>
  <r>
    <x v="83"/>
    <x v="18"/>
    <x v="4"/>
    <x v="2"/>
    <x v="1"/>
    <x v="2"/>
    <x v="27"/>
    <x v="14"/>
    <n v="8"/>
    <n v="183.6"/>
    <n v="0.15"/>
    <n v="1248.48"/>
  </r>
  <r>
    <x v="84"/>
    <x v="73"/>
    <x v="1"/>
    <x v="0"/>
    <x v="1"/>
    <x v="0"/>
    <x v="22"/>
    <x v="8"/>
    <n v="2"/>
    <n v="63.05"/>
    <n v="0.03"/>
    <n v="122.31699999999999"/>
  </r>
  <r>
    <x v="85"/>
    <x v="10"/>
    <x v="1"/>
    <x v="2"/>
    <x v="1"/>
    <x v="0"/>
    <x v="6"/>
    <x v="1"/>
    <n v="5"/>
    <n v="45"/>
    <n v="0.05"/>
    <n v="213.75"/>
  </r>
  <r>
    <x v="86"/>
    <x v="74"/>
    <x v="0"/>
    <x v="0"/>
    <x v="0"/>
    <x v="1"/>
    <x v="1"/>
    <x v="0"/>
    <n v="3"/>
    <n v="90"/>
    <n v="0.05"/>
    <n v="256.5"/>
  </r>
  <r>
    <x v="87"/>
    <x v="18"/>
    <x v="1"/>
    <x v="2"/>
    <x v="1"/>
    <x v="4"/>
    <x v="13"/>
    <x v="8"/>
    <n v="1"/>
    <n v="1500"/>
    <n v="0.2"/>
    <n v="1200"/>
  </r>
  <r>
    <x v="88"/>
    <x v="75"/>
    <x v="0"/>
    <x v="1"/>
    <x v="0"/>
    <x v="2"/>
    <x v="27"/>
    <x v="5"/>
    <n v="1"/>
    <n v="174.6"/>
    <n v="0.05"/>
    <n v="165.86999999999998"/>
  </r>
  <r>
    <x v="89"/>
    <x v="76"/>
    <x v="4"/>
    <x v="3"/>
    <x v="1"/>
    <x v="0"/>
    <x v="12"/>
    <x v="14"/>
    <n v="6"/>
    <n v="76"/>
    <n v="0.1"/>
    <n v="410.40000000000003"/>
  </r>
  <r>
    <x v="90"/>
    <x v="77"/>
    <x v="1"/>
    <x v="0"/>
    <x v="1"/>
    <x v="1"/>
    <x v="5"/>
    <x v="9"/>
    <n v="6"/>
    <n v="310.39999999999998"/>
    <n v="0.08"/>
    <n v="1713.4079999999999"/>
  </r>
  <r>
    <x v="91"/>
    <x v="78"/>
    <x v="1"/>
    <x v="2"/>
    <x v="0"/>
    <x v="3"/>
    <x v="7"/>
    <x v="9"/>
    <n v="1"/>
    <n v="4200"/>
    <n v="0.1"/>
    <n v="3780"/>
  </r>
  <r>
    <x v="92"/>
    <x v="79"/>
    <x v="4"/>
    <x v="0"/>
    <x v="1"/>
    <x v="2"/>
    <x v="2"/>
    <x v="13"/>
    <n v="5"/>
    <n v="20.399999999999999"/>
    <n v="0.05"/>
    <n v="96.899999999999991"/>
  </r>
  <r>
    <x v="93"/>
    <x v="32"/>
    <x v="2"/>
    <x v="2"/>
    <x v="1"/>
    <x v="4"/>
    <x v="13"/>
    <x v="4"/>
    <n v="3"/>
    <n v="1455"/>
    <n v="0"/>
    <n v="4365"/>
  </r>
  <r>
    <x v="94"/>
    <x v="80"/>
    <x v="0"/>
    <x v="2"/>
    <x v="1"/>
    <x v="5"/>
    <x v="24"/>
    <x v="5"/>
    <n v="8"/>
    <n v="33.950000000000003"/>
    <n v="0.08"/>
    <n v="249.87200000000004"/>
  </r>
  <r>
    <x v="95"/>
    <x v="81"/>
    <x v="4"/>
    <x v="1"/>
    <x v="1"/>
    <x v="1"/>
    <x v="1"/>
    <x v="13"/>
    <n v="3"/>
    <n v="90"/>
    <n v="0.03"/>
    <n v="261.89999999999998"/>
  </r>
  <r>
    <x v="96"/>
    <x v="82"/>
    <x v="3"/>
    <x v="0"/>
    <x v="0"/>
    <x v="4"/>
    <x v="17"/>
    <x v="7"/>
    <n v="1"/>
    <n v="742"/>
    <n v="0.2"/>
    <n v="593.6"/>
  </r>
  <r>
    <x v="97"/>
    <x v="83"/>
    <x v="1"/>
    <x v="2"/>
    <x v="1"/>
    <x v="1"/>
    <x v="1"/>
    <x v="8"/>
    <n v="13"/>
    <n v="93.6"/>
    <n v="0.05"/>
    <n v="1155.9599999999998"/>
  </r>
  <r>
    <x v="98"/>
    <x v="84"/>
    <x v="1"/>
    <x v="0"/>
    <x v="1"/>
    <x v="2"/>
    <x v="2"/>
    <x v="1"/>
    <n v="1"/>
    <n v="20.399999999999999"/>
    <n v="0.03"/>
    <n v="19.787999999999997"/>
  </r>
  <r>
    <x v="99"/>
    <x v="61"/>
    <x v="1"/>
    <x v="2"/>
    <x v="1"/>
    <x v="4"/>
    <x v="19"/>
    <x v="1"/>
    <n v="3"/>
    <n v="551"/>
    <n v="0.05"/>
    <n v="1570.35"/>
  </r>
  <r>
    <x v="100"/>
    <x v="85"/>
    <x v="2"/>
    <x v="2"/>
    <x v="0"/>
    <x v="3"/>
    <x v="20"/>
    <x v="4"/>
    <n v="2"/>
    <n v="2550"/>
    <n v="0.1"/>
    <n v="4590"/>
  </r>
  <r>
    <x v="101"/>
    <x v="86"/>
    <x v="3"/>
    <x v="3"/>
    <x v="1"/>
    <x v="5"/>
    <x v="23"/>
    <x v="6"/>
    <n v="1"/>
    <n v="23.75"/>
    <n v="0.05"/>
    <n v="22.5625"/>
  </r>
  <r>
    <x v="102"/>
    <x v="87"/>
    <x v="2"/>
    <x v="0"/>
    <x v="1"/>
    <x v="4"/>
    <x v="19"/>
    <x v="4"/>
    <n v="1"/>
    <n v="614.79999999999995"/>
    <n v="0.05"/>
    <n v="584.05999999999995"/>
  </r>
  <r>
    <x v="103"/>
    <x v="88"/>
    <x v="2"/>
    <x v="1"/>
    <x v="1"/>
    <x v="5"/>
    <x v="16"/>
    <x v="10"/>
    <n v="2"/>
    <n v="8"/>
    <n v="0.2"/>
    <n v="12.8"/>
  </r>
  <r>
    <x v="104"/>
    <x v="89"/>
    <x v="4"/>
    <x v="2"/>
    <x v="1"/>
    <x v="2"/>
    <x v="3"/>
    <x v="13"/>
    <n v="5"/>
    <n v="271.60000000000002"/>
    <n v="0.03"/>
    <n v="1317.26"/>
  </r>
  <r>
    <x v="105"/>
    <x v="90"/>
    <x v="1"/>
    <x v="2"/>
    <x v="1"/>
    <x v="4"/>
    <x v="13"/>
    <x v="8"/>
    <n v="2"/>
    <n v="1590"/>
    <n v="0.05"/>
    <n v="3021"/>
  </r>
  <r>
    <x v="106"/>
    <x v="91"/>
    <x v="0"/>
    <x v="2"/>
    <x v="1"/>
    <x v="3"/>
    <x v="7"/>
    <x v="2"/>
    <n v="1"/>
    <n v="4200"/>
    <n v="0.15"/>
    <n v="3570"/>
  </r>
  <r>
    <x v="107"/>
    <x v="67"/>
    <x v="4"/>
    <x v="0"/>
    <x v="0"/>
    <x v="2"/>
    <x v="27"/>
    <x v="14"/>
    <n v="1"/>
    <n v="174.6"/>
    <n v="0.03"/>
    <n v="169.36199999999999"/>
  </r>
  <r>
    <x v="108"/>
    <x v="92"/>
    <x v="4"/>
    <x v="0"/>
    <x v="0"/>
    <x v="2"/>
    <x v="2"/>
    <x v="14"/>
    <n v="2"/>
    <n v="19.399999999999999"/>
    <n v="0.1"/>
    <n v="34.92"/>
  </r>
  <r>
    <x v="109"/>
    <x v="93"/>
    <x v="2"/>
    <x v="0"/>
    <x v="0"/>
    <x v="0"/>
    <x v="12"/>
    <x v="10"/>
    <n v="1"/>
    <n v="80"/>
    <n v="0.08"/>
    <n v="73.600000000000009"/>
  </r>
  <r>
    <x v="110"/>
    <x v="70"/>
    <x v="4"/>
    <x v="2"/>
    <x v="1"/>
    <x v="5"/>
    <x v="16"/>
    <x v="12"/>
    <n v="8"/>
    <n v="7.6"/>
    <n v="0.1"/>
    <n v="54.72"/>
  </r>
  <r>
    <x v="111"/>
    <x v="94"/>
    <x v="4"/>
    <x v="2"/>
    <x v="1"/>
    <x v="3"/>
    <x v="20"/>
    <x v="13"/>
    <n v="1"/>
    <n v="2500"/>
    <n v="0.05"/>
    <n v="2375"/>
  </r>
  <r>
    <x v="112"/>
    <x v="95"/>
    <x v="2"/>
    <x v="1"/>
    <x v="1"/>
    <x v="4"/>
    <x v="11"/>
    <x v="4"/>
    <n v="1"/>
    <n v="867"/>
    <n v="0.03"/>
    <n v="840.99"/>
  </r>
  <r>
    <x v="113"/>
    <x v="96"/>
    <x v="2"/>
    <x v="0"/>
    <x v="1"/>
    <x v="1"/>
    <x v="25"/>
    <x v="3"/>
    <n v="3"/>
    <n v="63.6"/>
    <n v="0.05"/>
    <n v="181.26"/>
  </r>
  <r>
    <x v="114"/>
    <x v="97"/>
    <x v="0"/>
    <x v="0"/>
    <x v="1"/>
    <x v="0"/>
    <x v="0"/>
    <x v="0"/>
    <n v="3"/>
    <n v="15.9"/>
    <n v="0.05"/>
    <n v="45.314999999999998"/>
  </r>
  <r>
    <x v="115"/>
    <x v="98"/>
    <x v="2"/>
    <x v="0"/>
    <x v="1"/>
    <x v="1"/>
    <x v="25"/>
    <x v="4"/>
    <n v="2"/>
    <n v="60"/>
    <n v="0"/>
    <n v="120"/>
  </r>
  <r>
    <x v="116"/>
    <x v="99"/>
    <x v="4"/>
    <x v="2"/>
    <x v="1"/>
    <x v="5"/>
    <x v="24"/>
    <x v="14"/>
    <n v="6"/>
    <n v="33.950000000000003"/>
    <n v="0.15"/>
    <n v="173.14500000000001"/>
  </r>
  <r>
    <x v="117"/>
    <x v="100"/>
    <x v="2"/>
    <x v="0"/>
    <x v="1"/>
    <x v="3"/>
    <x v="7"/>
    <x v="3"/>
    <n v="1"/>
    <n v="4200"/>
    <n v="0"/>
    <n v="4200"/>
  </r>
  <r>
    <x v="118"/>
    <x v="32"/>
    <x v="1"/>
    <x v="3"/>
    <x v="1"/>
    <x v="0"/>
    <x v="6"/>
    <x v="1"/>
    <n v="2"/>
    <n v="45"/>
    <n v="0.05"/>
    <n v="85.5"/>
  </r>
  <r>
    <x v="119"/>
    <x v="101"/>
    <x v="0"/>
    <x v="0"/>
    <x v="1"/>
    <x v="0"/>
    <x v="0"/>
    <x v="2"/>
    <n v="3"/>
    <n v="14.55"/>
    <n v="0.05"/>
    <n v="41.467500000000001"/>
  </r>
  <r>
    <x v="120"/>
    <x v="102"/>
    <x v="3"/>
    <x v="3"/>
    <x v="0"/>
    <x v="0"/>
    <x v="22"/>
    <x v="7"/>
    <n v="3"/>
    <n v="65"/>
    <n v="0.1"/>
    <n v="175.5"/>
  </r>
  <r>
    <x v="121"/>
    <x v="103"/>
    <x v="0"/>
    <x v="1"/>
    <x v="1"/>
    <x v="4"/>
    <x v="13"/>
    <x v="2"/>
    <n v="1"/>
    <n v="1530"/>
    <n v="0"/>
    <n v="1530"/>
  </r>
  <r>
    <x v="122"/>
    <x v="104"/>
    <x v="4"/>
    <x v="0"/>
    <x v="1"/>
    <x v="3"/>
    <x v="7"/>
    <x v="13"/>
    <n v="1"/>
    <n v="3990"/>
    <n v="0.1"/>
    <n v="3591"/>
  </r>
  <r>
    <x v="123"/>
    <x v="105"/>
    <x v="2"/>
    <x v="1"/>
    <x v="1"/>
    <x v="4"/>
    <x v="19"/>
    <x v="10"/>
    <n v="4"/>
    <n v="614.79999999999995"/>
    <n v="0.08"/>
    <n v="2262.4639999999999"/>
  </r>
  <r>
    <x v="124"/>
    <x v="71"/>
    <x v="1"/>
    <x v="3"/>
    <x v="1"/>
    <x v="5"/>
    <x v="24"/>
    <x v="1"/>
    <n v="3"/>
    <n v="33.950000000000003"/>
    <n v="0.03"/>
    <n v="98.794499999999999"/>
  </r>
  <r>
    <x v="125"/>
    <x v="106"/>
    <x v="1"/>
    <x v="1"/>
    <x v="1"/>
    <x v="5"/>
    <x v="26"/>
    <x v="1"/>
    <n v="4"/>
    <n v="18.72"/>
    <n v="0.08"/>
    <n v="68.889600000000002"/>
  </r>
  <r>
    <x v="126"/>
    <x v="65"/>
    <x v="4"/>
    <x v="0"/>
    <x v="1"/>
    <x v="3"/>
    <x v="9"/>
    <x v="13"/>
    <n v="1"/>
    <n v="1800"/>
    <n v="0.08"/>
    <n v="1656"/>
  </r>
  <r>
    <x v="127"/>
    <x v="82"/>
    <x v="3"/>
    <x v="2"/>
    <x v="1"/>
    <x v="4"/>
    <x v="19"/>
    <x v="11"/>
    <n v="2"/>
    <n v="580"/>
    <n v="0.1"/>
    <n v="1044"/>
  </r>
  <r>
    <x v="128"/>
    <x v="107"/>
    <x v="0"/>
    <x v="3"/>
    <x v="1"/>
    <x v="5"/>
    <x v="23"/>
    <x v="2"/>
    <n v="3"/>
    <n v="26"/>
    <n v="0"/>
    <n v="78"/>
  </r>
  <r>
    <x v="129"/>
    <x v="108"/>
    <x v="4"/>
    <x v="2"/>
    <x v="0"/>
    <x v="2"/>
    <x v="4"/>
    <x v="12"/>
    <n v="5"/>
    <n v="727.5"/>
    <n v="0.1"/>
    <n v="3273.75"/>
  </r>
  <r>
    <x v="130"/>
    <x v="109"/>
    <x v="0"/>
    <x v="1"/>
    <x v="1"/>
    <x v="5"/>
    <x v="16"/>
    <x v="0"/>
    <n v="3"/>
    <n v="8"/>
    <n v="0"/>
    <n v="24"/>
  </r>
  <r>
    <x v="131"/>
    <x v="110"/>
    <x v="0"/>
    <x v="3"/>
    <x v="1"/>
    <x v="0"/>
    <x v="10"/>
    <x v="5"/>
    <n v="7"/>
    <n v="38"/>
    <n v="0.1"/>
    <n v="239.4"/>
  </r>
  <r>
    <x v="132"/>
    <x v="77"/>
    <x v="1"/>
    <x v="0"/>
    <x v="1"/>
    <x v="4"/>
    <x v="11"/>
    <x v="9"/>
    <n v="2"/>
    <n v="867"/>
    <n v="0.08"/>
    <n v="1595.28"/>
  </r>
  <r>
    <x v="133"/>
    <x v="101"/>
    <x v="0"/>
    <x v="1"/>
    <x v="1"/>
    <x v="0"/>
    <x v="22"/>
    <x v="2"/>
    <n v="5"/>
    <n v="65"/>
    <n v="0"/>
    <n v="325"/>
  </r>
  <r>
    <x v="134"/>
    <x v="81"/>
    <x v="3"/>
    <x v="2"/>
    <x v="1"/>
    <x v="3"/>
    <x v="15"/>
    <x v="6"/>
    <n v="1"/>
    <n v="3200"/>
    <n v="0.2"/>
    <n v="2560"/>
  </r>
  <r>
    <x v="135"/>
    <x v="111"/>
    <x v="3"/>
    <x v="0"/>
    <x v="1"/>
    <x v="3"/>
    <x v="15"/>
    <x v="6"/>
    <n v="1"/>
    <n v="3328"/>
    <n v="0.08"/>
    <n v="3061.76"/>
  </r>
  <r>
    <x v="136"/>
    <x v="112"/>
    <x v="4"/>
    <x v="0"/>
    <x v="1"/>
    <x v="5"/>
    <x v="24"/>
    <x v="14"/>
    <n v="1"/>
    <n v="35"/>
    <n v="0.05"/>
    <n v="33.25"/>
  </r>
  <r>
    <x v="137"/>
    <x v="113"/>
    <x v="0"/>
    <x v="1"/>
    <x v="1"/>
    <x v="5"/>
    <x v="23"/>
    <x v="5"/>
    <n v="1"/>
    <n v="25"/>
    <n v="0"/>
    <n v="25"/>
  </r>
  <r>
    <x v="138"/>
    <x v="114"/>
    <x v="2"/>
    <x v="0"/>
    <x v="0"/>
    <x v="0"/>
    <x v="14"/>
    <x v="3"/>
    <n v="1"/>
    <n v="58.3"/>
    <n v="0.1"/>
    <n v="52.47"/>
  </r>
  <r>
    <x v="139"/>
    <x v="87"/>
    <x v="0"/>
    <x v="1"/>
    <x v="1"/>
    <x v="3"/>
    <x v="15"/>
    <x v="5"/>
    <n v="1"/>
    <n v="3264"/>
    <n v="0.05"/>
    <n v="3100.7999999999997"/>
  </r>
  <r>
    <x v="140"/>
    <x v="115"/>
    <x v="3"/>
    <x v="0"/>
    <x v="1"/>
    <x v="4"/>
    <x v="19"/>
    <x v="11"/>
    <n v="3"/>
    <n v="603.20000000000005"/>
    <n v="0"/>
    <n v="1809.6000000000001"/>
  </r>
  <r>
    <x v="141"/>
    <x v="116"/>
    <x v="0"/>
    <x v="0"/>
    <x v="0"/>
    <x v="0"/>
    <x v="0"/>
    <x v="2"/>
    <n v="4"/>
    <n v="14.55"/>
    <n v="0.1"/>
    <n v="52.38"/>
  </r>
  <r>
    <x v="142"/>
    <x v="80"/>
    <x v="1"/>
    <x v="3"/>
    <x v="0"/>
    <x v="5"/>
    <x v="26"/>
    <x v="1"/>
    <n v="3"/>
    <n v="19.079999999999998"/>
    <n v="0.15"/>
    <n v="48.653999999999996"/>
  </r>
  <r>
    <x v="143"/>
    <x v="106"/>
    <x v="2"/>
    <x v="0"/>
    <x v="1"/>
    <x v="5"/>
    <x v="24"/>
    <x v="4"/>
    <n v="3"/>
    <n v="35"/>
    <n v="0.2"/>
    <n v="84"/>
  </r>
  <r>
    <x v="144"/>
    <x v="117"/>
    <x v="0"/>
    <x v="0"/>
    <x v="0"/>
    <x v="1"/>
    <x v="25"/>
    <x v="2"/>
    <n v="1"/>
    <n v="60"/>
    <n v="0.08"/>
    <n v="55.2"/>
  </r>
  <r>
    <x v="145"/>
    <x v="118"/>
    <x v="3"/>
    <x v="0"/>
    <x v="0"/>
    <x v="1"/>
    <x v="25"/>
    <x v="6"/>
    <n v="5"/>
    <n v="60"/>
    <n v="0.08"/>
    <n v="276"/>
  </r>
  <r>
    <x v="146"/>
    <x v="119"/>
    <x v="2"/>
    <x v="0"/>
    <x v="0"/>
    <x v="3"/>
    <x v="9"/>
    <x v="10"/>
    <n v="1"/>
    <n v="1800"/>
    <n v="0.1"/>
    <n v="1620"/>
  </r>
  <r>
    <x v="147"/>
    <x v="28"/>
    <x v="1"/>
    <x v="2"/>
    <x v="1"/>
    <x v="4"/>
    <x v="17"/>
    <x v="1"/>
    <n v="2"/>
    <n v="700"/>
    <n v="0.1"/>
    <n v="1260"/>
  </r>
  <r>
    <x v="148"/>
    <x v="91"/>
    <x v="4"/>
    <x v="1"/>
    <x v="1"/>
    <x v="0"/>
    <x v="6"/>
    <x v="14"/>
    <n v="5"/>
    <n v="45"/>
    <n v="0.08"/>
    <n v="207"/>
  </r>
  <r>
    <x v="149"/>
    <x v="21"/>
    <x v="2"/>
    <x v="2"/>
    <x v="1"/>
    <x v="2"/>
    <x v="3"/>
    <x v="3"/>
    <n v="8"/>
    <n v="280"/>
    <n v="0.2"/>
    <n v="1792"/>
  </r>
  <r>
    <x v="150"/>
    <x v="112"/>
    <x v="1"/>
    <x v="1"/>
    <x v="1"/>
    <x v="1"/>
    <x v="5"/>
    <x v="8"/>
    <n v="1"/>
    <n v="310.39999999999998"/>
    <n v="0.05"/>
    <n v="294.87999999999994"/>
  </r>
  <r>
    <x v="151"/>
    <x v="120"/>
    <x v="2"/>
    <x v="2"/>
    <x v="1"/>
    <x v="3"/>
    <x v="21"/>
    <x v="10"/>
    <n v="1"/>
    <n v="3000"/>
    <n v="0.2"/>
    <n v="2400"/>
  </r>
  <r>
    <x v="152"/>
    <x v="121"/>
    <x v="2"/>
    <x v="0"/>
    <x v="1"/>
    <x v="2"/>
    <x v="2"/>
    <x v="3"/>
    <n v="4"/>
    <n v="20.399999999999999"/>
    <n v="0.05"/>
    <n v="77.52"/>
  </r>
  <r>
    <x v="153"/>
    <x v="30"/>
    <x v="2"/>
    <x v="2"/>
    <x v="1"/>
    <x v="3"/>
    <x v="9"/>
    <x v="10"/>
    <n v="1"/>
    <n v="1800"/>
    <n v="0.05"/>
    <n v="1710"/>
  </r>
  <r>
    <x v="154"/>
    <x v="122"/>
    <x v="2"/>
    <x v="1"/>
    <x v="1"/>
    <x v="5"/>
    <x v="16"/>
    <x v="3"/>
    <n v="3"/>
    <n v="8"/>
    <n v="0"/>
    <n v="24"/>
  </r>
  <r>
    <x v="155"/>
    <x v="123"/>
    <x v="0"/>
    <x v="1"/>
    <x v="1"/>
    <x v="5"/>
    <x v="23"/>
    <x v="2"/>
    <n v="7"/>
    <n v="25"/>
    <n v="0.1"/>
    <n v="157.5"/>
  </r>
  <r>
    <x v="156"/>
    <x v="15"/>
    <x v="4"/>
    <x v="3"/>
    <x v="1"/>
    <x v="1"/>
    <x v="5"/>
    <x v="13"/>
    <n v="2"/>
    <n v="320"/>
    <n v="0.2"/>
    <n v="512"/>
  </r>
  <r>
    <x v="157"/>
    <x v="25"/>
    <x v="2"/>
    <x v="0"/>
    <x v="0"/>
    <x v="1"/>
    <x v="25"/>
    <x v="4"/>
    <n v="5"/>
    <n v="60"/>
    <n v="0.05"/>
    <n v="285"/>
  </r>
  <r>
    <x v="158"/>
    <x v="116"/>
    <x v="2"/>
    <x v="0"/>
    <x v="1"/>
    <x v="4"/>
    <x v="11"/>
    <x v="4"/>
    <n v="1"/>
    <n v="850"/>
    <n v="0.1"/>
    <n v="765"/>
  </r>
  <r>
    <x v="159"/>
    <x v="124"/>
    <x v="1"/>
    <x v="3"/>
    <x v="0"/>
    <x v="0"/>
    <x v="0"/>
    <x v="9"/>
    <n v="3"/>
    <n v="15"/>
    <n v="0.1"/>
    <n v="40.5"/>
  </r>
  <r>
    <x v="160"/>
    <x v="87"/>
    <x v="1"/>
    <x v="1"/>
    <x v="0"/>
    <x v="2"/>
    <x v="27"/>
    <x v="9"/>
    <n v="5"/>
    <n v="180"/>
    <n v="0.08"/>
    <n v="828"/>
  </r>
  <r>
    <x v="161"/>
    <x v="123"/>
    <x v="2"/>
    <x v="1"/>
    <x v="1"/>
    <x v="0"/>
    <x v="12"/>
    <x v="4"/>
    <n v="2"/>
    <n v="80"/>
    <n v="0.1"/>
    <n v="144"/>
  </r>
  <r>
    <x v="162"/>
    <x v="125"/>
    <x v="3"/>
    <x v="0"/>
    <x v="1"/>
    <x v="4"/>
    <x v="13"/>
    <x v="6"/>
    <n v="1"/>
    <n v="1500"/>
    <n v="0.05"/>
    <n v="1425"/>
  </r>
  <r>
    <x v="163"/>
    <x v="126"/>
    <x v="4"/>
    <x v="1"/>
    <x v="1"/>
    <x v="3"/>
    <x v="20"/>
    <x v="13"/>
    <n v="3"/>
    <n v="2550"/>
    <n v="0.08"/>
    <n v="7038"/>
  </r>
  <r>
    <x v="164"/>
    <x v="41"/>
    <x v="3"/>
    <x v="1"/>
    <x v="1"/>
    <x v="4"/>
    <x v="19"/>
    <x v="6"/>
    <n v="2"/>
    <n v="603.20000000000005"/>
    <n v="0.2"/>
    <n v="965.12000000000012"/>
  </r>
  <r>
    <x v="165"/>
    <x v="127"/>
    <x v="2"/>
    <x v="1"/>
    <x v="1"/>
    <x v="1"/>
    <x v="1"/>
    <x v="3"/>
    <n v="3"/>
    <n v="90"/>
    <n v="0.1"/>
    <n v="243"/>
  </r>
  <r>
    <x v="166"/>
    <x v="128"/>
    <x v="0"/>
    <x v="2"/>
    <x v="1"/>
    <x v="4"/>
    <x v="11"/>
    <x v="5"/>
    <n v="2"/>
    <n v="867"/>
    <n v="0"/>
    <n v="1734"/>
  </r>
  <r>
    <x v="167"/>
    <x v="120"/>
    <x v="4"/>
    <x v="3"/>
    <x v="1"/>
    <x v="0"/>
    <x v="6"/>
    <x v="12"/>
    <n v="2"/>
    <n v="46.8"/>
    <n v="0.2"/>
    <n v="74.88"/>
  </r>
  <r>
    <x v="168"/>
    <x v="129"/>
    <x v="2"/>
    <x v="1"/>
    <x v="1"/>
    <x v="0"/>
    <x v="6"/>
    <x v="4"/>
    <n v="4"/>
    <n v="45"/>
    <n v="0.15"/>
    <n v="153"/>
  </r>
  <r>
    <x v="169"/>
    <x v="98"/>
    <x v="3"/>
    <x v="0"/>
    <x v="1"/>
    <x v="3"/>
    <x v="7"/>
    <x v="7"/>
    <n v="1"/>
    <n v="4200"/>
    <n v="0.08"/>
    <n v="3864"/>
  </r>
  <r>
    <x v="170"/>
    <x v="130"/>
    <x v="1"/>
    <x v="1"/>
    <x v="0"/>
    <x v="3"/>
    <x v="15"/>
    <x v="8"/>
    <n v="1"/>
    <n v="3328"/>
    <n v="0.08"/>
    <n v="3061.76"/>
  </r>
  <r>
    <x v="171"/>
    <x v="131"/>
    <x v="2"/>
    <x v="1"/>
    <x v="1"/>
    <x v="5"/>
    <x v="16"/>
    <x v="10"/>
    <n v="4"/>
    <n v="8"/>
    <n v="0.1"/>
    <n v="28.8"/>
  </r>
  <r>
    <x v="172"/>
    <x v="132"/>
    <x v="1"/>
    <x v="3"/>
    <x v="0"/>
    <x v="1"/>
    <x v="8"/>
    <x v="9"/>
    <n v="1"/>
    <n v="436.5"/>
    <n v="0.05"/>
    <n v="414.67499999999995"/>
  </r>
  <r>
    <x v="173"/>
    <x v="133"/>
    <x v="2"/>
    <x v="1"/>
    <x v="1"/>
    <x v="4"/>
    <x v="19"/>
    <x v="4"/>
    <n v="2"/>
    <n v="580"/>
    <n v="0.05"/>
    <n v="1102"/>
  </r>
  <r>
    <x v="174"/>
    <x v="134"/>
    <x v="4"/>
    <x v="0"/>
    <x v="1"/>
    <x v="3"/>
    <x v="9"/>
    <x v="13"/>
    <n v="1"/>
    <n v="1800"/>
    <n v="0.05"/>
    <n v="1710"/>
  </r>
  <r>
    <x v="175"/>
    <x v="135"/>
    <x v="2"/>
    <x v="3"/>
    <x v="0"/>
    <x v="0"/>
    <x v="22"/>
    <x v="4"/>
    <n v="2"/>
    <n v="68.900000000000006"/>
    <n v="0.05"/>
    <n v="130.91"/>
  </r>
  <r>
    <x v="176"/>
    <x v="136"/>
    <x v="1"/>
    <x v="1"/>
    <x v="1"/>
    <x v="3"/>
    <x v="9"/>
    <x v="8"/>
    <n v="1"/>
    <n v="1800"/>
    <n v="0.03"/>
    <n v="1746"/>
  </r>
  <r>
    <x v="177"/>
    <x v="137"/>
    <x v="0"/>
    <x v="2"/>
    <x v="0"/>
    <x v="5"/>
    <x v="24"/>
    <x v="5"/>
    <n v="3"/>
    <n v="35"/>
    <n v="0.08"/>
    <n v="96.600000000000009"/>
  </r>
  <r>
    <x v="178"/>
    <x v="138"/>
    <x v="0"/>
    <x v="1"/>
    <x v="1"/>
    <x v="0"/>
    <x v="14"/>
    <x v="0"/>
    <n v="4"/>
    <n v="56.1"/>
    <n v="0"/>
    <n v="224.4"/>
  </r>
  <r>
    <x v="179"/>
    <x v="139"/>
    <x v="3"/>
    <x v="0"/>
    <x v="1"/>
    <x v="5"/>
    <x v="26"/>
    <x v="11"/>
    <n v="3"/>
    <n v="19.079999999999998"/>
    <n v="0.1"/>
    <n v="51.515999999999998"/>
  </r>
  <r>
    <x v="180"/>
    <x v="140"/>
    <x v="2"/>
    <x v="2"/>
    <x v="1"/>
    <x v="3"/>
    <x v="15"/>
    <x v="10"/>
    <n v="1"/>
    <n v="3200"/>
    <n v="0.15"/>
    <n v="2720"/>
  </r>
  <r>
    <x v="181"/>
    <x v="64"/>
    <x v="3"/>
    <x v="0"/>
    <x v="1"/>
    <x v="5"/>
    <x v="24"/>
    <x v="6"/>
    <n v="1"/>
    <n v="33.25"/>
    <n v="0.1"/>
    <n v="29.925000000000001"/>
  </r>
  <r>
    <x v="182"/>
    <x v="141"/>
    <x v="4"/>
    <x v="3"/>
    <x v="1"/>
    <x v="4"/>
    <x v="11"/>
    <x v="14"/>
    <n v="1"/>
    <n v="901"/>
    <n v="0.15"/>
    <n v="765.85"/>
  </r>
  <r>
    <x v="183"/>
    <x v="142"/>
    <x v="0"/>
    <x v="2"/>
    <x v="0"/>
    <x v="3"/>
    <x v="9"/>
    <x v="2"/>
    <n v="1"/>
    <n v="1800"/>
    <n v="0.15"/>
    <n v="1530"/>
  </r>
  <r>
    <x v="184"/>
    <x v="25"/>
    <x v="4"/>
    <x v="1"/>
    <x v="0"/>
    <x v="2"/>
    <x v="27"/>
    <x v="14"/>
    <n v="6"/>
    <n v="183.6"/>
    <n v="0"/>
    <n v="1101.5999999999999"/>
  </r>
  <r>
    <x v="185"/>
    <x v="143"/>
    <x v="4"/>
    <x v="0"/>
    <x v="1"/>
    <x v="4"/>
    <x v="13"/>
    <x v="13"/>
    <n v="2"/>
    <n v="1530"/>
    <n v="0"/>
    <n v="3060"/>
  </r>
  <r>
    <x v="186"/>
    <x v="144"/>
    <x v="4"/>
    <x v="1"/>
    <x v="1"/>
    <x v="1"/>
    <x v="25"/>
    <x v="14"/>
    <n v="3"/>
    <n v="58.2"/>
    <n v="0.2"/>
    <n v="139.68000000000004"/>
  </r>
  <r>
    <x v="187"/>
    <x v="16"/>
    <x v="3"/>
    <x v="1"/>
    <x v="1"/>
    <x v="2"/>
    <x v="2"/>
    <x v="7"/>
    <n v="4"/>
    <n v="20.8"/>
    <n v="0.15"/>
    <n v="70.72"/>
  </r>
  <r>
    <x v="188"/>
    <x v="145"/>
    <x v="2"/>
    <x v="0"/>
    <x v="1"/>
    <x v="5"/>
    <x v="23"/>
    <x v="4"/>
    <n v="3"/>
    <n v="26.5"/>
    <n v="0.08"/>
    <n v="73.14"/>
  </r>
  <r>
    <x v="189"/>
    <x v="146"/>
    <x v="1"/>
    <x v="1"/>
    <x v="1"/>
    <x v="0"/>
    <x v="10"/>
    <x v="8"/>
    <n v="1"/>
    <n v="40.28"/>
    <n v="0.03"/>
    <n v="39.071599999999997"/>
  </r>
  <r>
    <x v="190"/>
    <x v="147"/>
    <x v="1"/>
    <x v="3"/>
    <x v="1"/>
    <x v="4"/>
    <x v="17"/>
    <x v="9"/>
    <n v="2"/>
    <n v="665"/>
    <n v="0.1"/>
    <n v="1197"/>
  </r>
  <r>
    <x v="191"/>
    <x v="57"/>
    <x v="4"/>
    <x v="0"/>
    <x v="0"/>
    <x v="0"/>
    <x v="14"/>
    <x v="13"/>
    <n v="4"/>
    <n v="56.1"/>
    <n v="0.05"/>
    <n v="213.18"/>
  </r>
  <r>
    <x v="192"/>
    <x v="13"/>
    <x v="3"/>
    <x v="1"/>
    <x v="0"/>
    <x v="0"/>
    <x v="22"/>
    <x v="11"/>
    <n v="2"/>
    <n v="67.599999999999994"/>
    <n v="0.15"/>
    <n v="114.91999999999999"/>
  </r>
  <r>
    <x v="193"/>
    <x v="148"/>
    <x v="4"/>
    <x v="0"/>
    <x v="1"/>
    <x v="5"/>
    <x v="18"/>
    <x v="14"/>
    <n v="1"/>
    <n v="12.24"/>
    <n v="0.2"/>
    <n v="9.7920000000000016"/>
  </r>
  <r>
    <x v="194"/>
    <x v="132"/>
    <x v="3"/>
    <x v="3"/>
    <x v="1"/>
    <x v="2"/>
    <x v="27"/>
    <x v="6"/>
    <n v="3"/>
    <n v="187.2"/>
    <n v="0.15"/>
    <n v="477.3599999999999"/>
  </r>
  <r>
    <x v="195"/>
    <x v="99"/>
    <x v="4"/>
    <x v="3"/>
    <x v="1"/>
    <x v="0"/>
    <x v="0"/>
    <x v="13"/>
    <n v="3"/>
    <n v="15.6"/>
    <n v="0.2"/>
    <n v="37.44"/>
  </r>
  <r>
    <x v="196"/>
    <x v="31"/>
    <x v="2"/>
    <x v="0"/>
    <x v="1"/>
    <x v="1"/>
    <x v="8"/>
    <x v="10"/>
    <n v="4"/>
    <n v="450"/>
    <n v="0.05"/>
    <n v="1710"/>
  </r>
  <r>
    <x v="197"/>
    <x v="149"/>
    <x v="3"/>
    <x v="0"/>
    <x v="1"/>
    <x v="0"/>
    <x v="0"/>
    <x v="11"/>
    <n v="3"/>
    <n v="15.3"/>
    <n v="0.1"/>
    <n v="41.310000000000009"/>
  </r>
  <r>
    <x v="198"/>
    <x v="150"/>
    <x v="2"/>
    <x v="2"/>
    <x v="0"/>
    <x v="3"/>
    <x v="15"/>
    <x v="3"/>
    <n v="1"/>
    <n v="3200"/>
    <n v="0.05"/>
    <n v="3040"/>
  </r>
  <r>
    <x v="199"/>
    <x v="151"/>
    <x v="3"/>
    <x v="2"/>
    <x v="1"/>
    <x v="3"/>
    <x v="7"/>
    <x v="7"/>
    <n v="1"/>
    <n v="4368"/>
    <n v="0.05"/>
    <n v="4149.5999999999995"/>
  </r>
  <r>
    <x v="200"/>
    <x v="152"/>
    <x v="2"/>
    <x v="3"/>
    <x v="0"/>
    <x v="4"/>
    <x v="19"/>
    <x v="10"/>
    <n v="4"/>
    <n v="603.20000000000005"/>
    <n v="0.08"/>
    <n v="2219.7760000000003"/>
  </r>
  <r>
    <x v="201"/>
    <x v="18"/>
    <x v="2"/>
    <x v="2"/>
    <x v="1"/>
    <x v="2"/>
    <x v="3"/>
    <x v="4"/>
    <n v="2"/>
    <n v="280"/>
    <n v="0.08"/>
    <n v="515.20000000000005"/>
  </r>
  <r>
    <x v="202"/>
    <x v="153"/>
    <x v="2"/>
    <x v="3"/>
    <x v="1"/>
    <x v="1"/>
    <x v="5"/>
    <x v="3"/>
    <n v="1"/>
    <n v="339.2"/>
    <n v="0.15"/>
    <n v="288.32"/>
  </r>
  <r>
    <x v="203"/>
    <x v="154"/>
    <x v="2"/>
    <x v="0"/>
    <x v="1"/>
    <x v="1"/>
    <x v="1"/>
    <x v="3"/>
    <n v="4"/>
    <n v="90"/>
    <n v="0.1"/>
    <n v="324"/>
  </r>
  <r>
    <x v="204"/>
    <x v="155"/>
    <x v="4"/>
    <x v="0"/>
    <x v="1"/>
    <x v="1"/>
    <x v="25"/>
    <x v="14"/>
    <n v="2"/>
    <n v="60"/>
    <n v="0.15"/>
    <n v="102"/>
  </r>
  <r>
    <x v="205"/>
    <x v="92"/>
    <x v="1"/>
    <x v="3"/>
    <x v="1"/>
    <x v="3"/>
    <x v="7"/>
    <x v="1"/>
    <n v="1"/>
    <n v="3990"/>
    <n v="0.03"/>
    <n v="3870.2999999999997"/>
  </r>
  <r>
    <x v="206"/>
    <x v="139"/>
    <x v="3"/>
    <x v="1"/>
    <x v="1"/>
    <x v="0"/>
    <x v="10"/>
    <x v="11"/>
    <n v="2"/>
    <n v="38"/>
    <n v="0.1"/>
    <n v="68.400000000000006"/>
  </r>
  <r>
    <x v="207"/>
    <x v="156"/>
    <x v="0"/>
    <x v="0"/>
    <x v="1"/>
    <x v="2"/>
    <x v="27"/>
    <x v="0"/>
    <n v="1"/>
    <n v="190.8"/>
    <n v="0.1"/>
    <n v="171.72000000000003"/>
  </r>
  <r>
    <x v="208"/>
    <x v="157"/>
    <x v="1"/>
    <x v="3"/>
    <x v="1"/>
    <x v="1"/>
    <x v="8"/>
    <x v="8"/>
    <n v="5"/>
    <n v="427.5"/>
    <n v="0"/>
    <n v="2137.5"/>
  </r>
  <r>
    <x v="209"/>
    <x v="46"/>
    <x v="4"/>
    <x v="3"/>
    <x v="0"/>
    <x v="1"/>
    <x v="8"/>
    <x v="12"/>
    <n v="3"/>
    <n v="450"/>
    <n v="0.05"/>
    <n v="1282.5"/>
  </r>
  <r>
    <x v="210"/>
    <x v="62"/>
    <x v="1"/>
    <x v="1"/>
    <x v="1"/>
    <x v="0"/>
    <x v="12"/>
    <x v="9"/>
    <n v="1"/>
    <n v="83.2"/>
    <n v="0.05"/>
    <n v="79.039999999999992"/>
  </r>
  <r>
    <x v="211"/>
    <x v="158"/>
    <x v="2"/>
    <x v="3"/>
    <x v="1"/>
    <x v="5"/>
    <x v="18"/>
    <x v="10"/>
    <n v="6"/>
    <n v="11.64"/>
    <n v="0.08"/>
    <n v="64.252800000000008"/>
  </r>
  <r>
    <x v="212"/>
    <x v="1"/>
    <x v="4"/>
    <x v="0"/>
    <x v="1"/>
    <x v="0"/>
    <x v="14"/>
    <x v="13"/>
    <n v="3"/>
    <n v="58.3"/>
    <n v="0.2"/>
    <n v="139.91999999999999"/>
  </r>
  <r>
    <x v="213"/>
    <x v="45"/>
    <x v="3"/>
    <x v="2"/>
    <x v="1"/>
    <x v="5"/>
    <x v="23"/>
    <x v="6"/>
    <n v="6"/>
    <n v="26"/>
    <n v="0.08"/>
    <n v="143.52000000000001"/>
  </r>
  <r>
    <x v="214"/>
    <x v="159"/>
    <x v="2"/>
    <x v="1"/>
    <x v="1"/>
    <x v="5"/>
    <x v="16"/>
    <x v="10"/>
    <n v="6"/>
    <n v="7.76"/>
    <n v="0.15"/>
    <n v="39.576000000000001"/>
  </r>
  <r>
    <x v="215"/>
    <x v="160"/>
    <x v="0"/>
    <x v="1"/>
    <x v="0"/>
    <x v="2"/>
    <x v="2"/>
    <x v="0"/>
    <n v="1"/>
    <n v="19"/>
    <n v="0.1"/>
    <n v="17.100000000000001"/>
  </r>
  <r>
    <x v="216"/>
    <x v="47"/>
    <x v="2"/>
    <x v="3"/>
    <x v="1"/>
    <x v="2"/>
    <x v="2"/>
    <x v="3"/>
    <n v="3"/>
    <n v="20"/>
    <n v="0.1"/>
    <n v="54"/>
  </r>
  <r>
    <x v="217"/>
    <x v="161"/>
    <x v="4"/>
    <x v="2"/>
    <x v="0"/>
    <x v="2"/>
    <x v="3"/>
    <x v="13"/>
    <n v="2"/>
    <n v="285.60000000000002"/>
    <n v="0.05"/>
    <n v="542.64"/>
  </r>
  <r>
    <x v="218"/>
    <x v="162"/>
    <x v="1"/>
    <x v="1"/>
    <x v="1"/>
    <x v="3"/>
    <x v="9"/>
    <x v="9"/>
    <n v="1"/>
    <n v="1908"/>
    <n v="0.05"/>
    <n v="1812.6"/>
  </r>
  <r>
    <x v="219"/>
    <x v="44"/>
    <x v="1"/>
    <x v="1"/>
    <x v="1"/>
    <x v="3"/>
    <x v="20"/>
    <x v="8"/>
    <n v="1"/>
    <n v="2425"/>
    <n v="0.03"/>
    <n v="2352.25"/>
  </r>
  <r>
    <x v="220"/>
    <x v="163"/>
    <x v="0"/>
    <x v="0"/>
    <x v="0"/>
    <x v="0"/>
    <x v="10"/>
    <x v="0"/>
    <n v="2"/>
    <n v="40.28"/>
    <n v="0"/>
    <n v="80.56"/>
  </r>
  <r>
    <x v="221"/>
    <x v="164"/>
    <x v="1"/>
    <x v="1"/>
    <x v="1"/>
    <x v="0"/>
    <x v="10"/>
    <x v="9"/>
    <n v="3"/>
    <n v="36.86"/>
    <n v="0.1"/>
    <n v="99.522000000000006"/>
  </r>
  <r>
    <x v="222"/>
    <x v="165"/>
    <x v="4"/>
    <x v="0"/>
    <x v="1"/>
    <x v="2"/>
    <x v="4"/>
    <x v="14"/>
    <n v="4"/>
    <n v="750"/>
    <n v="0"/>
    <n v="3000"/>
  </r>
  <r>
    <x v="223"/>
    <x v="122"/>
    <x v="2"/>
    <x v="0"/>
    <x v="0"/>
    <x v="0"/>
    <x v="6"/>
    <x v="4"/>
    <n v="2"/>
    <n v="45.9"/>
    <n v="0"/>
    <n v="91.8"/>
  </r>
  <r>
    <x v="224"/>
    <x v="166"/>
    <x v="2"/>
    <x v="0"/>
    <x v="0"/>
    <x v="2"/>
    <x v="2"/>
    <x v="3"/>
    <n v="5"/>
    <n v="20.8"/>
    <n v="0.03"/>
    <n v="100.88"/>
  </r>
  <r>
    <x v="225"/>
    <x v="119"/>
    <x v="3"/>
    <x v="3"/>
    <x v="0"/>
    <x v="0"/>
    <x v="0"/>
    <x v="11"/>
    <n v="2"/>
    <n v="15"/>
    <n v="0.03"/>
    <n v="29.099999999999998"/>
  </r>
  <r>
    <x v="226"/>
    <x v="82"/>
    <x v="0"/>
    <x v="1"/>
    <x v="1"/>
    <x v="5"/>
    <x v="24"/>
    <x v="2"/>
    <n v="2"/>
    <n v="36.4"/>
    <n v="0.15"/>
    <n v="61.879999999999995"/>
  </r>
  <r>
    <x v="227"/>
    <x v="167"/>
    <x v="2"/>
    <x v="3"/>
    <x v="0"/>
    <x v="1"/>
    <x v="8"/>
    <x v="3"/>
    <n v="7"/>
    <n v="477"/>
    <n v="0.03"/>
    <n v="3238.83"/>
  </r>
  <r>
    <x v="228"/>
    <x v="111"/>
    <x v="3"/>
    <x v="2"/>
    <x v="1"/>
    <x v="4"/>
    <x v="13"/>
    <x v="11"/>
    <n v="1"/>
    <n v="1500"/>
    <n v="0.03"/>
    <n v="1455"/>
  </r>
  <r>
    <x v="229"/>
    <x v="168"/>
    <x v="1"/>
    <x v="1"/>
    <x v="1"/>
    <x v="4"/>
    <x v="17"/>
    <x v="8"/>
    <n v="3"/>
    <n v="665"/>
    <n v="0.05"/>
    <n v="1895.25"/>
  </r>
  <r>
    <x v="230"/>
    <x v="169"/>
    <x v="2"/>
    <x v="2"/>
    <x v="1"/>
    <x v="3"/>
    <x v="21"/>
    <x v="4"/>
    <n v="1"/>
    <n v="2850"/>
    <n v="0.1"/>
    <n v="2565"/>
  </r>
  <r>
    <x v="231"/>
    <x v="170"/>
    <x v="4"/>
    <x v="2"/>
    <x v="0"/>
    <x v="3"/>
    <x v="20"/>
    <x v="12"/>
    <n v="1"/>
    <n v="2500"/>
    <n v="0.08"/>
    <n v="2300"/>
  </r>
  <r>
    <x v="232"/>
    <x v="171"/>
    <x v="2"/>
    <x v="3"/>
    <x v="1"/>
    <x v="0"/>
    <x v="6"/>
    <x v="3"/>
    <n v="5"/>
    <n v="43.65"/>
    <n v="0.1"/>
    <n v="196.42500000000001"/>
  </r>
  <r>
    <x v="233"/>
    <x v="84"/>
    <x v="3"/>
    <x v="1"/>
    <x v="0"/>
    <x v="0"/>
    <x v="0"/>
    <x v="7"/>
    <n v="2"/>
    <n v="15.9"/>
    <n v="0.03"/>
    <n v="30.846"/>
  </r>
  <r>
    <x v="234"/>
    <x v="121"/>
    <x v="4"/>
    <x v="0"/>
    <x v="1"/>
    <x v="2"/>
    <x v="4"/>
    <x v="14"/>
    <n v="3"/>
    <n v="750"/>
    <n v="0.05"/>
    <n v="2137.5"/>
  </r>
  <r>
    <x v="235"/>
    <x v="172"/>
    <x v="3"/>
    <x v="1"/>
    <x v="0"/>
    <x v="1"/>
    <x v="1"/>
    <x v="11"/>
    <n v="4"/>
    <n v="85.5"/>
    <n v="0.15"/>
    <n v="290.7"/>
  </r>
  <r>
    <x v="236"/>
    <x v="173"/>
    <x v="2"/>
    <x v="0"/>
    <x v="0"/>
    <x v="1"/>
    <x v="8"/>
    <x v="3"/>
    <n v="5"/>
    <n v="436.5"/>
    <n v="0.05"/>
    <n v="2073.375"/>
  </r>
  <r>
    <x v="237"/>
    <x v="84"/>
    <x v="2"/>
    <x v="2"/>
    <x v="1"/>
    <x v="2"/>
    <x v="2"/>
    <x v="3"/>
    <n v="8"/>
    <n v="20.8"/>
    <n v="0.08"/>
    <n v="153.08800000000002"/>
  </r>
  <r>
    <x v="238"/>
    <x v="84"/>
    <x v="1"/>
    <x v="3"/>
    <x v="1"/>
    <x v="0"/>
    <x v="12"/>
    <x v="1"/>
    <n v="4"/>
    <n v="77.599999999999994"/>
    <n v="0.05"/>
    <n v="294.87999999999994"/>
  </r>
  <r>
    <x v="239"/>
    <x v="94"/>
    <x v="4"/>
    <x v="0"/>
    <x v="1"/>
    <x v="4"/>
    <x v="17"/>
    <x v="12"/>
    <n v="1"/>
    <n v="728"/>
    <n v="0.08"/>
    <n v="669.76"/>
  </r>
  <r>
    <x v="240"/>
    <x v="12"/>
    <x v="3"/>
    <x v="1"/>
    <x v="1"/>
    <x v="0"/>
    <x v="10"/>
    <x v="6"/>
    <n v="3"/>
    <n v="40.28"/>
    <n v="0.15"/>
    <n v="102.714"/>
  </r>
  <r>
    <x v="241"/>
    <x v="174"/>
    <x v="3"/>
    <x v="3"/>
    <x v="1"/>
    <x v="4"/>
    <x v="17"/>
    <x v="6"/>
    <n v="2"/>
    <n v="728"/>
    <n v="0.05"/>
    <n v="1383.2"/>
  </r>
  <r>
    <x v="242"/>
    <x v="175"/>
    <x v="3"/>
    <x v="0"/>
    <x v="0"/>
    <x v="0"/>
    <x v="10"/>
    <x v="11"/>
    <n v="4"/>
    <n v="38"/>
    <n v="0.05"/>
    <n v="144.4"/>
  </r>
  <r>
    <x v="243"/>
    <x v="176"/>
    <x v="1"/>
    <x v="0"/>
    <x v="1"/>
    <x v="2"/>
    <x v="3"/>
    <x v="1"/>
    <n v="3"/>
    <n v="296.8"/>
    <n v="0.2"/>
    <n v="712.32000000000016"/>
  </r>
  <r>
    <x v="244"/>
    <x v="65"/>
    <x v="0"/>
    <x v="0"/>
    <x v="1"/>
    <x v="4"/>
    <x v="13"/>
    <x v="0"/>
    <n v="1"/>
    <n v="1455"/>
    <n v="0.2"/>
    <n v="1164"/>
  </r>
  <r>
    <x v="245"/>
    <x v="53"/>
    <x v="1"/>
    <x v="0"/>
    <x v="1"/>
    <x v="1"/>
    <x v="5"/>
    <x v="1"/>
    <n v="4"/>
    <n v="320"/>
    <n v="0.1"/>
    <n v="1152"/>
  </r>
  <r>
    <x v="246"/>
    <x v="20"/>
    <x v="4"/>
    <x v="1"/>
    <x v="0"/>
    <x v="1"/>
    <x v="25"/>
    <x v="12"/>
    <n v="7"/>
    <n v="60"/>
    <n v="0.05"/>
    <n v="399"/>
  </r>
  <r>
    <x v="247"/>
    <x v="177"/>
    <x v="3"/>
    <x v="2"/>
    <x v="1"/>
    <x v="2"/>
    <x v="4"/>
    <x v="6"/>
    <n v="5"/>
    <n v="750"/>
    <n v="0.1"/>
    <n v="3375"/>
  </r>
  <r>
    <x v="248"/>
    <x v="178"/>
    <x v="4"/>
    <x v="0"/>
    <x v="1"/>
    <x v="1"/>
    <x v="1"/>
    <x v="13"/>
    <n v="1"/>
    <n v="95.4"/>
    <n v="0.1"/>
    <n v="85.860000000000014"/>
  </r>
  <r>
    <x v="249"/>
    <x v="179"/>
    <x v="4"/>
    <x v="3"/>
    <x v="1"/>
    <x v="2"/>
    <x v="2"/>
    <x v="13"/>
    <n v="5"/>
    <n v="19"/>
    <n v="0.15"/>
    <n v="80.75"/>
  </r>
  <r>
    <x v="250"/>
    <x v="180"/>
    <x v="0"/>
    <x v="2"/>
    <x v="1"/>
    <x v="5"/>
    <x v="26"/>
    <x v="2"/>
    <n v="14"/>
    <n v="18"/>
    <n v="0.15"/>
    <n v="214.2"/>
  </r>
  <r>
    <x v="251"/>
    <x v="45"/>
    <x v="4"/>
    <x v="1"/>
    <x v="0"/>
    <x v="5"/>
    <x v="24"/>
    <x v="14"/>
    <n v="1"/>
    <n v="33.25"/>
    <n v="0.05"/>
    <n v="31.587499999999999"/>
  </r>
  <r>
    <x v="252"/>
    <x v="100"/>
    <x v="3"/>
    <x v="1"/>
    <x v="0"/>
    <x v="2"/>
    <x v="4"/>
    <x v="11"/>
    <n v="6"/>
    <n v="750"/>
    <n v="0.03"/>
    <n v="4365"/>
  </r>
  <r>
    <x v="253"/>
    <x v="80"/>
    <x v="4"/>
    <x v="0"/>
    <x v="1"/>
    <x v="0"/>
    <x v="14"/>
    <x v="14"/>
    <n v="4"/>
    <n v="55"/>
    <n v="0.1"/>
    <n v="198"/>
  </r>
  <r>
    <x v="254"/>
    <x v="159"/>
    <x v="2"/>
    <x v="0"/>
    <x v="0"/>
    <x v="4"/>
    <x v="17"/>
    <x v="10"/>
    <n v="1"/>
    <n v="665"/>
    <n v="0.03"/>
    <n v="645.04999999999995"/>
  </r>
  <r>
    <x v="255"/>
    <x v="83"/>
    <x v="0"/>
    <x v="1"/>
    <x v="0"/>
    <x v="0"/>
    <x v="6"/>
    <x v="0"/>
    <n v="2"/>
    <n v="43.65"/>
    <n v="0.15"/>
    <n v="74.204999999999998"/>
  </r>
  <r>
    <x v="256"/>
    <x v="119"/>
    <x v="0"/>
    <x v="0"/>
    <x v="1"/>
    <x v="0"/>
    <x v="12"/>
    <x v="2"/>
    <n v="3"/>
    <n v="76"/>
    <n v="0.03"/>
    <n v="221.16"/>
  </r>
  <r>
    <x v="257"/>
    <x v="65"/>
    <x v="0"/>
    <x v="3"/>
    <x v="1"/>
    <x v="3"/>
    <x v="20"/>
    <x v="0"/>
    <n v="2"/>
    <n v="2425"/>
    <n v="0.03"/>
    <n v="4704.5"/>
  </r>
  <r>
    <x v="258"/>
    <x v="173"/>
    <x v="4"/>
    <x v="1"/>
    <x v="1"/>
    <x v="3"/>
    <x v="15"/>
    <x v="12"/>
    <n v="1"/>
    <n v="3200"/>
    <n v="0.08"/>
    <n v="2944"/>
  </r>
  <r>
    <x v="259"/>
    <x v="76"/>
    <x v="2"/>
    <x v="3"/>
    <x v="1"/>
    <x v="0"/>
    <x v="12"/>
    <x v="10"/>
    <n v="4"/>
    <n v="80"/>
    <n v="0.05"/>
    <n v="304"/>
  </r>
  <r>
    <x v="260"/>
    <x v="181"/>
    <x v="3"/>
    <x v="1"/>
    <x v="0"/>
    <x v="4"/>
    <x v="19"/>
    <x v="6"/>
    <n v="5"/>
    <n v="551"/>
    <n v="0.15"/>
    <n v="2341.75"/>
  </r>
  <r>
    <x v="261"/>
    <x v="119"/>
    <x v="1"/>
    <x v="0"/>
    <x v="1"/>
    <x v="1"/>
    <x v="8"/>
    <x v="1"/>
    <n v="3"/>
    <n v="427.5"/>
    <n v="0"/>
    <n v="1282.5"/>
  </r>
  <r>
    <x v="262"/>
    <x v="182"/>
    <x v="3"/>
    <x v="1"/>
    <x v="0"/>
    <x v="1"/>
    <x v="1"/>
    <x v="7"/>
    <n v="4"/>
    <n v="93.6"/>
    <n v="0"/>
    <n v="374.4"/>
  </r>
  <r>
    <x v="263"/>
    <x v="183"/>
    <x v="4"/>
    <x v="0"/>
    <x v="1"/>
    <x v="0"/>
    <x v="22"/>
    <x v="12"/>
    <n v="2"/>
    <n v="66.3"/>
    <n v="0.08"/>
    <n v="121.992"/>
  </r>
  <r>
    <x v="264"/>
    <x v="184"/>
    <x v="4"/>
    <x v="1"/>
    <x v="1"/>
    <x v="3"/>
    <x v="20"/>
    <x v="12"/>
    <n v="3"/>
    <n v="2425"/>
    <n v="0"/>
    <n v="7275"/>
  </r>
  <r>
    <x v="265"/>
    <x v="185"/>
    <x v="0"/>
    <x v="2"/>
    <x v="0"/>
    <x v="0"/>
    <x v="22"/>
    <x v="5"/>
    <n v="4"/>
    <n v="61.75"/>
    <n v="0.2"/>
    <n v="197.60000000000002"/>
  </r>
  <r>
    <x v="266"/>
    <x v="27"/>
    <x v="0"/>
    <x v="0"/>
    <x v="0"/>
    <x v="1"/>
    <x v="25"/>
    <x v="2"/>
    <n v="4"/>
    <n v="58.2"/>
    <n v="0"/>
    <n v="232.8"/>
  </r>
  <r>
    <x v="267"/>
    <x v="31"/>
    <x v="4"/>
    <x v="3"/>
    <x v="1"/>
    <x v="4"/>
    <x v="13"/>
    <x v="14"/>
    <n v="1"/>
    <n v="1425"/>
    <n v="0.08"/>
    <n v="1311"/>
  </r>
  <r>
    <x v="268"/>
    <x v="186"/>
    <x v="2"/>
    <x v="1"/>
    <x v="1"/>
    <x v="3"/>
    <x v="21"/>
    <x v="10"/>
    <n v="1"/>
    <n v="2850"/>
    <n v="0.15"/>
    <n v="2422.5"/>
  </r>
  <r>
    <x v="269"/>
    <x v="151"/>
    <x v="4"/>
    <x v="0"/>
    <x v="1"/>
    <x v="5"/>
    <x v="16"/>
    <x v="12"/>
    <n v="1"/>
    <n v="8.32"/>
    <n v="0.03"/>
    <n v="8.0703999999999994"/>
  </r>
  <r>
    <x v="270"/>
    <x v="187"/>
    <x v="2"/>
    <x v="0"/>
    <x v="1"/>
    <x v="2"/>
    <x v="4"/>
    <x v="3"/>
    <n v="5"/>
    <n v="750"/>
    <n v="0.2"/>
    <n v="3000"/>
  </r>
  <r>
    <x v="271"/>
    <x v="188"/>
    <x v="3"/>
    <x v="2"/>
    <x v="0"/>
    <x v="3"/>
    <x v="7"/>
    <x v="11"/>
    <n v="1"/>
    <n v="3990"/>
    <n v="0.05"/>
    <n v="3790.5"/>
  </r>
  <r>
    <x v="272"/>
    <x v="77"/>
    <x v="1"/>
    <x v="1"/>
    <x v="1"/>
    <x v="5"/>
    <x v="18"/>
    <x v="1"/>
    <n v="1"/>
    <n v="12"/>
    <n v="0.15"/>
    <n v="10.199999999999999"/>
  </r>
  <r>
    <x v="273"/>
    <x v="189"/>
    <x v="0"/>
    <x v="2"/>
    <x v="0"/>
    <x v="3"/>
    <x v="7"/>
    <x v="0"/>
    <n v="1"/>
    <n v="4200"/>
    <n v="0.08"/>
    <n v="3864"/>
  </r>
  <r>
    <x v="274"/>
    <x v="117"/>
    <x v="3"/>
    <x v="0"/>
    <x v="0"/>
    <x v="0"/>
    <x v="22"/>
    <x v="7"/>
    <n v="4"/>
    <n v="67.599999999999994"/>
    <n v="0.08"/>
    <n v="248.768"/>
  </r>
  <r>
    <x v="275"/>
    <x v="190"/>
    <x v="1"/>
    <x v="1"/>
    <x v="1"/>
    <x v="4"/>
    <x v="19"/>
    <x v="9"/>
    <n v="2"/>
    <n v="603.20000000000005"/>
    <n v="0"/>
    <n v="1206.4000000000001"/>
  </r>
  <r>
    <x v="276"/>
    <x v="191"/>
    <x v="3"/>
    <x v="1"/>
    <x v="1"/>
    <x v="3"/>
    <x v="7"/>
    <x v="6"/>
    <n v="1"/>
    <n v="4200"/>
    <n v="0.15"/>
    <n v="3570"/>
  </r>
  <r>
    <x v="277"/>
    <x v="192"/>
    <x v="2"/>
    <x v="0"/>
    <x v="1"/>
    <x v="3"/>
    <x v="15"/>
    <x v="3"/>
    <n v="3"/>
    <n v="3264"/>
    <n v="0.03"/>
    <n v="9498.24"/>
  </r>
  <r>
    <x v="278"/>
    <x v="152"/>
    <x v="2"/>
    <x v="0"/>
    <x v="1"/>
    <x v="5"/>
    <x v="16"/>
    <x v="10"/>
    <n v="1"/>
    <n v="7.6"/>
    <n v="0.15"/>
    <n v="6.46"/>
  </r>
  <r>
    <x v="279"/>
    <x v="193"/>
    <x v="3"/>
    <x v="1"/>
    <x v="0"/>
    <x v="3"/>
    <x v="20"/>
    <x v="7"/>
    <n v="3"/>
    <n v="2375"/>
    <n v="0.1"/>
    <n v="6412.5"/>
  </r>
  <r>
    <x v="280"/>
    <x v="77"/>
    <x v="2"/>
    <x v="0"/>
    <x v="1"/>
    <x v="0"/>
    <x v="6"/>
    <x v="3"/>
    <n v="1"/>
    <n v="45"/>
    <n v="0.1"/>
    <n v="40.5"/>
  </r>
  <r>
    <x v="281"/>
    <x v="194"/>
    <x v="2"/>
    <x v="1"/>
    <x v="1"/>
    <x v="0"/>
    <x v="6"/>
    <x v="10"/>
    <n v="6"/>
    <n v="45"/>
    <n v="0.05"/>
    <n v="256.5"/>
  </r>
  <r>
    <x v="282"/>
    <x v="121"/>
    <x v="3"/>
    <x v="0"/>
    <x v="0"/>
    <x v="4"/>
    <x v="11"/>
    <x v="6"/>
    <n v="3"/>
    <n v="884"/>
    <n v="0.03"/>
    <n v="2572.44"/>
  </r>
  <r>
    <x v="283"/>
    <x v="195"/>
    <x v="2"/>
    <x v="0"/>
    <x v="0"/>
    <x v="0"/>
    <x v="22"/>
    <x v="4"/>
    <n v="3"/>
    <n v="61.75"/>
    <n v="0.1"/>
    <n v="166.72499999999999"/>
  </r>
  <r>
    <x v="284"/>
    <x v="75"/>
    <x v="3"/>
    <x v="1"/>
    <x v="0"/>
    <x v="3"/>
    <x v="7"/>
    <x v="6"/>
    <n v="1"/>
    <n v="4200"/>
    <n v="0.08"/>
    <n v="3864"/>
  </r>
  <r>
    <x v="285"/>
    <x v="104"/>
    <x v="1"/>
    <x v="0"/>
    <x v="1"/>
    <x v="1"/>
    <x v="1"/>
    <x v="9"/>
    <n v="2"/>
    <n v="95.4"/>
    <n v="0.05"/>
    <n v="181.26"/>
  </r>
  <r>
    <x v="286"/>
    <x v="144"/>
    <x v="2"/>
    <x v="1"/>
    <x v="0"/>
    <x v="5"/>
    <x v="24"/>
    <x v="3"/>
    <n v="5"/>
    <n v="33.25"/>
    <n v="0.08"/>
    <n v="152.95000000000002"/>
  </r>
  <r>
    <x v="287"/>
    <x v="77"/>
    <x v="3"/>
    <x v="0"/>
    <x v="1"/>
    <x v="0"/>
    <x v="0"/>
    <x v="7"/>
    <n v="4"/>
    <n v="14.25"/>
    <n v="0.15"/>
    <n v="48.449999999999996"/>
  </r>
  <r>
    <x v="288"/>
    <x v="196"/>
    <x v="4"/>
    <x v="3"/>
    <x v="1"/>
    <x v="0"/>
    <x v="22"/>
    <x v="12"/>
    <n v="5"/>
    <n v="66.3"/>
    <n v="0.1"/>
    <n v="298.35000000000002"/>
  </r>
  <r>
    <x v="289"/>
    <x v="197"/>
    <x v="4"/>
    <x v="1"/>
    <x v="0"/>
    <x v="2"/>
    <x v="27"/>
    <x v="13"/>
    <n v="1"/>
    <n v="180"/>
    <n v="0"/>
    <n v="180"/>
  </r>
  <r>
    <x v="290"/>
    <x v="198"/>
    <x v="2"/>
    <x v="1"/>
    <x v="0"/>
    <x v="1"/>
    <x v="5"/>
    <x v="3"/>
    <n v="4"/>
    <n v="326.39999999999998"/>
    <n v="0.15"/>
    <n v="1109.76"/>
  </r>
  <r>
    <x v="291"/>
    <x v="56"/>
    <x v="1"/>
    <x v="3"/>
    <x v="1"/>
    <x v="5"/>
    <x v="24"/>
    <x v="9"/>
    <n v="2"/>
    <n v="33.950000000000003"/>
    <n v="0.2"/>
    <n v="54.320000000000007"/>
  </r>
  <r>
    <x v="292"/>
    <x v="22"/>
    <x v="4"/>
    <x v="0"/>
    <x v="0"/>
    <x v="2"/>
    <x v="27"/>
    <x v="12"/>
    <n v="1"/>
    <n v="183.6"/>
    <n v="0.15"/>
    <n v="156.06"/>
  </r>
  <r>
    <x v="293"/>
    <x v="199"/>
    <x v="3"/>
    <x v="0"/>
    <x v="1"/>
    <x v="0"/>
    <x v="10"/>
    <x v="7"/>
    <n v="1"/>
    <n v="38"/>
    <n v="0.1"/>
    <n v="34.200000000000003"/>
  </r>
  <r>
    <x v="294"/>
    <x v="64"/>
    <x v="3"/>
    <x v="2"/>
    <x v="1"/>
    <x v="3"/>
    <x v="9"/>
    <x v="11"/>
    <n v="1"/>
    <n v="1800"/>
    <n v="0.03"/>
    <n v="1746"/>
  </r>
  <r>
    <x v="295"/>
    <x v="53"/>
    <x v="2"/>
    <x v="0"/>
    <x v="0"/>
    <x v="1"/>
    <x v="8"/>
    <x v="10"/>
    <n v="2"/>
    <n v="459"/>
    <n v="0"/>
    <n v="918"/>
  </r>
  <r>
    <x v="296"/>
    <x v="28"/>
    <x v="4"/>
    <x v="0"/>
    <x v="0"/>
    <x v="3"/>
    <x v="7"/>
    <x v="14"/>
    <n v="2"/>
    <n v="4200"/>
    <n v="0.05"/>
    <n v="7980"/>
  </r>
  <r>
    <x v="297"/>
    <x v="200"/>
    <x v="2"/>
    <x v="1"/>
    <x v="1"/>
    <x v="1"/>
    <x v="5"/>
    <x v="10"/>
    <n v="2"/>
    <n v="320"/>
    <n v="0.1"/>
    <n v="576"/>
  </r>
  <r>
    <x v="298"/>
    <x v="191"/>
    <x v="4"/>
    <x v="0"/>
    <x v="0"/>
    <x v="5"/>
    <x v="18"/>
    <x v="13"/>
    <n v="3"/>
    <n v="11.64"/>
    <n v="0.1"/>
    <n v="31.428000000000001"/>
  </r>
  <r>
    <x v="299"/>
    <x v="201"/>
    <x v="3"/>
    <x v="2"/>
    <x v="1"/>
    <x v="1"/>
    <x v="1"/>
    <x v="6"/>
    <n v="2"/>
    <n v="90"/>
    <n v="0.05"/>
    <n v="171"/>
  </r>
  <r>
    <x v="300"/>
    <x v="120"/>
    <x v="0"/>
    <x v="2"/>
    <x v="0"/>
    <x v="3"/>
    <x v="20"/>
    <x v="2"/>
    <n v="1"/>
    <n v="2425"/>
    <n v="0.1"/>
    <n v="2182.5"/>
  </r>
  <r>
    <x v="301"/>
    <x v="5"/>
    <x v="2"/>
    <x v="0"/>
    <x v="1"/>
    <x v="1"/>
    <x v="1"/>
    <x v="4"/>
    <n v="1"/>
    <n v="90"/>
    <n v="0.03"/>
    <n v="87.3"/>
  </r>
  <r>
    <x v="302"/>
    <x v="31"/>
    <x v="1"/>
    <x v="0"/>
    <x v="1"/>
    <x v="4"/>
    <x v="13"/>
    <x v="9"/>
    <n v="2"/>
    <n v="1455"/>
    <n v="0.05"/>
    <n v="2764.5"/>
  </r>
  <r>
    <x v="303"/>
    <x v="202"/>
    <x v="2"/>
    <x v="0"/>
    <x v="1"/>
    <x v="0"/>
    <x v="10"/>
    <x v="10"/>
    <n v="1"/>
    <n v="36.1"/>
    <n v="0.1"/>
    <n v="32.49"/>
  </r>
  <r>
    <x v="304"/>
    <x v="80"/>
    <x v="3"/>
    <x v="1"/>
    <x v="1"/>
    <x v="3"/>
    <x v="15"/>
    <x v="7"/>
    <n v="2"/>
    <n v="3328"/>
    <n v="0.05"/>
    <n v="6323.2"/>
  </r>
  <r>
    <x v="305"/>
    <x v="62"/>
    <x v="1"/>
    <x v="3"/>
    <x v="1"/>
    <x v="0"/>
    <x v="0"/>
    <x v="8"/>
    <n v="3"/>
    <n v="14.25"/>
    <n v="0.15"/>
    <n v="36.337499999999999"/>
  </r>
  <r>
    <x v="306"/>
    <x v="203"/>
    <x v="2"/>
    <x v="3"/>
    <x v="1"/>
    <x v="2"/>
    <x v="4"/>
    <x v="3"/>
    <n v="5"/>
    <n v="750"/>
    <n v="0.03"/>
    <n v="3637.5"/>
  </r>
  <r>
    <x v="307"/>
    <x v="204"/>
    <x v="1"/>
    <x v="3"/>
    <x v="1"/>
    <x v="5"/>
    <x v="24"/>
    <x v="1"/>
    <n v="6"/>
    <n v="35.700000000000003"/>
    <n v="0.15"/>
    <n v="182.07000000000002"/>
  </r>
  <r>
    <x v="308"/>
    <x v="205"/>
    <x v="4"/>
    <x v="0"/>
    <x v="0"/>
    <x v="4"/>
    <x v="19"/>
    <x v="12"/>
    <n v="1"/>
    <n v="603.20000000000005"/>
    <n v="0"/>
    <n v="603.20000000000005"/>
  </r>
  <r>
    <x v="309"/>
    <x v="54"/>
    <x v="3"/>
    <x v="0"/>
    <x v="0"/>
    <x v="1"/>
    <x v="25"/>
    <x v="7"/>
    <n v="5"/>
    <n v="61.2"/>
    <n v="0"/>
    <n v="306"/>
  </r>
  <r>
    <x v="310"/>
    <x v="166"/>
    <x v="1"/>
    <x v="0"/>
    <x v="1"/>
    <x v="1"/>
    <x v="1"/>
    <x v="8"/>
    <n v="2"/>
    <n v="85.5"/>
    <n v="0.15"/>
    <n v="145.35"/>
  </r>
  <r>
    <x v="311"/>
    <x v="206"/>
    <x v="1"/>
    <x v="0"/>
    <x v="1"/>
    <x v="3"/>
    <x v="9"/>
    <x v="8"/>
    <n v="1"/>
    <n v="1800"/>
    <n v="0.05"/>
    <n v="1710"/>
  </r>
  <r>
    <x v="312"/>
    <x v="105"/>
    <x v="2"/>
    <x v="0"/>
    <x v="1"/>
    <x v="1"/>
    <x v="25"/>
    <x v="10"/>
    <n v="4"/>
    <n v="60"/>
    <n v="0.08"/>
    <n v="220.8"/>
  </r>
  <r>
    <x v="313"/>
    <x v="108"/>
    <x v="3"/>
    <x v="1"/>
    <x v="1"/>
    <x v="4"/>
    <x v="13"/>
    <x v="11"/>
    <n v="2"/>
    <n v="1425"/>
    <n v="0"/>
    <n v="2850"/>
  </r>
  <r>
    <x v="314"/>
    <x v="207"/>
    <x v="2"/>
    <x v="3"/>
    <x v="1"/>
    <x v="0"/>
    <x v="22"/>
    <x v="3"/>
    <n v="5"/>
    <n v="65"/>
    <n v="0.05"/>
    <n v="308.75"/>
  </r>
  <r>
    <x v="315"/>
    <x v="151"/>
    <x v="0"/>
    <x v="0"/>
    <x v="1"/>
    <x v="4"/>
    <x v="19"/>
    <x v="2"/>
    <n v="1"/>
    <n v="551"/>
    <n v="0.05"/>
    <n v="523.44999999999993"/>
  </r>
  <r>
    <x v="316"/>
    <x v="160"/>
    <x v="1"/>
    <x v="1"/>
    <x v="0"/>
    <x v="5"/>
    <x v="24"/>
    <x v="1"/>
    <n v="2"/>
    <n v="33.950000000000003"/>
    <n v="0.03"/>
    <n v="65.863"/>
  </r>
  <r>
    <x v="317"/>
    <x v="110"/>
    <x v="3"/>
    <x v="3"/>
    <x v="1"/>
    <x v="1"/>
    <x v="25"/>
    <x v="7"/>
    <n v="3"/>
    <n v="62.4"/>
    <n v="0.15"/>
    <n v="159.11999999999998"/>
  </r>
  <r>
    <x v="318"/>
    <x v="100"/>
    <x v="2"/>
    <x v="0"/>
    <x v="1"/>
    <x v="0"/>
    <x v="12"/>
    <x v="3"/>
    <n v="4"/>
    <n v="80"/>
    <n v="0.08"/>
    <n v="294.40000000000003"/>
  </r>
  <r>
    <x v="319"/>
    <x v="134"/>
    <x v="3"/>
    <x v="1"/>
    <x v="0"/>
    <x v="3"/>
    <x v="21"/>
    <x v="7"/>
    <n v="1"/>
    <n v="3120"/>
    <n v="0"/>
    <n v="3120"/>
  </r>
  <r>
    <x v="320"/>
    <x v="61"/>
    <x v="4"/>
    <x v="2"/>
    <x v="1"/>
    <x v="3"/>
    <x v="15"/>
    <x v="12"/>
    <n v="1"/>
    <n v="3392"/>
    <n v="0.2"/>
    <n v="2713.6000000000004"/>
  </r>
  <r>
    <x v="321"/>
    <x v="51"/>
    <x v="4"/>
    <x v="2"/>
    <x v="1"/>
    <x v="3"/>
    <x v="20"/>
    <x v="12"/>
    <n v="2"/>
    <n v="2500"/>
    <n v="0.15"/>
    <n v="4250"/>
  </r>
  <r>
    <x v="322"/>
    <x v="42"/>
    <x v="0"/>
    <x v="2"/>
    <x v="1"/>
    <x v="2"/>
    <x v="2"/>
    <x v="5"/>
    <n v="6"/>
    <n v="20.8"/>
    <n v="0.1"/>
    <n v="112.32000000000001"/>
  </r>
  <r>
    <x v="323"/>
    <x v="208"/>
    <x v="3"/>
    <x v="0"/>
    <x v="1"/>
    <x v="1"/>
    <x v="1"/>
    <x v="7"/>
    <n v="3"/>
    <n v="91.8"/>
    <n v="0.1"/>
    <n v="247.85999999999999"/>
  </r>
  <r>
    <x v="324"/>
    <x v="209"/>
    <x v="4"/>
    <x v="1"/>
    <x v="1"/>
    <x v="5"/>
    <x v="16"/>
    <x v="12"/>
    <n v="7"/>
    <n v="8"/>
    <n v="0.15"/>
    <n v="47.6"/>
  </r>
  <r>
    <x v="325"/>
    <x v="80"/>
    <x v="2"/>
    <x v="3"/>
    <x v="1"/>
    <x v="5"/>
    <x v="24"/>
    <x v="10"/>
    <n v="3"/>
    <n v="35"/>
    <n v="0.08"/>
    <n v="96.600000000000009"/>
  </r>
  <r>
    <x v="326"/>
    <x v="152"/>
    <x v="0"/>
    <x v="1"/>
    <x v="1"/>
    <x v="4"/>
    <x v="11"/>
    <x v="2"/>
    <n v="3"/>
    <n v="824.5"/>
    <n v="0.08"/>
    <n v="2275.62"/>
  </r>
  <r>
    <x v="327"/>
    <x v="152"/>
    <x v="3"/>
    <x v="0"/>
    <x v="0"/>
    <x v="3"/>
    <x v="21"/>
    <x v="6"/>
    <n v="1"/>
    <n v="3180"/>
    <n v="0.15"/>
    <n v="2703"/>
  </r>
  <r>
    <x v="328"/>
    <x v="41"/>
    <x v="4"/>
    <x v="3"/>
    <x v="0"/>
    <x v="0"/>
    <x v="14"/>
    <x v="12"/>
    <n v="1"/>
    <n v="55"/>
    <n v="0.1"/>
    <n v="49.5"/>
  </r>
  <r>
    <x v="329"/>
    <x v="41"/>
    <x v="3"/>
    <x v="2"/>
    <x v="0"/>
    <x v="4"/>
    <x v="17"/>
    <x v="6"/>
    <n v="1"/>
    <n v="728"/>
    <n v="0.08"/>
    <n v="669.76"/>
  </r>
  <r>
    <x v="330"/>
    <x v="210"/>
    <x v="0"/>
    <x v="3"/>
    <x v="1"/>
    <x v="1"/>
    <x v="5"/>
    <x v="0"/>
    <n v="4"/>
    <n v="304"/>
    <n v="0.08"/>
    <n v="1118.72"/>
  </r>
  <r>
    <x v="331"/>
    <x v="211"/>
    <x v="4"/>
    <x v="0"/>
    <x v="1"/>
    <x v="4"/>
    <x v="11"/>
    <x v="14"/>
    <n v="3"/>
    <n v="824.5"/>
    <n v="0.03"/>
    <n v="2399.2950000000001"/>
  </r>
  <r>
    <x v="332"/>
    <x v="15"/>
    <x v="1"/>
    <x v="0"/>
    <x v="1"/>
    <x v="2"/>
    <x v="2"/>
    <x v="9"/>
    <n v="2"/>
    <n v="21.2"/>
    <n v="0.05"/>
    <n v="40.279999999999994"/>
  </r>
  <r>
    <x v="333"/>
    <x v="212"/>
    <x v="0"/>
    <x v="0"/>
    <x v="1"/>
    <x v="4"/>
    <x v="11"/>
    <x v="0"/>
    <n v="1"/>
    <n v="824.5"/>
    <n v="0.08"/>
    <n v="758.54000000000008"/>
  </r>
  <r>
    <x v="334"/>
    <x v="140"/>
    <x v="4"/>
    <x v="1"/>
    <x v="0"/>
    <x v="2"/>
    <x v="3"/>
    <x v="14"/>
    <n v="1"/>
    <n v="266"/>
    <n v="0"/>
    <n v="266"/>
  </r>
  <r>
    <x v="335"/>
    <x v="120"/>
    <x v="4"/>
    <x v="2"/>
    <x v="0"/>
    <x v="1"/>
    <x v="8"/>
    <x v="12"/>
    <n v="6"/>
    <n v="450"/>
    <n v="0.03"/>
    <n v="2619"/>
  </r>
  <r>
    <x v="336"/>
    <x v="213"/>
    <x v="0"/>
    <x v="1"/>
    <x v="1"/>
    <x v="4"/>
    <x v="19"/>
    <x v="0"/>
    <n v="1"/>
    <n v="580"/>
    <n v="0"/>
    <n v="580"/>
  </r>
  <r>
    <x v="337"/>
    <x v="54"/>
    <x v="4"/>
    <x v="1"/>
    <x v="0"/>
    <x v="1"/>
    <x v="25"/>
    <x v="13"/>
    <n v="1"/>
    <n v="60"/>
    <n v="0.05"/>
    <n v="57"/>
  </r>
  <r>
    <x v="338"/>
    <x v="214"/>
    <x v="4"/>
    <x v="0"/>
    <x v="1"/>
    <x v="2"/>
    <x v="27"/>
    <x v="13"/>
    <n v="7"/>
    <n v="180"/>
    <n v="0.1"/>
    <n v="1134"/>
  </r>
  <r>
    <x v="339"/>
    <x v="215"/>
    <x v="3"/>
    <x v="2"/>
    <x v="1"/>
    <x v="2"/>
    <x v="2"/>
    <x v="6"/>
    <n v="2"/>
    <n v="21.2"/>
    <n v="0.15"/>
    <n v="36.04"/>
  </r>
  <r>
    <x v="340"/>
    <x v="202"/>
    <x v="3"/>
    <x v="0"/>
    <x v="1"/>
    <x v="0"/>
    <x v="6"/>
    <x v="6"/>
    <n v="5"/>
    <n v="42.75"/>
    <n v="0.1"/>
    <n v="192.375"/>
  </r>
  <r>
    <x v="341"/>
    <x v="216"/>
    <x v="1"/>
    <x v="1"/>
    <x v="1"/>
    <x v="0"/>
    <x v="10"/>
    <x v="9"/>
    <n v="1"/>
    <n v="38"/>
    <n v="0.05"/>
    <n v="36.1"/>
  </r>
  <r>
    <x v="342"/>
    <x v="217"/>
    <x v="0"/>
    <x v="1"/>
    <x v="1"/>
    <x v="5"/>
    <x v="18"/>
    <x v="0"/>
    <n v="1"/>
    <n v="11.64"/>
    <n v="0.08"/>
    <n v="10.708800000000002"/>
  </r>
  <r>
    <x v="343"/>
    <x v="167"/>
    <x v="1"/>
    <x v="1"/>
    <x v="1"/>
    <x v="1"/>
    <x v="25"/>
    <x v="8"/>
    <n v="5"/>
    <n v="57"/>
    <n v="0.15"/>
    <n v="242.25"/>
  </r>
  <r>
    <x v="344"/>
    <x v="218"/>
    <x v="1"/>
    <x v="1"/>
    <x v="1"/>
    <x v="4"/>
    <x v="19"/>
    <x v="8"/>
    <n v="2"/>
    <n v="580"/>
    <n v="0"/>
    <n v="1160"/>
  </r>
  <r>
    <x v="345"/>
    <x v="132"/>
    <x v="1"/>
    <x v="1"/>
    <x v="1"/>
    <x v="1"/>
    <x v="25"/>
    <x v="9"/>
    <n v="2"/>
    <n v="58.2"/>
    <n v="0.08"/>
    <n v="107.08800000000001"/>
  </r>
  <r>
    <x v="346"/>
    <x v="219"/>
    <x v="0"/>
    <x v="0"/>
    <x v="1"/>
    <x v="5"/>
    <x v="16"/>
    <x v="5"/>
    <n v="1"/>
    <n v="7.6"/>
    <n v="0.15"/>
    <n v="6.46"/>
  </r>
  <r>
    <x v="347"/>
    <x v="30"/>
    <x v="1"/>
    <x v="0"/>
    <x v="1"/>
    <x v="3"/>
    <x v="9"/>
    <x v="8"/>
    <n v="1"/>
    <n v="1800"/>
    <n v="0.05"/>
    <n v="1710"/>
  </r>
  <r>
    <x v="348"/>
    <x v="187"/>
    <x v="2"/>
    <x v="1"/>
    <x v="1"/>
    <x v="4"/>
    <x v="17"/>
    <x v="4"/>
    <n v="1"/>
    <n v="742"/>
    <n v="0.2"/>
    <n v="593.6"/>
  </r>
  <r>
    <x v="349"/>
    <x v="10"/>
    <x v="4"/>
    <x v="0"/>
    <x v="1"/>
    <x v="5"/>
    <x v="16"/>
    <x v="12"/>
    <n v="6"/>
    <n v="8"/>
    <n v="0.05"/>
    <n v="45.599999999999994"/>
  </r>
  <r>
    <x v="350"/>
    <x v="220"/>
    <x v="4"/>
    <x v="0"/>
    <x v="0"/>
    <x v="4"/>
    <x v="17"/>
    <x v="12"/>
    <n v="2"/>
    <n v="714"/>
    <n v="0"/>
    <n v="1428"/>
  </r>
  <r>
    <x v="351"/>
    <x v="221"/>
    <x v="4"/>
    <x v="1"/>
    <x v="1"/>
    <x v="4"/>
    <x v="13"/>
    <x v="13"/>
    <n v="1"/>
    <n v="1455"/>
    <n v="0"/>
    <n v="1455"/>
  </r>
  <r>
    <x v="352"/>
    <x v="93"/>
    <x v="0"/>
    <x v="0"/>
    <x v="1"/>
    <x v="0"/>
    <x v="14"/>
    <x v="5"/>
    <n v="2"/>
    <n v="55"/>
    <n v="0.15"/>
    <n v="93.5"/>
  </r>
  <r>
    <x v="353"/>
    <x v="162"/>
    <x v="4"/>
    <x v="3"/>
    <x v="1"/>
    <x v="1"/>
    <x v="1"/>
    <x v="13"/>
    <n v="3"/>
    <n v="95.4"/>
    <n v="0.2"/>
    <n v="228.96000000000004"/>
  </r>
  <r>
    <x v="354"/>
    <x v="154"/>
    <x v="1"/>
    <x v="0"/>
    <x v="1"/>
    <x v="5"/>
    <x v="26"/>
    <x v="1"/>
    <n v="4"/>
    <n v="18"/>
    <n v="0.03"/>
    <n v="69.84"/>
  </r>
  <r>
    <x v="355"/>
    <x v="204"/>
    <x v="1"/>
    <x v="3"/>
    <x v="1"/>
    <x v="3"/>
    <x v="21"/>
    <x v="9"/>
    <n v="1"/>
    <n v="3000"/>
    <n v="0.2"/>
    <n v="2400"/>
  </r>
  <r>
    <x v="356"/>
    <x v="99"/>
    <x v="2"/>
    <x v="1"/>
    <x v="1"/>
    <x v="4"/>
    <x v="13"/>
    <x v="3"/>
    <n v="1"/>
    <n v="1500"/>
    <n v="0.1"/>
    <n v="1350"/>
  </r>
  <r>
    <x v="357"/>
    <x v="62"/>
    <x v="0"/>
    <x v="3"/>
    <x v="1"/>
    <x v="2"/>
    <x v="2"/>
    <x v="5"/>
    <n v="4"/>
    <n v="19.399999999999999"/>
    <n v="0.08"/>
    <n v="71.391999999999996"/>
  </r>
  <r>
    <x v="358"/>
    <x v="34"/>
    <x v="0"/>
    <x v="2"/>
    <x v="1"/>
    <x v="4"/>
    <x v="17"/>
    <x v="0"/>
    <n v="2"/>
    <n v="665"/>
    <n v="0"/>
    <n v="1330"/>
  </r>
  <r>
    <x v="359"/>
    <x v="182"/>
    <x v="2"/>
    <x v="2"/>
    <x v="0"/>
    <x v="3"/>
    <x v="9"/>
    <x v="3"/>
    <n v="2"/>
    <n v="1800"/>
    <n v="0.1"/>
    <n v="3240"/>
  </r>
  <r>
    <x v="360"/>
    <x v="157"/>
    <x v="2"/>
    <x v="3"/>
    <x v="0"/>
    <x v="5"/>
    <x v="16"/>
    <x v="10"/>
    <n v="4"/>
    <n v="8"/>
    <n v="0.08"/>
    <n v="29.44"/>
  </r>
  <r>
    <x v="361"/>
    <x v="222"/>
    <x v="3"/>
    <x v="0"/>
    <x v="1"/>
    <x v="2"/>
    <x v="27"/>
    <x v="11"/>
    <n v="7"/>
    <n v="187.2"/>
    <n v="0.2"/>
    <n v="1048.32"/>
  </r>
  <r>
    <x v="362"/>
    <x v="223"/>
    <x v="2"/>
    <x v="0"/>
    <x v="1"/>
    <x v="1"/>
    <x v="1"/>
    <x v="4"/>
    <n v="6"/>
    <n v="90"/>
    <n v="0.1"/>
    <n v="486"/>
  </r>
  <r>
    <x v="363"/>
    <x v="224"/>
    <x v="1"/>
    <x v="1"/>
    <x v="1"/>
    <x v="2"/>
    <x v="2"/>
    <x v="1"/>
    <n v="1"/>
    <n v="21.2"/>
    <n v="0.08"/>
    <n v="19.504000000000001"/>
  </r>
  <r>
    <x v="364"/>
    <x v="225"/>
    <x v="1"/>
    <x v="0"/>
    <x v="1"/>
    <x v="4"/>
    <x v="11"/>
    <x v="9"/>
    <n v="2"/>
    <n v="850"/>
    <n v="0.05"/>
    <n v="1615"/>
  </r>
  <r>
    <x v="365"/>
    <x v="226"/>
    <x v="2"/>
    <x v="0"/>
    <x v="0"/>
    <x v="0"/>
    <x v="0"/>
    <x v="3"/>
    <n v="3"/>
    <n v="15"/>
    <n v="0.1"/>
    <n v="40.5"/>
  </r>
  <r>
    <x v="366"/>
    <x v="197"/>
    <x v="4"/>
    <x v="0"/>
    <x v="0"/>
    <x v="0"/>
    <x v="12"/>
    <x v="13"/>
    <n v="2"/>
    <n v="80"/>
    <n v="0.05"/>
    <n v="152"/>
  </r>
  <r>
    <x v="367"/>
    <x v="216"/>
    <x v="2"/>
    <x v="0"/>
    <x v="1"/>
    <x v="0"/>
    <x v="12"/>
    <x v="4"/>
    <n v="8"/>
    <n v="84.8"/>
    <n v="0.1"/>
    <n v="610.55999999999995"/>
  </r>
  <r>
    <x v="368"/>
    <x v="227"/>
    <x v="4"/>
    <x v="0"/>
    <x v="1"/>
    <x v="2"/>
    <x v="4"/>
    <x v="13"/>
    <n v="4"/>
    <n v="712.5"/>
    <n v="0.03"/>
    <n v="2764.5"/>
  </r>
  <r>
    <x v="369"/>
    <x v="120"/>
    <x v="0"/>
    <x v="0"/>
    <x v="1"/>
    <x v="1"/>
    <x v="1"/>
    <x v="0"/>
    <n v="1"/>
    <n v="95.4"/>
    <n v="0.15"/>
    <n v="81.09"/>
  </r>
  <r>
    <x v="370"/>
    <x v="228"/>
    <x v="3"/>
    <x v="0"/>
    <x v="1"/>
    <x v="4"/>
    <x v="19"/>
    <x v="6"/>
    <n v="1"/>
    <n v="562.6"/>
    <n v="0.08"/>
    <n v="517.5920000000001"/>
  </r>
  <r>
    <x v="371"/>
    <x v="229"/>
    <x v="3"/>
    <x v="0"/>
    <x v="1"/>
    <x v="5"/>
    <x v="26"/>
    <x v="11"/>
    <n v="4"/>
    <n v="17.46"/>
    <n v="0.03"/>
    <n v="67.744799999999998"/>
  </r>
  <r>
    <x v="372"/>
    <x v="230"/>
    <x v="2"/>
    <x v="0"/>
    <x v="1"/>
    <x v="4"/>
    <x v="11"/>
    <x v="3"/>
    <n v="1"/>
    <n v="850"/>
    <n v="0.05"/>
    <n v="807.5"/>
  </r>
  <r>
    <x v="373"/>
    <x v="231"/>
    <x v="4"/>
    <x v="0"/>
    <x v="0"/>
    <x v="1"/>
    <x v="8"/>
    <x v="12"/>
    <n v="4"/>
    <n v="427.5"/>
    <n v="0"/>
    <n v="1710"/>
  </r>
  <r>
    <x v="374"/>
    <x v="232"/>
    <x v="0"/>
    <x v="1"/>
    <x v="0"/>
    <x v="2"/>
    <x v="27"/>
    <x v="0"/>
    <n v="5"/>
    <n v="187.2"/>
    <n v="0"/>
    <n v="936"/>
  </r>
  <r>
    <x v="375"/>
    <x v="183"/>
    <x v="0"/>
    <x v="2"/>
    <x v="1"/>
    <x v="3"/>
    <x v="20"/>
    <x v="5"/>
    <n v="1"/>
    <n v="2500"/>
    <n v="0.15"/>
    <n v="2125"/>
  </r>
  <r>
    <x v="376"/>
    <x v="0"/>
    <x v="1"/>
    <x v="1"/>
    <x v="0"/>
    <x v="0"/>
    <x v="12"/>
    <x v="9"/>
    <n v="3"/>
    <n v="83.2"/>
    <n v="0.15"/>
    <n v="212.16000000000003"/>
  </r>
  <r>
    <x v="377"/>
    <x v="53"/>
    <x v="3"/>
    <x v="0"/>
    <x v="1"/>
    <x v="1"/>
    <x v="5"/>
    <x v="11"/>
    <n v="1"/>
    <n v="320"/>
    <n v="0.08"/>
    <n v="294.40000000000003"/>
  </r>
  <r>
    <x v="378"/>
    <x v="9"/>
    <x v="0"/>
    <x v="1"/>
    <x v="0"/>
    <x v="5"/>
    <x v="16"/>
    <x v="5"/>
    <n v="3"/>
    <n v="8.48"/>
    <n v="0"/>
    <n v="25.44"/>
  </r>
  <r>
    <x v="379"/>
    <x v="233"/>
    <x v="2"/>
    <x v="1"/>
    <x v="1"/>
    <x v="3"/>
    <x v="20"/>
    <x v="10"/>
    <n v="1"/>
    <n v="2425"/>
    <n v="0"/>
    <n v="2425"/>
  </r>
  <r>
    <x v="380"/>
    <x v="84"/>
    <x v="4"/>
    <x v="2"/>
    <x v="1"/>
    <x v="3"/>
    <x v="21"/>
    <x v="13"/>
    <n v="2"/>
    <n v="3060"/>
    <n v="0.2"/>
    <n v="4896"/>
  </r>
  <r>
    <x v="381"/>
    <x v="212"/>
    <x v="3"/>
    <x v="2"/>
    <x v="1"/>
    <x v="3"/>
    <x v="9"/>
    <x v="11"/>
    <n v="1"/>
    <n v="1800"/>
    <n v="0.05"/>
    <n v="1710"/>
  </r>
  <r>
    <x v="382"/>
    <x v="234"/>
    <x v="0"/>
    <x v="1"/>
    <x v="0"/>
    <x v="1"/>
    <x v="8"/>
    <x v="5"/>
    <n v="5"/>
    <n v="450"/>
    <n v="0.03"/>
    <n v="2182.5"/>
  </r>
  <r>
    <x v="383"/>
    <x v="53"/>
    <x v="3"/>
    <x v="0"/>
    <x v="0"/>
    <x v="0"/>
    <x v="12"/>
    <x v="7"/>
    <n v="5"/>
    <n v="76"/>
    <n v="0.05"/>
    <n v="361"/>
  </r>
  <r>
    <x v="384"/>
    <x v="126"/>
    <x v="1"/>
    <x v="1"/>
    <x v="1"/>
    <x v="4"/>
    <x v="11"/>
    <x v="8"/>
    <n v="1"/>
    <n v="867"/>
    <n v="0.15"/>
    <n v="736.94999999999993"/>
  </r>
  <r>
    <x v="385"/>
    <x v="235"/>
    <x v="2"/>
    <x v="1"/>
    <x v="0"/>
    <x v="3"/>
    <x v="15"/>
    <x v="4"/>
    <n v="2"/>
    <n v="3200"/>
    <n v="0.1"/>
    <n v="5760"/>
  </r>
  <r>
    <x v="386"/>
    <x v="236"/>
    <x v="1"/>
    <x v="1"/>
    <x v="0"/>
    <x v="2"/>
    <x v="4"/>
    <x v="9"/>
    <n v="6"/>
    <n v="795"/>
    <n v="0"/>
    <n v="4770"/>
  </r>
  <r>
    <x v="387"/>
    <x v="237"/>
    <x v="4"/>
    <x v="0"/>
    <x v="0"/>
    <x v="2"/>
    <x v="2"/>
    <x v="13"/>
    <n v="2"/>
    <n v="20.8"/>
    <n v="0.05"/>
    <n v="39.519999999999996"/>
  </r>
  <r>
    <x v="388"/>
    <x v="17"/>
    <x v="4"/>
    <x v="2"/>
    <x v="1"/>
    <x v="5"/>
    <x v="24"/>
    <x v="12"/>
    <n v="6"/>
    <n v="35"/>
    <n v="0.05"/>
    <n v="199.5"/>
  </r>
  <r>
    <x v="389"/>
    <x v="238"/>
    <x v="2"/>
    <x v="0"/>
    <x v="1"/>
    <x v="0"/>
    <x v="14"/>
    <x v="3"/>
    <n v="5"/>
    <n v="56.1"/>
    <n v="0.05"/>
    <n v="266.47499999999997"/>
  </r>
  <r>
    <x v="390"/>
    <x v="29"/>
    <x v="1"/>
    <x v="0"/>
    <x v="0"/>
    <x v="0"/>
    <x v="0"/>
    <x v="9"/>
    <n v="1"/>
    <n v="15"/>
    <n v="0.05"/>
    <n v="14.25"/>
  </r>
  <r>
    <x v="391"/>
    <x v="239"/>
    <x v="2"/>
    <x v="0"/>
    <x v="1"/>
    <x v="1"/>
    <x v="1"/>
    <x v="4"/>
    <n v="2"/>
    <n v="95.4"/>
    <n v="0.08"/>
    <n v="175.53600000000003"/>
  </r>
  <r>
    <x v="392"/>
    <x v="29"/>
    <x v="4"/>
    <x v="0"/>
    <x v="1"/>
    <x v="0"/>
    <x v="12"/>
    <x v="13"/>
    <n v="6"/>
    <n v="76"/>
    <n v="0.03"/>
    <n v="442.32"/>
  </r>
  <r>
    <x v="393"/>
    <x v="94"/>
    <x v="1"/>
    <x v="1"/>
    <x v="1"/>
    <x v="1"/>
    <x v="25"/>
    <x v="9"/>
    <n v="1"/>
    <n v="58.2"/>
    <n v="0.08"/>
    <n v="53.544000000000004"/>
  </r>
  <r>
    <x v="394"/>
    <x v="209"/>
    <x v="2"/>
    <x v="1"/>
    <x v="0"/>
    <x v="4"/>
    <x v="11"/>
    <x v="3"/>
    <n v="1"/>
    <n v="850"/>
    <n v="0.1"/>
    <n v="765"/>
  </r>
  <r>
    <x v="395"/>
    <x v="240"/>
    <x v="2"/>
    <x v="1"/>
    <x v="0"/>
    <x v="0"/>
    <x v="12"/>
    <x v="10"/>
    <n v="5"/>
    <n v="83.2"/>
    <n v="0.05"/>
    <n v="395.2"/>
  </r>
  <r>
    <x v="396"/>
    <x v="98"/>
    <x v="1"/>
    <x v="3"/>
    <x v="1"/>
    <x v="1"/>
    <x v="8"/>
    <x v="8"/>
    <n v="3"/>
    <n v="477"/>
    <n v="0.2"/>
    <n v="1144.8"/>
  </r>
  <r>
    <x v="397"/>
    <x v="23"/>
    <x v="3"/>
    <x v="2"/>
    <x v="1"/>
    <x v="4"/>
    <x v="19"/>
    <x v="11"/>
    <n v="1"/>
    <n v="603.20000000000005"/>
    <n v="0.15"/>
    <n v="512.72"/>
  </r>
  <r>
    <x v="398"/>
    <x v="69"/>
    <x v="0"/>
    <x v="2"/>
    <x v="1"/>
    <x v="3"/>
    <x v="20"/>
    <x v="0"/>
    <n v="1"/>
    <n v="2500"/>
    <n v="0.03"/>
    <n v="2425"/>
  </r>
  <r>
    <x v="399"/>
    <x v="150"/>
    <x v="1"/>
    <x v="0"/>
    <x v="0"/>
    <x v="1"/>
    <x v="8"/>
    <x v="1"/>
    <n v="3"/>
    <n v="436.5"/>
    <n v="0.03"/>
    <n v="1270.2149999999999"/>
  </r>
  <r>
    <x v="400"/>
    <x v="220"/>
    <x v="4"/>
    <x v="0"/>
    <x v="1"/>
    <x v="4"/>
    <x v="13"/>
    <x v="12"/>
    <n v="2"/>
    <n v="1560"/>
    <n v="0.08"/>
    <n v="2870.4"/>
  </r>
  <r>
    <x v="401"/>
    <x v="97"/>
    <x v="4"/>
    <x v="2"/>
    <x v="1"/>
    <x v="3"/>
    <x v="21"/>
    <x v="14"/>
    <n v="1"/>
    <n v="3180"/>
    <n v="0.05"/>
    <n v="3021"/>
  </r>
  <r>
    <x v="402"/>
    <x v="57"/>
    <x v="0"/>
    <x v="3"/>
    <x v="1"/>
    <x v="1"/>
    <x v="1"/>
    <x v="2"/>
    <n v="1"/>
    <n v="90"/>
    <n v="0.08"/>
    <n v="82.8"/>
  </r>
  <r>
    <x v="403"/>
    <x v="199"/>
    <x v="0"/>
    <x v="2"/>
    <x v="0"/>
    <x v="2"/>
    <x v="3"/>
    <x v="5"/>
    <n v="10"/>
    <n v="271.60000000000002"/>
    <n v="0.08"/>
    <n v="2498.7200000000003"/>
  </r>
  <r>
    <x v="404"/>
    <x v="112"/>
    <x v="4"/>
    <x v="0"/>
    <x v="1"/>
    <x v="1"/>
    <x v="1"/>
    <x v="13"/>
    <n v="4"/>
    <n v="90"/>
    <n v="0.1"/>
    <n v="324"/>
  </r>
  <r>
    <x v="405"/>
    <x v="106"/>
    <x v="2"/>
    <x v="3"/>
    <x v="1"/>
    <x v="4"/>
    <x v="11"/>
    <x v="4"/>
    <n v="3"/>
    <n v="807.5"/>
    <n v="0.08"/>
    <n v="2228.7000000000003"/>
  </r>
  <r>
    <x v="406"/>
    <x v="94"/>
    <x v="0"/>
    <x v="0"/>
    <x v="1"/>
    <x v="2"/>
    <x v="3"/>
    <x v="2"/>
    <n v="4"/>
    <n v="280"/>
    <n v="0.05"/>
    <n v="1064"/>
  </r>
  <r>
    <x v="407"/>
    <x v="97"/>
    <x v="1"/>
    <x v="2"/>
    <x v="0"/>
    <x v="3"/>
    <x v="9"/>
    <x v="1"/>
    <n v="1"/>
    <n v="1836"/>
    <n v="0.15"/>
    <n v="1560.6"/>
  </r>
  <r>
    <x v="408"/>
    <x v="241"/>
    <x v="1"/>
    <x v="1"/>
    <x v="0"/>
    <x v="0"/>
    <x v="12"/>
    <x v="9"/>
    <n v="3"/>
    <n v="77.599999999999994"/>
    <n v="0.05"/>
    <n v="221.15999999999997"/>
  </r>
  <r>
    <x v="409"/>
    <x v="242"/>
    <x v="1"/>
    <x v="0"/>
    <x v="1"/>
    <x v="1"/>
    <x v="25"/>
    <x v="1"/>
    <n v="7"/>
    <n v="63.6"/>
    <n v="0.1"/>
    <n v="400.68"/>
  </r>
  <r>
    <x v="410"/>
    <x v="243"/>
    <x v="0"/>
    <x v="2"/>
    <x v="1"/>
    <x v="2"/>
    <x v="27"/>
    <x v="0"/>
    <n v="5"/>
    <n v="174.6"/>
    <n v="0.05"/>
    <n v="829.34999999999991"/>
  </r>
  <r>
    <x v="411"/>
    <x v="6"/>
    <x v="3"/>
    <x v="1"/>
    <x v="0"/>
    <x v="4"/>
    <x v="13"/>
    <x v="7"/>
    <n v="1"/>
    <n v="1500"/>
    <n v="0.03"/>
    <n v="1455"/>
  </r>
  <r>
    <x v="412"/>
    <x v="111"/>
    <x v="1"/>
    <x v="0"/>
    <x v="0"/>
    <x v="0"/>
    <x v="12"/>
    <x v="1"/>
    <n v="1"/>
    <n v="80"/>
    <n v="0.15"/>
    <n v="68"/>
  </r>
  <r>
    <x v="413"/>
    <x v="174"/>
    <x v="2"/>
    <x v="0"/>
    <x v="0"/>
    <x v="0"/>
    <x v="22"/>
    <x v="10"/>
    <n v="1"/>
    <n v="66.3"/>
    <n v="0"/>
    <n v="66.3"/>
  </r>
  <r>
    <x v="414"/>
    <x v="244"/>
    <x v="1"/>
    <x v="0"/>
    <x v="1"/>
    <x v="2"/>
    <x v="27"/>
    <x v="8"/>
    <n v="3"/>
    <n v="183.6"/>
    <n v="0.05"/>
    <n v="523.25999999999988"/>
  </r>
  <r>
    <x v="415"/>
    <x v="245"/>
    <x v="2"/>
    <x v="2"/>
    <x v="1"/>
    <x v="4"/>
    <x v="11"/>
    <x v="4"/>
    <n v="2"/>
    <n v="807.5"/>
    <n v="0.08"/>
    <n v="1485.8"/>
  </r>
  <r>
    <x v="416"/>
    <x v="151"/>
    <x v="4"/>
    <x v="2"/>
    <x v="0"/>
    <x v="2"/>
    <x v="27"/>
    <x v="13"/>
    <n v="9"/>
    <n v="183.6"/>
    <n v="0"/>
    <n v="1652.3999999999999"/>
  </r>
  <r>
    <x v="417"/>
    <x v="72"/>
    <x v="4"/>
    <x v="1"/>
    <x v="0"/>
    <x v="4"/>
    <x v="11"/>
    <x v="14"/>
    <n v="1"/>
    <n v="850"/>
    <n v="0.05"/>
    <n v="807.5"/>
  </r>
  <r>
    <x v="418"/>
    <x v="246"/>
    <x v="2"/>
    <x v="2"/>
    <x v="1"/>
    <x v="2"/>
    <x v="2"/>
    <x v="4"/>
    <n v="4"/>
    <n v="21.2"/>
    <n v="0.03"/>
    <n v="82.256"/>
  </r>
  <r>
    <x v="419"/>
    <x v="238"/>
    <x v="2"/>
    <x v="0"/>
    <x v="0"/>
    <x v="3"/>
    <x v="7"/>
    <x v="10"/>
    <n v="1"/>
    <n v="4200"/>
    <n v="0.15"/>
    <n v="3570"/>
  </r>
  <r>
    <x v="420"/>
    <x v="231"/>
    <x v="2"/>
    <x v="1"/>
    <x v="1"/>
    <x v="5"/>
    <x v="16"/>
    <x v="4"/>
    <n v="4"/>
    <n v="8.16"/>
    <n v="0.05"/>
    <n v="31.007999999999999"/>
  </r>
  <r>
    <x v="421"/>
    <x v="73"/>
    <x v="4"/>
    <x v="2"/>
    <x v="0"/>
    <x v="5"/>
    <x v="26"/>
    <x v="14"/>
    <n v="6"/>
    <n v="17.46"/>
    <n v="0.05"/>
    <n v="99.522000000000006"/>
  </r>
  <r>
    <x v="422"/>
    <x v="70"/>
    <x v="3"/>
    <x v="0"/>
    <x v="0"/>
    <x v="0"/>
    <x v="0"/>
    <x v="7"/>
    <n v="3"/>
    <n v="15"/>
    <n v="0.05"/>
    <n v="42.75"/>
  </r>
  <r>
    <x v="423"/>
    <x v="186"/>
    <x v="4"/>
    <x v="0"/>
    <x v="1"/>
    <x v="1"/>
    <x v="1"/>
    <x v="12"/>
    <n v="2"/>
    <n v="87.3"/>
    <n v="0.03"/>
    <n v="169.36199999999999"/>
  </r>
  <r>
    <x v="424"/>
    <x v="89"/>
    <x v="2"/>
    <x v="3"/>
    <x v="0"/>
    <x v="1"/>
    <x v="1"/>
    <x v="3"/>
    <n v="1"/>
    <n v="87.3"/>
    <n v="0.05"/>
    <n v="82.934999999999988"/>
  </r>
  <r>
    <x v="425"/>
    <x v="247"/>
    <x v="0"/>
    <x v="1"/>
    <x v="1"/>
    <x v="5"/>
    <x v="24"/>
    <x v="0"/>
    <n v="2"/>
    <n v="37.1"/>
    <n v="0.03"/>
    <n v="71.974000000000004"/>
  </r>
  <r>
    <x v="426"/>
    <x v="193"/>
    <x v="0"/>
    <x v="3"/>
    <x v="1"/>
    <x v="0"/>
    <x v="22"/>
    <x v="2"/>
    <n v="1"/>
    <n v="67.599999999999994"/>
    <n v="0"/>
    <n v="67.599999999999994"/>
  </r>
  <r>
    <x v="427"/>
    <x v="248"/>
    <x v="0"/>
    <x v="1"/>
    <x v="1"/>
    <x v="0"/>
    <x v="12"/>
    <x v="2"/>
    <n v="1"/>
    <n v="80"/>
    <n v="0.15"/>
    <n v="68"/>
  </r>
  <r>
    <x v="428"/>
    <x v="249"/>
    <x v="0"/>
    <x v="1"/>
    <x v="0"/>
    <x v="4"/>
    <x v="11"/>
    <x v="2"/>
    <n v="1"/>
    <n v="807.5"/>
    <n v="0.03"/>
    <n v="783.27499999999998"/>
  </r>
  <r>
    <x v="429"/>
    <x v="250"/>
    <x v="3"/>
    <x v="1"/>
    <x v="0"/>
    <x v="4"/>
    <x v="11"/>
    <x v="7"/>
    <n v="2"/>
    <n v="901"/>
    <n v="0.1"/>
    <n v="1621.8"/>
  </r>
  <r>
    <x v="430"/>
    <x v="251"/>
    <x v="0"/>
    <x v="0"/>
    <x v="0"/>
    <x v="4"/>
    <x v="19"/>
    <x v="0"/>
    <n v="1"/>
    <n v="614.79999999999995"/>
    <n v="0.08"/>
    <n v="565.61599999999999"/>
  </r>
  <r>
    <x v="431"/>
    <x v="252"/>
    <x v="1"/>
    <x v="2"/>
    <x v="0"/>
    <x v="3"/>
    <x v="21"/>
    <x v="9"/>
    <n v="1"/>
    <n v="2850"/>
    <n v="0.08"/>
    <n v="2622"/>
  </r>
  <r>
    <x v="432"/>
    <x v="143"/>
    <x v="1"/>
    <x v="0"/>
    <x v="0"/>
    <x v="0"/>
    <x v="10"/>
    <x v="9"/>
    <n v="2"/>
    <n v="38"/>
    <n v="0.05"/>
    <n v="72.2"/>
  </r>
  <r>
    <x v="433"/>
    <x v="76"/>
    <x v="0"/>
    <x v="1"/>
    <x v="1"/>
    <x v="3"/>
    <x v="7"/>
    <x v="5"/>
    <n v="1"/>
    <n v="4200"/>
    <n v="0.1"/>
    <n v="3780"/>
  </r>
  <r>
    <x v="434"/>
    <x v="107"/>
    <x v="4"/>
    <x v="2"/>
    <x v="1"/>
    <x v="3"/>
    <x v="20"/>
    <x v="12"/>
    <n v="1"/>
    <n v="2425"/>
    <n v="0.05"/>
    <n v="2303.75"/>
  </r>
  <r>
    <x v="435"/>
    <x v="253"/>
    <x v="4"/>
    <x v="1"/>
    <x v="0"/>
    <x v="0"/>
    <x v="6"/>
    <x v="14"/>
    <n v="1"/>
    <n v="42.75"/>
    <n v="0.03"/>
    <n v="41.467500000000001"/>
  </r>
  <r>
    <x v="436"/>
    <x v="137"/>
    <x v="0"/>
    <x v="0"/>
    <x v="0"/>
    <x v="4"/>
    <x v="13"/>
    <x v="2"/>
    <n v="1"/>
    <n v="1560"/>
    <n v="0.08"/>
    <n v="1435.2"/>
  </r>
  <r>
    <x v="437"/>
    <x v="40"/>
    <x v="2"/>
    <x v="0"/>
    <x v="1"/>
    <x v="0"/>
    <x v="10"/>
    <x v="10"/>
    <n v="1"/>
    <n v="39.520000000000003"/>
    <n v="0.08"/>
    <n v="36.358400000000003"/>
  </r>
  <r>
    <x v="438"/>
    <x v="11"/>
    <x v="3"/>
    <x v="3"/>
    <x v="0"/>
    <x v="1"/>
    <x v="5"/>
    <x v="7"/>
    <n v="4"/>
    <n v="332.8"/>
    <n v="0.08"/>
    <n v="1224.7040000000002"/>
  </r>
  <r>
    <x v="439"/>
    <x v="254"/>
    <x v="1"/>
    <x v="2"/>
    <x v="1"/>
    <x v="2"/>
    <x v="27"/>
    <x v="9"/>
    <n v="9"/>
    <n v="187.2"/>
    <n v="0.05"/>
    <n v="1600.56"/>
  </r>
  <r>
    <x v="440"/>
    <x v="53"/>
    <x v="2"/>
    <x v="3"/>
    <x v="1"/>
    <x v="0"/>
    <x v="0"/>
    <x v="4"/>
    <n v="1"/>
    <n v="15"/>
    <n v="0.15"/>
    <n v="12.75"/>
  </r>
  <r>
    <x v="441"/>
    <x v="255"/>
    <x v="2"/>
    <x v="1"/>
    <x v="0"/>
    <x v="5"/>
    <x v="16"/>
    <x v="10"/>
    <n v="2"/>
    <n v="7.76"/>
    <n v="0"/>
    <n v="15.52"/>
  </r>
  <r>
    <x v="442"/>
    <x v="4"/>
    <x v="1"/>
    <x v="1"/>
    <x v="1"/>
    <x v="0"/>
    <x v="22"/>
    <x v="8"/>
    <n v="1"/>
    <n v="68.900000000000006"/>
    <n v="0.08"/>
    <n v="63.388000000000005"/>
  </r>
  <r>
    <x v="443"/>
    <x v="151"/>
    <x v="0"/>
    <x v="2"/>
    <x v="1"/>
    <x v="3"/>
    <x v="20"/>
    <x v="2"/>
    <n v="4"/>
    <n v="2550"/>
    <n v="0.1"/>
    <n v="9180"/>
  </r>
  <r>
    <x v="444"/>
    <x v="250"/>
    <x v="0"/>
    <x v="0"/>
    <x v="1"/>
    <x v="1"/>
    <x v="25"/>
    <x v="2"/>
    <n v="2"/>
    <n v="57"/>
    <n v="0.08"/>
    <n v="104.88000000000001"/>
  </r>
  <r>
    <x v="445"/>
    <x v="256"/>
    <x v="2"/>
    <x v="0"/>
    <x v="0"/>
    <x v="1"/>
    <x v="25"/>
    <x v="3"/>
    <n v="1"/>
    <n v="60"/>
    <n v="0"/>
    <n v="60"/>
  </r>
  <r>
    <x v="446"/>
    <x v="81"/>
    <x v="4"/>
    <x v="0"/>
    <x v="1"/>
    <x v="3"/>
    <x v="20"/>
    <x v="12"/>
    <n v="1"/>
    <n v="2375"/>
    <n v="0.08"/>
    <n v="2185"/>
  </r>
  <r>
    <x v="447"/>
    <x v="206"/>
    <x v="2"/>
    <x v="3"/>
    <x v="1"/>
    <x v="0"/>
    <x v="0"/>
    <x v="3"/>
    <n v="4"/>
    <n v="15.9"/>
    <n v="0.03"/>
    <n v="61.692"/>
  </r>
  <r>
    <x v="448"/>
    <x v="140"/>
    <x v="4"/>
    <x v="0"/>
    <x v="1"/>
    <x v="0"/>
    <x v="22"/>
    <x v="14"/>
    <n v="5"/>
    <n v="65"/>
    <n v="0.03"/>
    <n v="315.25"/>
  </r>
  <r>
    <x v="449"/>
    <x v="126"/>
    <x v="1"/>
    <x v="3"/>
    <x v="1"/>
    <x v="4"/>
    <x v="13"/>
    <x v="1"/>
    <n v="1"/>
    <n v="1425"/>
    <n v="0.08"/>
    <n v="1311"/>
  </r>
  <r>
    <x v="450"/>
    <x v="100"/>
    <x v="2"/>
    <x v="1"/>
    <x v="1"/>
    <x v="0"/>
    <x v="0"/>
    <x v="3"/>
    <n v="2"/>
    <n v="14.25"/>
    <n v="0.1"/>
    <n v="25.650000000000002"/>
  </r>
  <r>
    <x v="451"/>
    <x v="196"/>
    <x v="0"/>
    <x v="3"/>
    <x v="0"/>
    <x v="0"/>
    <x v="6"/>
    <x v="5"/>
    <n v="1"/>
    <n v="45"/>
    <n v="0.05"/>
    <n v="42.75"/>
  </r>
  <r>
    <x v="452"/>
    <x v="92"/>
    <x v="2"/>
    <x v="1"/>
    <x v="0"/>
    <x v="1"/>
    <x v="5"/>
    <x v="4"/>
    <n v="4"/>
    <n v="332.8"/>
    <n v="0.08"/>
    <n v="1224.7040000000002"/>
  </r>
  <r>
    <x v="453"/>
    <x v="84"/>
    <x v="0"/>
    <x v="1"/>
    <x v="0"/>
    <x v="5"/>
    <x v="16"/>
    <x v="5"/>
    <n v="3"/>
    <n v="8.32"/>
    <n v="0.05"/>
    <n v="23.712"/>
  </r>
  <r>
    <x v="454"/>
    <x v="257"/>
    <x v="3"/>
    <x v="3"/>
    <x v="1"/>
    <x v="2"/>
    <x v="2"/>
    <x v="7"/>
    <n v="4"/>
    <n v="20.8"/>
    <n v="0.08"/>
    <n v="76.544000000000011"/>
  </r>
  <r>
    <x v="455"/>
    <x v="249"/>
    <x v="1"/>
    <x v="0"/>
    <x v="1"/>
    <x v="2"/>
    <x v="2"/>
    <x v="9"/>
    <n v="7"/>
    <n v="20.399999999999999"/>
    <n v="0.05"/>
    <n v="135.65999999999997"/>
  </r>
  <r>
    <x v="456"/>
    <x v="182"/>
    <x v="3"/>
    <x v="1"/>
    <x v="1"/>
    <x v="2"/>
    <x v="2"/>
    <x v="11"/>
    <n v="2"/>
    <n v="19"/>
    <n v="0.03"/>
    <n v="36.86"/>
  </r>
  <r>
    <x v="457"/>
    <x v="258"/>
    <x v="3"/>
    <x v="3"/>
    <x v="1"/>
    <x v="4"/>
    <x v="11"/>
    <x v="6"/>
    <n v="1"/>
    <n v="824.5"/>
    <n v="0.05"/>
    <n v="783.27499999999998"/>
  </r>
  <r>
    <x v="458"/>
    <x v="150"/>
    <x v="1"/>
    <x v="0"/>
    <x v="1"/>
    <x v="0"/>
    <x v="14"/>
    <x v="9"/>
    <n v="4"/>
    <n v="55"/>
    <n v="0.08"/>
    <n v="202.4"/>
  </r>
  <r>
    <x v="459"/>
    <x v="259"/>
    <x v="3"/>
    <x v="2"/>
    <x v="1"/>
    <x v="3"/>
    <x v="9"/>
    <x v="6"/>
    <n v="2"/>
    <n v="1710"/>
    <n v="0.08"/>
    <n v="3146.4"/>
  </r>
  <r>
    <x v="460"/>
    <x v="260"/>
    <x v="0"/>
    <x v="0"/>
    <x v="1"/>
    <x v="3"/>
    <x v="15"/>
    <x v="0"/>
    <n v="2"/>
    <n v="3200"/>
    <n v="0.1"/>
    <n v="5760"/>
  </r>
  <r>
    <x v="461"/>
    <x v="194"/>
    <x v="4"/>
    <x v="0"/>
    <x v="0"/>
    <x v="4"/>
    <x v="11"/>
    <x v="13"/>
    <n v="2"/>
    <n v="867"/>
    <n v="0"/>
    <n v="1734"/>
  </r>
  <r>
    <x v="462"/>
    <x v="207"/>
    <x v="3"/>
    <x v="2"/>
    <x v="1"/>
    <x v="3"/>
    <x v="7"/>
    <x v="11"/>
    <n v="2"/>
    <n v="4200"/>
    <n v="0.03"/>
    <n v="8148"/>
  </r>
  <r>
    <x v="463"/>
    <x v="167"/>
    <x v="0"/>
    <x v="1"/>
    <x v="0"/>
    <x v="3"/>
    <x v="7"/>
    <x v="0"/>
    <n v="2"/>
    <n v="4200"/>
    <n v="0.05"/>
    <n v="7980"/>
  </r>
  <r>
    <x v="464"/>
    <x v="261"/>
    <x v="1"/>
    <x v="1"/>
    <x v="1"/>
    <x v="4"/>
    <x v="11"/>
    <x v="8"/>
    <n v="1"/>
    <n v="824.5"/>
    <n v="0.05"/>
    <n v="783.27499999999998"/>
  </r>
  <r>
    <x v="465"/>
    <x v="13"/>
    <x v="2"/>
    <x v="1"/>
    <x v="1"/>
    <x v="0"/>
    <x v="10"/>
    <x v="3"/>
    <n v="4"/>
    <n v="36.1"/>
    <n v="0.03"/>
    <n v="140.06800000000001"/>
  </r>
  <r>
    <x v="466"/>
    <x v="3"/>
    <x v="1"/>
    <x v="0"/>
    <x v="0"/>
    <x v="5"/>
    <x v="18"/>
    <x v="1"/>
    <n v="1"/>
    <n v="12.24"/>
    <n v="0.08"/>
    <n v="11.260800000000001"/>
  </r>
  <r>
    <x v="467"/>
    <x v="55"/>
    <x v="4"/>
    <x v="1"/>
    <x v="0"/>
    <x v="5"/>
    <x v="24"/>
    <x v="14"/>
    <n v="2"/>
    <n v="33.25"/>
    <n v="0.1"/>
    <n v="59.85"/>
  </r>
  <r>
    <x v="468"/>
    <x v="231"/>
    <x v="4"/>
    <x v="2"/>
    <x v="0"/>
    <x v="4"/>
    <x v="13"/>
    <x v="12"/>
    <n v="2"/>
    <n v="1590"/>
    <n v="0.2"/>
    <n v="2544"/>
  </r>
  <r>
    <x v="469"/>
    <x v="0"/>
    <x v="4"/>
    <x v="3"/>
    <x v="1"/>
    <x v="0"/>
    <x v="6"/>
    <x v="14"/>
    <n v="1"/>
    <n v="45"/>
    <n v="0.1"/>
    <n v="40.5"/>
  </r>
  <r>
    <x v="470"/>
    <x v="17"/>
    <x v="3"/>
    <x v="0"/>
    <x v="1"/>
    <x v="1"/>
    <x v="25"/>
    <x v="7"/>
    <n v="1"/>
    <n v="58.2"/>
    <n v="0.15"/>
    <n v="49.47"/>
  </r>
  <r>
    <x v="471"/>
    <x v="134"/>
    <x v="1"/>
    <x v="2"/>
    <x v="1"/>
    <x v="4"/>
    <x v="19"/>
    <x v="8"/>
    <n v="1"/>
    <n v="580"/>
    <n v="0.2"/>
    <n v="464"/>
  </r>
  <r>
    <x v="472"/>
    <x v="154"/>
    <x v="2"/>
    <x v="3"/>
    <x v="0"/>
    <x v="4"/>
    <x v="11"/>
    <x v="4"/>
    <n v="1"/>
    <n v="807.5"/>
    <n v="0.05"/>
    <n v="767.125"/>
  </r>
  <r>
    <x v="473"/>
    <x v="262"/>
    <x v="4"/>
    <x v="0"/>
    <x v="0"/>
    <x v="3"/>
    <x v="15"/>
    <x v="14"/>
    <n v="1"/>
    <n v="3200"/>
    <n v="0.03"/>
    <n v="3104"/>
  </r>
  <r>
    <x v="474"/>
    <x v="184"/>
    <x v="0"/>
    <x v="1"/>
    <x v="1"/>
    <x v="5"/>
    <x v="18"/>
    <x v="2"/>
    <n v="1"/>
    <n v="12.48"/>
    <n v="0"/>
    <n v="12.48"/>
  </r>
  <r>
    <x v="475"/>
    <x v="141"/>
    <x v="1"/>
    <x v="0"/>
    <x v="1"/>
    <x v="4"/>
    <x v="11"/>
    <x v="8"/>
    <n v="1"/>
    <n v="850"/>
    <n v="0.1"/>
    <n v="765"/>
  </r>
  <r>
    <x v="476"/>
    <x v="83"/>
    <x v="3"/>
    <x v="3"/>
    <x v="0"/>
    <x v="2"/>
    <x v="4"/>
    <x v="7"/>
    <n v="1"/>
    <n v="765"/>
    <n v="0.08"/>
    <n v="703.80000000000007"/>
  </r>
  <r>
    <x v="477"/>
    <x v="263"/>
    <x v="3"/>
    <x v="0"/>
    <x v="0"/>
    <x v="3"/>
    <x v="7"/>
    <x v="7"/>
    <n v="1"/>
    <n v="4368"/>
    <n v="0.08"/>
    <n v="4018.5600000000004"/>
  </r>
  <r>
    <x v="478"/>
    <x v="116"/>
    <x v="2"/>
    <x v="0"/>
    <x v="0"/>
    <x v="0"/>
    <x v="12"/>
    <x v="4"/>
    <n v="3"/>
    <n v="80"/>
    <n v="0.1"/>
    <n v="216"/>
  </r>
  <r>
    <x v="479"/>
    <x v="264"/>
    <x v="2"/>
    <x v="0"/>
    <x v="1"/>
    <x v="0"/>
    <x v="12"/>
    <x v="3"/>
    <n v="4"/>
    <n v="84.8"/>
    <n v="0.05"/>
    <n v="322.23999999999995"/>
  </r>
  <r>
    <x v="480"/>
    <x v="183"/>
    <x v="2"/>
    <x v="0"/>
    <x v="1"/>
    <x v="2"/>
    <x v="2"/>
    <x v="10"/>
    <n v="1"/>
    <n v="20.8"/>
    <n v="0.08"/>
    <n v="19.136000000000003"/>
  </r>
  <r>
    <x v="481"/>
    <x v="168"/>
    <x v="2"/>
    <x v="3"/>
    <x v="1"/>
    <x v="1"/>
    <x v="25"/>
    <x v="10"/>
    <n v="6"/>
    <n v="63.6"/>
    <n v="0.05"/>
    <n v="362.52"/>
  </r>
  <r>
    <x v="482"/>
    <x v="239"/>
    <x v="4"/>
    <x v="0"/>
    <x v="1"/>
    <x v="1"/>
    <x v="8"/>
    <x v="13"/>
    <n v="2"/>
    <n v="436.5"/>
    <n v="0.1"/>
    <n v="785.7"/>
  </r>
  <r>
    <x v="483"/>
    <x v="265"/>
    <x v="1"/>
    <x v="1"/>
    <x v="1"/>
    <x v="4"/>
    <x v="19"/>
    <x v="9"/>
    <n v="1"/>
    <n v="580"/>
    <n v="0.08"/>
    <n v="533.6"/>
  </r>
  <r>
    <x v="484"/>
    <x v="235"/>
    <x v="1"/>
    <x v="1"/>
    <x v="1"/>
    <x v="0"/>
    <x v="12"/>
    <x v="1"/>
    <n v="2"/>
    <n v="80"/>
    <n v="0.08"/>
    <n v="147.20000000000002"/>
  </r>
  <r>
    <x v="485"/>
    <x v="215"/>
    <x v="2"/>
    <x v="1"/>
    <x v="1"/>
    <x v="4"/>
    <x v="17"/>
    <x v="3"/>
    <n v="1"/>
    <n v="728"/>
    <n v="0"/>
    <n v="728"/>
  </r>
  <r>
    <x v="486"/>
    <x v="4"/>
    <x v="3"/>
    <x v="3"/>
    <x v="0"/>
    <x v="0"/>
    <x v="0"/>
    <x v="6"/>
    <n v="4"/>
    <n v="15"/>
    <n v="0.03"/>
    <n v="58.199999999999996"/>
  </r>
  <r>
    <x v="487"/>
    <x v="194"/>
    <x v="4"/>
    <x v="1"/>
    <x v="1"/>
    <x v="5"/>
    <x v="16"/>
    <x v="13"/>
    <n v="2"/>
    <n v="8"/>
    <n v="0.05"/>
    <n v="15.2"/>
  </r>
  <r>
    <x v="488"/>
    <x v="47"/>
    <x v="3"/>
    <x v="3"/>
    <x v="0"/>
    <x v="0"/>
    <x v="0"/>
    <x v="11"/>
    <n v="2"/>
    <n v="14.25"/>
    <n v="0.05"/>
    <n v="27.074999999999999"/>
  </r>
  <r>
    <x v="489"/>
    <x v="94"/>
    <x v="2"/>
    <x v="0"/>
    <x v="0"/>
    <x v="1"/>
    <x v="25"/>
    <x v="4"/>
    <n v="2"/>
    <n v="57"/>
    <n v="0.1"/>
    <n v="102.60000000000001"/>
  </r>
  <r>
    <x v="490"/>
    <x v="199"/>
    <x v="3"/>
    <x v="0"/>
    <x v="1"/>
    <x v="4"/>
    <x v="17"/>
    <x v="6"/>
    <n v="1"/>
    <n v="742"/>
    <n v="0.1"/>
    <n v="667.80000000000007"/>
  </r>
  <r>
    <x v="491"/>
    <x v="11"/>
    <x v="1"/>
    <x v="1"/>
    <x v="1"/>
    <x v="0"/>
    <x v="22"/>
    <x v="1"/>
    <n v="3"/>
    <n v="61.75"/>
    <n v="0"/>
    <n v="185.25"/>
  </r>
  <r>
    <x v="492"/>
    <x v="238"/>
    <x v="1"/>
    <x v="0"/>
    <x v="0"/>
    <x v="0"/>
    <x v="22"/>
    <x v="8"/>
    <n v="4"/>
    <n v="65"/>
    <n v="0.05"/>
    <n v="247"/>
  </r>
  <r>
    <x v="493"/>
    <x v="208"/>
    <x v="3"/>
    <x v="0"/>
    <x v="1"/>
    <x v="4"/>
    <x v="19"/>
    <x v="11"/>
    <n v="2"/>
    <n v="562.6"/>
    <n v="0.03"/>
    <n v="1091.444"/>
  </r>
  <r>
    <x v="494"/>
    <x v="110"/>
    <x v="1"/>
    <x v="1"/>
    <x v="0"/>
    <x v="0"/>
    <x v="0"/>
    <x v="1"/>
    <n v="2"/>
    <n v="15"/>
    <n v="0.08"/>
    <n v="27.6"/>
  </r>
  <r>
    <x v="495"/>
    <x v="203"/>
    <x v="2"/>
    <x v="1"/>
    <x v="1"/>
    <x v="4"/>
    <x v="19"/>
    <x v="4"/>
    <n v="2"/>
    <n v="614.79999999999995"/>
    <n v="0.08"/>
    <n v="1131.232"/>
  </r>
  <r>
    <x v="496"/>
    <x v="213"/>
    <x v="3"/>
    <x v="0"/>
    <x v="1"/>
    <x v="1"/>
    <x v="5"/>
    <x v="11"/>
    <n v="3"/>
    <n v="339.2"/>
    <n v="0.08"/>
    <n v="936.19200000000001"/>
  </r>
  <r>
    <x v="497"/>
    <x v="23"/>
    <x v="1"/>
    <x v="2"/>
    <x v="1"/>
    <x v="0"/>
    <x v="6"/>
    <x v="1"/>
    <n v="8"/>
    <n v="47.7"/>
    <n v="0.03"/>
    <n v="370.15199999999999"/>
  </r>
  <r>
    <x v="498"/>
    <x v="229"/>
    <x v="4"/>
    <x v="0"/>
    <x v="1"/>
    <x v="1"/>
    <x v="8"/>
    <x v="13"/>
    <n v="4"/>
    <n v="450"/>
    <n v="0.05"/>
    <n v="1710"/>
  </r>
  <r>
    <x v="499"/>
    <x v="266"/>
    <x v="1"/>
    <x v="2"/>
    <x v="0"/>
    <x v="3"/>
    <x v="7"/>
    <x v="9"/>
    <n v="2"/>
    <n v="3990"/>
    <n v="0.03"/>
    <n v="7740.5999999999995"/>
  </r>
  <r>
    <x v="500"/>
    <x v="267"/>
    <x v="3"/>
    <x v="2"/>
    <x v="1"/>
    <x v="4"/>
    <x v="17"/>
    <x v="7"/>
    <n v="1"/>
    <n v="714"/>
    <n v="0.15"/>
    <n v="606.9"/>
  </r>
  <r>
    <x v="501"/>
    <x v="268"/>
    <x v="4"/>
    <x v="2"/>
    <x v="0"/>
    <x v="4"/>
    <x v="11"/>
    <x v="14"/>
    <n v="3"/>
    <n v="867"/>
    <n v="0.15"/>
    <n v="2210.85"/>
  </r>
  <r>
    <x v="502"/>
    <x v="56"/>
    <x v="4"/>
    <x v="0"/>
    <x v="1"/>
    <x v="1"/>
    <x v="5"/>
    <x v="14"/>
    <n v="1"/>
    <n v="332.8"/>
    <n v="0"/>
    <n v="332.8"/>
  </r>
  <r>
    <x v="503"/>
    <x v="220"/>
    <x v="0"/>
    <x v="0"/>
    <x v="0"/>
    <x v="5"/>
    <x v="24"/>
    <x v="5"/>
    <n v="5"/>
    <n v="37.1"/>
    <n v="0.03"/>
    <n v="179.935"/>
  </r>
  <r>
    <x v="504"/>
    <x v="136"/>
    <x v="4"/>
    <x v="0"/>
    <x v="0"/>
    <x v="0"/>
    <x v="12"/>
    <x v="13"/>
    <n v="5"/>
    <n v="76"/>
    <n v="0.15"/>
    <n v="323"/>
  </r>
  <r>
    <x v="505"/>
    <x v="269"/>
    <x v="1"/>
    <x v="3"/>
    <x v="0"/>
    <x v="0"/>
    <x v="6"/>
    <x v="9"/>
    <n v="1"/>
    <n v="45"/>
    <n v="0"/>
    <n v="45"/>
  </r>
  <r>
    <x v="506"/>
    <x v="115"/>
    <x v="2"/>
    <x v="0"/>
    <x v="0"/>
    <x v="5"/>
    <x v="23"/>
    <x v="4"/>
    <n v="2"/>
    <n v="25.5"/>
    <n v="0"/>
    <n v="51"/>
  </r>
  <r>
    <x v="507"/>
    <x v="270"/>
    <x v="4"/>
    <x v="1"/>
    <x v="0"/>
    <x v="5"/>
    <x v="24"/>
    <x v="14"/>
    <n v="1"/>
    <n v="35"/>
    <n v="0"/>
    <n v="35"/>
  </r>
  <r>
    <x v="508"/>
    <x v="178"/>
    <x v="2"/>
    <x v="0"/>
    <x v="0"/>
    <x v="0"/>
    <x v="12"/>
    <x v="3"/>
    <n v="1"/>
    <n v="77.599999999999994"/>
    <n v="0.03"/>
    <n v="75.271999999999991"/>
  </r>
  <r>
    <x v="509"/>
    <x v="76"/>
    <x v="3"/>
    <x v="1"/>
    <x v="0"/>
    <x v="3"/>
    <x v="9"/>
    <x v="7"/>
    <n v="1"/>
    <n v="1908"/>
    <n v="0"/>
    <n v="1908"/>
  </r>
  <r>
    <x v="510"/>
    <x v="271"/>
    <x v="2"/>
    <x v="1"/>
    <x v="0"/>
    <x v="4"/>
    <x v="17"/>
    <x v="4"/>
    <n v="1"/>
    <n v="714"/>
    <n v="0.1"/>
    <n v="642.6"/>
  </r>
  <r>
    <x v="511"/>
    <x v="181"/>
    <x v="1"/>
    <x v="3"/>
    <x v="1"/>
    <x v="4"/>
    <x v="11"/>
    <x v="9"/>
    <n v="3"/>
    <n v="824.5"/>
    <n v="0.15"/>
    <n v="2102.4749999999999"/>
  </r>
  <r>
    <x v="512"/>
    <x v="272"/>
    <x v="0"/>
    <x v="2"/>
    <x v="1"/>
    <x v="3"/>
    <x v="20"/>
    <x v="2"/>
    <n v="2"/>
    <n v="2500"/>
    <n v="0.08"/>
    <n v="4600"/>
  </r>
  <r>
    <x v="513"/>
    <x v="123"/>
    <x v="3"/>
    <x v="0"/>
    <x v="1"/>
    <x v="3"/>
    <x v="7"/>
    <x v="11"/>
    <n v="1"/>
    <n v="3990"/>
    <n v="0.03"/>
    <n v="3870.2999999999997"/>
  </r>
  <r>
    <x v="514"/>
    <x v="144"/>
    <x v="4"/>
    <x v="0"/>
    <x v="1"/>
    <x v="4"/>
    <x v="17"/>
    <x v="14"/>
    <n v="1"/>
    <n v="679"/>
    <n v="0.1"/>
    <n v="611.1"/>
  </r>
  <r>
    <x v="515"/>
    <x v="273"/>
    <x v="1"/>
    <x v="0"/>
    <x v="0"/>
    <x v="0"/>
    <x v="14"/>
    <x v="8"/>
    <n v="1"/>
    <n v="57.2"/>
    <n v="0"/>
    <n v="57.2"/>
  </r>
  <r>
    <x v="516"/>
    <x v="3"/>
    <x v="3"/>
    <x v="1"/>
    <x v="0"/>
    <x v="1"/>
    <x v="5"/>
    <x v="11"/>
    <n v="4"/>
    <n v="310.39999999999998"/>
    <n v="0.08"/>
    <n v="1142.2719999999999"/>
  </r>
  <r>
    <x v="517"/>
    <x v="274"/>
    <x v="1"/>
    <x v="1"/>
    <x v="1"/>
    <x v="0"/>
    <x v="14"/>
    <x v="8"/>
    <n v="3"/>
    <n v="53.35"/>
    <n v="0.08"/>
    <n v="147.24600000000001"/>
  </r>
  <r>
    <x v="518"/>
    <x v="57"/>
    <x v="4"/>
    <x v="2"/>
    <x v="0"/>
    <x v="3"/>
    <x v="20"/>
    <x v="14"/>
    <n v="2"/>
    <n v="2375"/>
    <n v="0.1"/>
    <n v="4275"/>
  </r>
  <r>
    <x v="519"/>
    <x v="273"/>
    <x v="1"/>
    <x v="1"/>
    <x v="0"/>
    <x v="5"/>
    <x v="24"/>
    <x v="8"/>
    <n v="6"/>
    <n v="35"/>
    <n v="0.15"/>
    <n v="178.5"/>
  </r>
  <r>
    <x v="520"/>
    <x v="125"/>
    <x v="3"/>
    <x v="1"/>
    <x v="1"/>
    <x v="4"/>
    <x v="11"/>
    <x v="6"/>
    <n v="1"/>
    <n v="850"/>
    <n v="0.2"/>
    <n v="680"/>
  </r>
  <r>
    <x v="521"/>
    <x v="139"/>
    <x v="3"/>
    <x v="0"/>
    <x v="1"/>
    <x v="5"/>
    <x v="18"/>
    <x v="11"/>
    <n v="4"/>
    <n v="12.48"/>
    <n v="0.05"/>
    <n v="47.423999999999999"/>
  </r>
  <r>
    <x v="522"/>
    <x v="207"/>
    <x v="4"/>
    <x v="1"/>
    <x v="1"/>
    <x v="4"/>
    <x v="11"/>
    <x v="14"/>
    <n v="3"/>
    <n v="884"/>
    <n v="0.05"/>
    <n v="2519.4"/>
  </r>
  <r>
    <x v="523"/>
    <x v="160"/>
    <x v="0"/>
    <x v="0"/>
    <x v="0"/>
    <x v="0"/>
    <x v="0"/>
    <x v="0"/>
    <n v="3"/>
    <n v="15.9"/>
    <n v="0.2"/>
    <n v="38.160000000000004"/>
  </r>
  <r>
    <x v="524"/>
    <x v="91"/>
    <x v="3"/>
    <x v="3"/>
    <x v="1"/>
    <x v="1"/>
    <x v="1"/>
    <x v="11"/>
    <n v="2"/>
    <n v="90"/>
    <n v="0.05"/>
    <n v="171"/>
  </r>
  <r>
    <x v="525"/>
    <x v="275"/>
    <x v="2"/>
    <x v="1"/>
    <x v="1"/>
    <x v="5"/>
    <x v="18"/>
    <x v="3"/>
    <n v="2"/>
    <n v="12"/>
    <n v="0.08"/>
    <n v="22.080000000000002"/>
  </r>
  <r>
    <x v="526"/>
    <x v="182"/>
    <x v="1"/>
    <x v="2"/>
    <x v="0"/>
    <x v="4"/>
    <x v="19"/>
    <x v="9"/>
    <n v="2"/>
    <n v="580"/>
    <n v="0.08"/>
    <n v="1067.2"/>
  </r>
  <r>
    <x v="527"/>
    <x v="112"/>
    <x v="1"/>
    <x v="1"/>
    <x v="0"/>
    <x v="1"/>
    <x v="8"/>
    <x v="8"/>
    <n v="3"/>
    <n v="450"/>
    <n v="0.2"/>
    <n v="1080"/>
  </r>
  <r>
    <x v="528"/>
    <x v="41"/>
    <x v="1"/>
    <x v="3"/>
    <x v="1"/>
    <x v="0"/>
    <x v="10"/>
    <x v="8"/>
    <n v="2"/>
    <n v="38"/>
    <n v="0"/>
    <n v="76"/>
  </r>
  <r>
    <x v="529"/>
    <x v="270"/>
    <x v="3"/>
    <x v="0"/>
    <x v="1"/>
    <x v="4"/>
    <x v="19"/>
    <x v="11"/>
    <n v="3"/>
    <n v="580"/>
    <n v="0.08"/>
    <n v="1600.8000000000002"/>
  </r>
  <r>
    <x v="530"/>
    <x v="183"/>
    <x v="1"/>
    <x v="3"/>
    <x v="0"/>
    <x v="0"/>
    <x v="10"/>
    <x v="1"/>
    <n v="5"/>
    <n v="38"/>
    <n v="0"/>
    <n v="190"/>
  </r>
  <r>
    <x v="531"/>
    <x v="169"/>
    <x v="1"/>
    <x v="0"/>
    <x v="1"/>
    <x v="5"/>
    <x v="24"/>
    <x v="1"/>
    <n v="2"/>
    <n v="35"/>
    <n v="0.1"/>
    <n v="63"/>
  </r>
  <r>
    <x v="532"/>
    <x v="228"/>
    <x v="3"/>
    <x v="1"/>
    <x v="1"/>
    <x v="5"/>
    <x v="26"/>
    <x v="7"/>
    <n v="1"/>
    <n v="18.72"/>
    <n v="0.05"/>
    <n v="17.783999999999999"/>
  </r>
  <r>
    <x v="533"/>
    <x v="276"/>
    <x v="0"/>
    <x v="0"/>
    <x v="1"/>
    <x v="1"/>
    <x v="8"/>
    <x v="2"/>
    <n v="1"/>
    <n v="427.5"/>
    <n v="0.05"/>
    <n v="406.125"/>
  </r>
  <r>
    <x v="534"/>
    <x v="170"/>
    <x v="3"/>
    <x v="0"/>
    <x v="1"/>
    <x v="3"/>
    <x v="9"/>
    <x v="11"/>
    <n v="1"/>
    <n v="1800"/>
    <n v="0.08"/>
    <n v="1656"/>
  </r>
  <r>
    <x v="535"/>
    <x v="257"/>
    <x v="4"/>
    <x v="0"/>
    <x v="1"/>
    <x v="2"/>
    <x v="3"/>
    <x v="12"/>
    <n v="7"/>
    <n v="285.60000000000002"/>
    <n v="0.08"/>
    <n v="1839.2640000000004"/>
  </r>
  <r>
    <x v="536"/>
    <x v="7"/>
    <x v="4"/>
    <x v="3"/>
    <x v="0"/>
    <x v="1"/>
    <x v="1"/>
    <x v="13"/>
    <n v="4"/>
    <n v="90"/>
    <n v="0.1"/>
    <n v="324"/>
  </r>
  <r>
    <x v="537"/>
    <x v="277"/>
    <x v="0"/>
    <x v="0"/>
    <x v="1"/>
    <x v="1"/>
    <x v="8"/>
    <x v="5"/>
    <n v="2"/>
    <n v="427.5"/>
    <n v="0.05"/>
    <n v="812.25"/>
  </r>
  <r>
    <x v="538"/>
    <x v="275"/>
    <x v="0"/>
    <x v="0"/>
    <x v="0"/>
    <x v="1"/>
    <x v="8"/>
    <x v="5"/>
    <n v="7"/>
    <n v="450"/>
    <n v="0.1"/>
    <n v="2835"/>
  </r>
  <r>
    <x v="539"/>
    <x v="13"/>
    <x v="3"/>
    <x v="0"/>
    <x v="1"/>
    <x v="5"/>
    <x v="16"/>
    <x v="11"/>
    <n v="6"/>
    <n v="8"/>
    <n v="0.1"/>
    <n v="43.2"/>
  </r>
  <r>
    <x v="540"/>
    <x v="264"/>
    <x v="3"/>
    <x v="1"/>
    <x v="1"/>
    <x v="3"/>
    <x v="7"/>
    <x v="11"/>
    <n v="1"/>
    <n v="4284"/>
    <n v="0.1"/>
    <n v="3855.6"/>
  </r>
  <r>
    <x v="541"/>
    <x v="57"/>
    <x v="4"/>
    <x v="3"/>
    <x v="0"/>
    <x v="5"/>
    <x v="18"/>
    <x v="13"/>
    <n v="1"/>
    <n v="12.72"/>
    <n v="0.2"/>
    <n v="10.176000000000002"/>
  </r>
  <r>
    <x v="542"/>
    <x v="278"/>
    <x v="0"/>
    <x v="0"/>
    <x v="1"/>
    <x v="3"/>
    <x v="21"/>
    <x v="0"/>
    <n v="3"/>
    <n v="2910"/>
    <n v="0.08"/>
    <n v="8031.6"/>
  </r>
  <r>
    <x v="543"/>
    <x v="21"/>
    <x v="1"/>
    <x v="0"/>
    <x v="1"/>
    <x v="5"/>
    <x v="18"/>
    <x v="9"/>
    <n v="6"/>
    <n v="11.4"/>
    <n v="0.08"/>
    <n v="62.928000000000011"/>
  </r>
  <r>
    <x v="544"/>
    <x v="221"/>
    <x v="3"/>
    <x v="1"/>
    <x v="1"/>
    <x v="2"/>
    <x v="27"/>
    <x v="6"/>
    <n v="2"/>
    <n v="190.8"/>
    <n v="0.1"/>
    <n v="343.44000000000005"/>
  </r>
  <r>
    <x v="545"/>
    <x v="248"/>
    <x v="4"/>
    <x v="2"/>
    <x v="1"/>
    <x v="3"/>
    <x v="21"/>
    <x v="13"/>
    <n v="1"/>
    <n v="3060"/>
    <n v="0.05"/>
    <n v="2907"/>
  </r>
  <r>
    <x v="546"/>
    <x v="194"/>
    <x v="2"/>
    <x v="1"/>
    <x v="1"/>
    <x v="0"/>
    <x v="14"/>
    <x v="10"/>
    <n v="3"/>
    <n v="55"/>
    <n v="0"/>
    <n v="165"/>
  </r>
  <r>
    <x v="547"/>
    <x v="279"/>
    <x v="2"/>
    <x v="2"/>
    <x v="1"/>
    <x v="1"/>
    <x v="25"/>
    <x v="4"/>
    <n v="3"/>
    <n v="63.6"/>
    <n v="0.1"/>
    <n v="171.72000000000003"/>
  </r>
  <r>
    <x v="548"/>
    <x v="126"/>
    <x v="2"/>
    <x v="2"/>
    <x v="1"/>
    <x v="4"/>
    <x v="19"/>
    <x v="3"/>
    <n v="1"/>
    <n v="580"/>
    <n v="0.2"/>
    <n v="464"/>
  </r>
  <r>
    <x v="549"/>
    <x v="154"/>
    <x v="2"/>
    <x v="0"/>
    <x v="1"/>
    <x v="0"/>
    <x v="6"/>
    <x v="3"/>
    <n v="5"/>
    <n v="45"/>
    <n v="0.1"/>
    <n v="202.5"/>
  </r>
  <r>
    <x v="550"/>
    <x v="89"/>
    <x v="3"/>
    <x v="0"/>
    <x v="1"/>
    <x v="2"/>
    <x v="3"/>
    <x v="7"/>
    <n v="2"/>
    <n v="280"/>
    <n v="0"/>
    <n v="560"/>
  </r>
  <r>
    <x v="551"/>
    <x v="197"/>
    <x v="0"/>
    <x v="0"/>
    <x v="1"/>
    <x v="2"/>
    <x v="3"/>
    <x v="0"/>
    <n v="3"/>
    <n v="296.8"/>
    <n v="0.1"/>
    <n v="801.36000000000013"/>
  </r>
  <r>
    <x v="552"/>
    <x v="49"/>
    <x v="2"/>
    <x v="1"/>
    <x v="1"/>
    <x v="0"/>
    <x v="22"/>
    <x v="4"/>
    <n v="2"/>
    <n v="67.599999999999994"/>
    <n v="0.15"/>
    <n v="114.91999999999999"/>
  </r>
  <r>
    <x v="553"/>
    <x v="220"/>
    <x v="2"/>
    <x v="2"/>
    <x v="1"/>
    <x v="3"/>
    <x v="20"/>
    <x v="10"/>
    <n v="1"/>
    <n v="2375"/>
    <n v="0.05"/>
    <n v="2256.25"/>
  </r>
  <r>
    <x v="554"/>
    <x v="143"/>
    <x v="4"/>
    <x v="2"/>
    <x v="1"/>
    <x v="4"/>
    <x v="19"/>
    <x v="12"/>
    <n v="1"/>
    <n v="580"/>
    <n v="0.15"/>
    <n v="493"/>
  </r>
  <r>
    <x v="555"/>
    <x v="280"/>
    <x v="2"/>
    <x v="1"/>
    <x v="0"/>
    <x v="0"/>
    <x v="6"/>
    <x v="3"/>
    <n v="2"/>
    <n v="45"/>
    <n v="0.1"/>
    <n v="81"/>
  </r>
  <r>
    <x v="556"/>
    <x v="281"/>
    <x v="2"/>
    <x v="0"/>
    <x v="1"/>
    <x v="0"/>
    <x v="22"/>
    <x v="4"/>
    <n v="3"/>
    <n v="61.75"/>
    <n v="0.08"/>
    <n v="170.43"/>
  </r>
  <r>
    <x v="557"/>
    <x v="282"/>
    <x v="3"/>
    <x v="0"/>
    <x v="1"/>
    <x v="4"/>
    <x v="11"/>
    <x v="7"/>
    <n v="5"/>
    <n v="824.5"/>
    <n v="0.2"/>
    <n v="3298"/>
  </r>
  <r>
    <x v="558"/>
    <x v="162"/>
    <x v="3"/>
    <x v="1"/>
    <x v="1"/>
    <x v="1"/>
    <x v="5"/>
    <x v="6"/>
    <n v="1"/>
    <n v="320"/>
    <n v="0"/>
    <n v="320"/>
  </r>
  <r>
    <x v="559"/>
    <x v="62"/>
    <x v="1"/>
    <x v="0"/>
    <x v="1"/>
    <x v="0"/>
    <x v="0"/>
    <x v="9"/>
    <n v="2"/>
    <n v="15.3"/>
    <n v="0.05"/>
    <n v="29.07"/>
  </r>
  <r>
    <x v="560"/>
    <x v="96"/>
    <x v="0"/>
    <x v="0"/>
    <x v="1"/>
    <x v="2"/>
    <x v="4"/>
    <x v="0"/>
    <n v="4"/>
    <n v="750"/>
    <n v="0.05"/>
    <n v="2850"/>
  </r>
  <r>
    <x v="561"/>
    <x v="212"/>
    <x v="0"/>
    <x v="1"/>
    <x v="0"/>
    <x v="0"/>
    <x v="0"/>
    <x v="0"/>
    <n v="1"/>
    <n v="15.3"/>
    <n v="0"/>
    <n v="15.3"/>
  </r>
  <r>
    <x v="562"/>
    <x v="92"/>
    <x v="4"/>
    <x v="0"/>
    <x v="1"/>
    <x v="0"/>
    <x v="12"/>
    <x v="13"/>
    <n v="1"/>
    <n v="84.8"/>
    <n v="0.05"/>
    <n v="80.559999999999988"/>
  </r>
  <r>
    <x v="563"/>
    <x v="257"/>
    <x v="2"/>
    <x v="0"/>
    <x v="1"/>
    <x v="0"/>
    <x v="10"/>
    <x v="4"/>
    <n v="1"/>
    <n v="38"/>
    <n v="0.03"/>
    <n v="36.86"/>
  </r>
  <r>
    <x v="564"/>
    <x v="58"/>
    <x v="2"/>
    <x v="3"/>
    <x v="1"/>
    <x v="0"/>
    <x v="10"/>
    <x v="4"/>
    <n v="6"/>
    <n v="38"/>
    <n v="0.08"/>
    <n v="209.76000000000002"/>
  </r>
  <r>
    <x v="565"/>
    <x v="283"/>
    <x v="2"/>
    <x v="3"/>
    <x v="1"/>
    <x v="0"/>
    <x v="12"/>
    <x v="3"/>
    <n v="5"/>
    <n v="84.8"/>
    <n v="0.05"/>
    <n v="402.79999999999995"/>
  </r>
  <r>
    <x v="566"/>
    <x v="11"/>
    <x v="2"/>
    <x v="1"/>
    <x v="1"/>
    <x v="3"/>
    <x v="7"/>
    <x v="10"/>
    <n v="2"/>
    <n v="4200"/>
    <n v="0.1"/>
    <n v="7560"/>
  </r>
  <r>
    <x v="567"/>
    <x v="283"/>
    <x v="2"/>
    <x v="3"/>
    <x v="0"/>
    <x v="4"/>
    <x v="19"/>
    <x v="4"/>
    <n v="2"/>
    <n v="603.20000000000005"/>
    <n v="0.08"/>
    <n v="1109.8880000000001"/>
  </r>
  <r>
    <x v="568"/>
    <x v="250"/>
    <x v="1"/>
    <x v="0"/>
    <x v="1"/>
    <x v="1"/>
    <x v="1"/>
    <x v="8"/>
    <n v="1"/>
    <n v="90"/>
    <n v="0.05"/>
    <n v="85.5"/>
  </r>
  <r>
    <x v="569"/>
    <x v="154"/>
    <x v="1"/>
    <x v="0"/>
    <x v="1"/>
    <x v="5"/>
    <x v="16"/>
    <x v="1"/>
    <n v="7"/>
    <n v="7.6"/>
    <n v="0.08"/>
    <n v="48.943999999999996"/>
  </r>
  <r>
    <x v="570"/>
    <x v="284"/>
    <x v="2"/>
    <x v="3"/>
    <x v="1"/>
    <x v="1"/>
    <x v="8"/>
    <x v="4"/>
    <n v="2"/>
    <n v="436.5"/>
    <n v="0.1"/>
    <n v="785.7"/>
  </r>
  <r>
    <x v="571"/>
    <x v="165"/>
    <x v="0"/>
    <x v="2"/>
    <x v="1"/>
    <x v="4"/>
    <x v="11"/>
    <x v="0"/>
    <n v="2"/>
    <n v="824.5"/>
    <n v="0.05"/>
    <n v="1566.55"/>
  </r>
  <r>
    <x v="572"/>
    <x v="79"/>
    <x v="0"/>
    <x v="3"/>
    <x v="0"/>
    <x v="3"/>
    <x v="21"/>
    <x v="5"/>
    <n v="1"/>
    <n v="2850"/>
    <n v="0.03"/>
    <n v="2764.5"/>
  </r>
  <r>
    <x v="573"/>
    <x v="161"/>
    <x v="0"/>
    <x v="0"/>
    <x v="1"/>
    <x v="0"/>
    <x v="6"/>
    <x v="5"/>
    <n v="4"/>
    <n v="47.7"/>
    <n v="0.1"/>
    <n v="171.72000000000003"/>
  </r>
  <r>
    <x v="574"/>
    <x v="53"/>
    <x v="0"/>
    <x v="0"/>
    <x v="1"/>
    <x v="4"/>
    <x v="17"/>
    <x v="2"/>
    <n v="1"/>
    <n v="700"/>
    <n v="0.05"/>
    <n v="665"/>
  </r>
  <r>
    <x v="575"/>
    <x v="285"/>
    <x v="3"/>
    <x v="1"/>
    <x v="1"/>
    <x v="5"/>
    <x v="24"/>
    <x v="7"/>
    <n v="3"/>
    <n v="37.1"/>
    <n v="0.1"/>
    <n v="100.17000000000002"/>
  </r>
  <r>
    <x v="576"/>
    <x v="23"/>
    <x v="2"/>
    <x v="3"/>
    <x v="1"/>
    <x v="0"/>
    <x v="22"/>
    <x v="10"/>
    <n v="7"/>
    <n v="65"/>
    <n v="0"/>
    <n v="455"/>
  </r>
  <r>
    <x v="577"/>
    <x v="76"/>
    <x v="2"/>
    <x v="0"/>
    <x v="0"/>
    <x v="2"/>
    <x v="3"/>
    <x v="10"/>
    <n v="2"/>
    <n v="280"/>
    <n v="0.08"/>
    <n v="515.20000000000005"/>
  </r>
  <r>
    <x v="578"/>
    <x v="195"/>
    <x v="1"/>
    <x v="2"/>
    <x v="0"/>
    <x v="0"/>
    <x v="22"/>
    <x v="8"/>
    <n v="6"/>
    <n v="66.3"/>
    <n v="0.05"/>
    <n v="377.90999999999991"/>
  </r>
  <r>
    <x v="579"/>
    <x v="41"/>
    <x v="1"/>
    <x v="2"/>
    <x v="1"/>
    <x v="4"/>
    <x v="13"/>
    <x v="9"/>
    <n v="3"/>
    <n v="1500"/>
    <n v="0.05"/>
    <n v="4275"/>
  </r>
  <r>
    <x v="580"/>
    <x v="5"/>
    <x v="3"/>
    <x v="2"/>
    <x v="0"/>
    <x v="3"/>
    <x v="7"/>
    <x v="7"/>
    <n v="1"/>
    <n v="4200"/>
    <n v="0.03"/>
    <n v="4074"/>
  </r>
  <r>
    <x v="581"/>
    <x v="94"/>
    <x v="3"/>
    <x v="2"/>
    <x v="1"/>
    <x v="3"/>
    <x v="20"/>
    <x v="6"/>
    <n v="1"/>
    <n v="2425"/>
    <n v="0.05"/>
    <n v="2303.75"/>
  </r>
  <r>
    <x v="582"/>
    <x v="234"/>
    <x v="2"/>
    <x v="1"/>
    <x v="0"/>
    <x v="3"/>
    <x v="9"/>
    <x v="10"/>
    <n v="1"/>
    <n v="1800"/>
    <n v="0.08"/>
    <n v="1656"/>
  </r>
  <r>
    <x v="583"/>
    <x v="176"/>
    <x v="3"/>
    <x v="1"/>
    <x v="1"/>
    <x v="0"/>
    <x v="14"/>
    <x v="7"/>
    <n v="1"/>
    <n v="56.1"/>
    <n v="0.2"/>
    <n v="44.88"/>
  </r>
  <r>
    <x v="584"/>
    <x v="141"/>
    <x v="0"/>
    <x v="0"/>
    <x v="1"/>
    <x v="2"/>
    <x v="4"/>
    <x v="2"/>
    <n v="2"/>
    <n v="795"/>
    <n v="0.03"/>
    <n v="1542.3"/>
  </r>
  <r>
    <x v="585"/>
    <x v="177"/>
    <x v="0"/>
    <x v="0"/>
    <x v="0"/>
    <x v="1"/>
    <x v="5"/>
    <x v="5"/>
    <n v="2"/>
    <n v="339.2"/>
    <n v="0.05"/>
    <n v="644.4799999999999"/>
  </r>
  <r>
    <x v="586"/>
    <x v="208"/>
    <x v="1"/>
    <x v="2"/>
    <x v="1"/>
    <x v="3"/>
    <x v="15"/>
    <x v="8"/>
    <n v="1"/>
    <n v="3392"/>
    <n v="0.2"/>
    <n v="2713.6000000000004"/>
  </r>
  <r>
    <x v="587"/>
    <x v="286"/>
    <x v="4"/>
    <x v="1"/>
    <x v="1"/>
    <x v="5"/>
    <x v="24"/>
    <x v="14"/>
    <n v="1"/>
    <n v="36.4"/>
    <n v="0.15"/>
    <n v="30.939999999999998"/>
  </r>
  <r>
    <x v="588"/>
    <x v="231"/>
    <x v="4"/>
    <x v="0"/>
    <x v="1"/>
    <x v="5"/>
    <x v="23"/>
    <x v="14"/>
    <n v="4"/>
    <n v="25"/>
    <n v="0.08"/>
    <n v="92"/>
  </r>
  <r>
    <x v="589"/>
    <x v="287"/>
    <x v="2"/>
    <x v="2"/>
    <x v="1"/>
    <x v="1"/>
    <x v="1"/>
    <x v="10"/>
    <n v="11"/>
    <n v="90"/>
    <n v="0.1"/>
    <n v="891"/>
  </r>
  <r>
    <x v="590"/>
    <x v="288"/>
    <x v="3"/>
    <x v="1"/>
    <x v="0"/>
    <x v="2"/>
    <x v="27"/>
    <x v="11"/>
    <n v="1"/>
    <n v="174.6"/>
    <n v="0.05"/>
    <n v="165.86999999999998"/>
  </r>
  <r>
    <x v="591"/>
    <x v="120"/>
    <x v="1"/>
    <x v="1"/>
    <x v="1"/>
    <x v="0"/>
    <x v="14"/>
    <x v="9"/>
    <n v="3"/>
    <n v="55"/>
    <n v="0"/>
    <n v="165"/>
  </r>
  <r>
    <x v="592"/>
    <x v="287"/>
    <x v="1"/>
    <x v="2"/>
    <x v="0"/>
    <x v="5"/>
    <x v="18"/>
    <x v="8"/>
    <n v="5"/>
    <n v="12"/>
    <n v="0.1"/>
    <n v="54"/>
  </r>
  <r>
    <x v="593"/>
    <x v="251"/>
    <x v="0"/>
    <x v="0"/>
    <x v="0"/>
    <x v="2"/>
    <x v="4"/>
    <x v="0"/>
    <n v="1"/>
    <n v="712.5"/>
    <n v="0.05"/>
    <n v="676.875"/>
  </r>
  <r>
    <x v="594"/>
    <x v="289"/>
    <x v="1"/>
    <x v="1"/>
    <x v="1"/>
    <x v="1"/>
    <x v="1"/>
    <x v="1"/>
    <n v="2"/>
    <n v="87.3"/>
    <n v="0.1"/>
    <n v="157.13999999999999"/>
  </r>
  <r>
    <x v="595"/>
    <x v="209"/>
    <x v="1"/>
    <x v="0"/>
    <x v="1"/>
    <x v="1"/>
    <x v="25"/>
    <x v="8"/>
    <n v="1"/>
    <n v="60"/>
    <n v="0.08"/>
    <n v="55.2"/>
  </r>
  <r>
    <x v="596"/>
    <x v="125"/>
    <x v="2"/>
    <x v="0"/>
    <x v="1"/>
    <x v="0"/>
    <x v="22"/>
    <x v="10"/>
    <n v="4"/>
    <n v="65"/>
    <n v="0.1"/>
    <n v="234"/>
  </r>
  <r>
    <x v="597"/>
    <x v="290"/>
    <x v="4"/>
    <x v="3"/>
    <x v="1"/>
    <x v="0"/>
    <x v="0"/>
    <x v="13"/>
    <n v="1"/>
    <n v="15.3"/>
    <n v="0.08"/>
    <n v="14.076000000000001"/>
  </r>
  <r>
    <x v="598"/>
    <x v="268"/>
    <x v="4"/>
    <x v="2"/>
    <x v="1"/>
    <x v="2"/>
    <x v="4"/>
    <x v="13"/>
    <n v="4"/>
    <n v="727.5"/>
    <n v="0.08"/>
    <n v="2677.2000000000003"/>
  </r>
  <r>
    <x v="599"/>
    <x v="291"/>
    <x v="1"/>
    <x v="3"/>
    <x v="1"/>
    <x v="4"/>
    <x v="19"/>
    <x v="1"/>
    <n v="1"/>
    <n v="603.20000000000005"/>
    <n v="0"/>
    <n v="603.20000000000005"/>
  </r>
  <r>
    <x v="600"/>
    <x v="267"/>
    <x v="4"/>
    <x v="2"/>
    <x v="0"/>
    <x v="4"/>
    <x v="13"/>
    <x v="13"/>
    <n v="2"/>
    <n v="1500"/>
    <n v="0"/>
    <n v="3000"/>
  </r>
  <r>
    <x v="601"/>
    <x v="160"/>
    <x v="0"/>
    <x v="2"/>
    <x v="0"/>
    <x v="3"/>
    <x v="15"/>
    <x v="0"/>
    <n v="1"/>
    <n v="3328"/>
    <n v="0.1"/>
    <n v="2995.2000000000003"/>
  </r>
  <r>
    <x v="602"/>
    <x v="38"/>
    <x v="0"/>
    <x v="0"/>
    <x v="0"/>
    <x v="1"/>
    <x v="8"/>
    <x v="0"/>
    <n v="1"/>
    <n v="477"/>
    <n v="0"/>
    <n v="477"/>
  </r>
  <r>
    <x v="603"/>
    <x v="252"/>
    <x v="0"/>
    <x v="2"/>
    <x v="1"/>
    <x v="3"/>
    <x v="20"/>
    <x v="0"/>
    <n v="1"/>
    <n v="2500"/>
    <n v="0"/>
    <n v="2500"/>
  </r>
  <r>
    <x v="604"/>
    <x v="11"/>
    <x v="3"/>
    <x v="0"/>
    <x v="0"/>
    <x v="4"/>
    <x v="11"/>
    <x v="6"/>
    <n v="1"/>
    <n v="824.5"/>
    <n v="0.1"/>
    <n v="742.05000000000007"/>
  </r>
  <r>
    <x v="605"/>
    <x v="130"/>
    <x v="2"/>
    <x v="0"/>
    <x v="1"/>
    <x v="4"/>
    <x v="19"/>
    <x v="3"/>
    <n v="4"/>
    <n v="580"/>
    <n v="0.1"/>
    <n v="2088"/>
  </r>
  <r>
    <x v="606"/>
    <x v="224"/>
    <x v="2"/>
    <x v="2"/>
    <x v="0"/>
    <x v="5"/>
    <x v="26"/>
    <x v="10"/>
    <n v="4"/>
    <n v="18.72"/>
    <n v="0.03"/>
    <n v="72.633599999999987"/>
  </r>
  <r>
    <x v="607"/>
    <x v="292"/>
    <x v="2"/>
    <x v="0"/>
    <x v="0"/>
    <x v="1"/>
    <x v="25"/>
    <x v="3"/>
    <n v="1"/>
    <n v="57"/>
    <n v="0.05"/>
    <n v="54.15"/>
  </r>
  <r>
    <x v="608"/>
    <x v="213"/>
    <x v="0"/>
    <x v="2"/>
    <x v="1"/>
    <x v="3"/>
    <x v="7"/>
    <x v="0"/>
    <n v="4"/>
    <n v="4200"/>
    <n v="0.05"/>
    <n v="15960"/>
  </r>
  <r>
    <x v="609"/>
    <x v="196"/>
    <x v="1"/>
    <x v="2"/>
    <x v="0"/>
    <x v="2"/>
    <x v="27"/>
    <x v="8"/>
    <n v="6"/>
    <n v="174.6"/>
    <n v="0.08"/>
    <n v="963.79199999999992"/>
  </r>
  <r>
    <x v="610"/>
    <x v="24"/>
    <x v="4"/>
    <x v="2"/>
    <x v="1"/>
    <x v="5"/>
    <x v="18"/>
    <x v="13"/>
    <n v="6"/>
    <n v="11.64"/>
    <n v="0.03"/>
    <n v="67.744799999999998"/>
  </r>
  <r>
    <x v="611"/>
    <x v="173"/>
    <x v="2"/>
    <x v="3"/>
    <x v="1"/>
    <x v="0"/>
    <x v="0"/>
    <x v="3"/>
    <n v="4"/>
    <n v="15"/>
    <n v="0.15"/>
    <n v="51"/>
  </r>
  <r>
    <x v="612"/>
    <x v="219"/>
    <x v="1"/>
    <x v="1"/>
    <x v="1"/>
    <x v="3"/>
    <x v="7"/>
    <x v="1"/>
    <n v="1"/>
    <n v="4074"/>
    <n v="0.05"/>
    <n v="3870.2999999999997"/>
  </r>
  <r>
    <x v="613"/>
    <x v="293"/>
    <x v="2"/>
    <x v="2"/>
    <x v="1"/>
    <x v="4"/>
    <x v="19"/>
    <x v="10"/>
    <n v="1"/>
    <n v="580"/>
    <n v="0.1"/>
    <n v="522"/>
  </r>
  <r>
    <x v="614"/>
    <x v="213"/>
    <x v="2"/>
    <x v="0"/>
    <x v="1"/>
    <x v="1"/>
    <x v="1"/>
    <x v="4"/>
    <n v="2"/>
    <n v="90"/>
    <n v="0.05"/>
    <n v="171"/>
  </r>
  <r>
    <x v="615"/>
    <x v="191"/>
    <x v="3"/>
    <x v="1"/>
    <x v="0"/>
    <x v="5"/>
    <x v="26"/>
    <x v="11"/>
    <n v="2"/>
    <n v="17.46"/>
    <n v="0.03"/>
    <n v="33.872399999999999"/>
  </r>
  <r>
    <x v="616"/>
    <x v="117"/>
    <x v="2"/>
    <x v="1"/>
    <x v="1"/>
    <x v="3"/>
    <x v="20"/>
    <x v="3"/>
    <n v="1"/>
    <n v="2650"/>
    <n v="0.05"/>
    <n v="2517.5"/>
  </r>
  <r>
    <x v="617"/>
    <x v="176"/>
    <x v="1"/>
    <x v="1"/>
    <x v="1"/>
    <x v="4"/>
    <x v="17"/>
    <x v="1"/>
    <n v="2"/>
    <n v="742"/>
    <n v="0"/>
    <n v="1484"/>
  </r>
  <r>
    <x v="618"/>
    <x v="286"/>
    <x v="1"/>
    <x v="0"/>
    <x v="1"/>
    <x v="1"/>
    <x v="25"/>
    <x v="1"/>
    <n v="1"/>
    <n v="61.2"/>
    <n v="0.1"/>
    <n v="55.080000000000005"/>
  </r>
  <r>
    <x v="619"/>
    <x v="202"/>
    <x v="3"/>
    <x v="1"/>
    <x v="1"/>
    <x v="1"/>
    <x v="1"/>
    <x v="11"/>
    <n v="2"/>
    <n v="87.3"/>
    <n v="0.2"/>
    <n v="139.68"/>
  </r>
  <r>
    <x v="620"/>
    <x v="219"/>
    <x v="4"/>
    <x v="0"/>
    <x v="0"/>
    <x v="0"/>
    <x v="0"/>
    <x v="13"/>
    <n v="5"/>
    <n v="14.55"/>
    <n v="0"/>
    <n v="72.75"/>
  </r>
  <r>
    <x v="621"/>
    <x v="294"/>
    <x v="2"/>
    <x v="2"/>
    <x v="1"/>
    <x v="4"/>
    <x v="17"/>
    <x v="10"/>
    <n v="1"/>
    <n v="700"/>
    <n v="0.08"/>
    <n v="644"/>
  </r>
  <r>
    <x v="622"/>
    <x v="64"/>
    <x v="1"/>
    <x v="0"/>
    <x v="0"/>
    <x v="4"/>
    <x v="11"/>
    <x v="8"/>
    <n v="1"/>
    <n v="867"/>
    <n v="0.15"/>
    <n v="736.94999999999993"/>
  </r>
  <r>
    <x v="623"/>
    <x v="201"/>
    <x v="4"/>
    <x v="3"/>
    <x v="0"/>
    <x v="1"/>
    <x v="8"/>
    <x v="12"/>
    <n v="2"/>
    <n v="450"/>
    <n v="0"/>
    <n v="900"/>
  </r>
  <r>
    <x v="624"/>
    <x v="275"/>
    <x v="0"/>
    <x v="3"/>
    <x v="1"/>
    <x v="1"/>
    <x v="25"/>
    <x v="2"/>
    <n v="1"/>
    <n v="60"/>
    <n v="0.15"/>
    <n v="51"/>
  </r>
  <r>
    <x v="625"/>
    <x v="234"/>
    <x v="3"/>
    <x v="2"/>
    <x v="0"/>
    <x v="5"/>
    <x v="26"/>
    <x v="7"/>
    <n v="4"/>
    <n v="18.36"/>
    <n v="0.08"/>
    <n v="67.564800000000005"/>
  </r>
  <r>
    <x v="626"/>
    <x v="277"/>
    <x v="0"/>
    <x v="0"/>
    <x v="0"/>
    <x v="1"/>
    <x v="5"/>
    <x v="5"/>
    <n v="1"/>
    <n v="339.2"/>
    <n v="0.15"/>
    <n v="288.32"/>
  </r>
  <r>
    <x v="627"/>
    <x v="116"/>
    <x v="3"/>
    <x v="1"/>
    <x v="1"/>
    <x v="5"/>
    <x v="26"/>
    <x v="6"/>
    <n v="3"/>
    <n v="17.100000000000001"/>
    <n v="0.08"/>
    <n v="47.196000000000005"/>
  </r>
  <r>
    <x v="628"/>
    <x v="206"/>
    <x v="0"/>
    <x v="0"/>
    <x v="1"/>
    <x v="3"/>
    <x v="15"/>
    <x v="2"/>
    <n v="2"/>
    <n v="3200"/>
    <n v="0.03"/>
    <n v="6208"/>
  </r>
  <r>
    <x v="629"/>
    <x v="26"/>
    <x v="0"/>
    <x v="0"/>
    <x v="0"/>
    <x v="0"/>
    <x v="6"/>
    <x v="2"/>
    <n v="5"/>
    <n v="45"/>
    <n v="0.03"/>
    <n v="218.25"/>
  </r>
  <r>
    <x v="630"/>
    <x v="114"/>
    <x v="1"/>
    <x v="3"/>
    <x v="0"/>
    <x v="0"/>
    <x v="6"/>
    <x v="8"/>
    <n v="4"/>
    <n v="45"/>
    <n v="0.05"/>
    <n v="171"/>
  </r>
  <r>
    <x v="631"/>
    <x v="160"/>
    <x v="2"/>
    <x v="2"/>
    <x v="1"/>
    <x v="0"/>
    <x v="6"/>
    <x v="3"/>
    <n v="8"/>
    <n v="45.9"/>
    <n v="0.15"/>
    <n v="312.12"/>
  </r>
  <r>
    <x v="632"/>
    <x v="107"/>
    <x v="0"/>
    <x v="0"/>
    <x v="1"/>
    <x v="1"/>
    <x v="5"/>
    <x v="0"/>
    <n v="1"/>
    <n v="320"/>
    <n v="0.1"/>
    <n v="288"/>
  </r>
  <r>
    <x v="633"/>
    <x v="27"/>
    <x v="1"/>
    <x v="2"/>
    <x v="1"/>
    <x v="4"/>
    <x v="19"/>
    <x v="9"/>
    <n v="2"/>
    <n v="580"/>
    <n v="0.1"/>
    <n v="1044"/>
  </r>
  <r>
    <x v="634"/>
    <x v="224"/>
    <x v="0"/>
    <x v="3"/>
    <x v="1"/>
    <x v="2"/>
    <x v="4"/>
    <x v="2"/>
    <n v="1"/>
    <n v="750"/>
    <n v="0.03"/>
    <n v="727.5"/>
  </r>
  <r>
    <x v="635"/>
    <x v="18"/>
    <x v="3"/>
    <x v="0"/>
    <x v="1"/>
    <x v="1"/>
    <x v="8"/>
    <x v="6"/>
    <n v="3"/>
    <n v="459"/>
    <n v="0.08"/>
    <n v="1266.8400000000001"/>
  </r>
  <r>
    <x v="636"/>
    <x v="283"/>
    <x v="3"/>
    <x v="0"/>
    <x v="1"/>
    <x v="3"/>
    <x v="9"/>
    <x v="6"/>
    <n v="1"/>
    <n v="1710"/>
    <n v="0.2"/>
    <n v="1368"/>
  </r>
  <r>
    <x v="637"/>
    <x v="107"/>
    <x v="3"/>
    <x v="0"/>
    <x v="1"/>
    <x v="1"/>
    <x v="25"/>
    <x v="11"/>
    <n v="2"/>
    <n v="62.4"/>
    <n v="0.2"/>
    <n v="99.84"/>
  </r>
  <r>
    <x v="638"/>
    <x v="107"/>
    <x v="2"/>
    <x v="3"/>
    <x v="1"/>
    <x v="3"/>
    <x v="7"/>
    <x v="10"/>
    <n v="1"/>
    <n v="4200"/>
    <n v="0.2"/>
    <n v="3360"/>
  </r>
  <r>
    <x v="639"/>
    <x v="14"/>
    <x v="3"/>
    <x v="3"/>
    <x v="1"/>
    <x v="5"/>
    <x v="26"/>
    <x v="11"/>
    <n v="2"/>
    <n v="17.100000000000001"/>
    <n v="0"/>
    <n v="34.200000000000003"/>
  </r>
  <r>
    <x v="640"/>
    <x v="195"/>
    <x v="3"/>
    <x v="0"/>
    <x v="1"/>
    <x v="2"/>
    <x v="3"/>
    <x v="11"/>
    <n v="4"/>
    <n v="280"/>
    <n v="0.08"/>
    <n v="1030.4000000000001"/>
  </r>
  <r>
    <x v="641"/>
    <x v="179"/>
    <x v="3"/>
    <x v="2"/>
    <x v="1"/>
    <x v="0"/>
    <x v="6"/>
    <x v="6"/>
    <n v="8"/>
    <n v="45"/>
    <n v="0.15"/>
    <n v="306"/>
  </r>
  <r>
    <x v="642"/>
    <x v="210"/>
    <x v="0"/>
    <x v="0"/>
    <x v="0"/>
    <x v="0"/>
    <x v="12"/>
    <x v="2"/>
    <n v="5"/>
    <n v="80"/>
    <n v="0.08"/>
    <n v="368"/>
  </r>
  <r>
    <x v="643"/>
    <x v="152"/>
    <x v="0"/>
    <x v="0"/>
    <x v="1"/>
    <x v="5"/>
    <x v="24"/>
    <x v="2"/>
    <n v="1"/>
    <n v="35"/>
    <n v="0.08"/>
    <n v="32.200000000000003"/>
  </r>
  <r>
    <x v="644"/>
    <x v="145"/>
    <x v="3"/>
    <x v="0"/>
    <x v="1"/>
    <x v="2"/>
    <x v="4"/>
    <x v="7"/>
    <n v="7"/>
    <n v="727.5"/>
    <n v="0.05"/>
    <n v="4837.875"/>
  </r>
  <r>
    <x v="645"/>
    <x v="73"/>
    <x v="4"/>
    <x v="1"/>
    <x v="0"/>
    <x v="0"/>
    <x v="10"/>
    <x v="12"/>
    <n v="7"/>
    <n v="38"/>
    <n v="0.03"/>
    <n v="258.02"/>
  </r>
  <r>
    <x v="646"/>
    <x v="149"/>
    <x v="3"/>
    <x v="1"/>
    <x v="1"/>
    <x v="0"/>
    <x v="0"/>
    <x v="11"/>
    <n v="1"/>
    <n v="15"/>
    <n v="0.15"/>
    <n v="12.75"/>
  </r>
  <r>
    <x v="647"/>
    <x v="122"/>
    <x v="4"/>
    <x v="1"/>
    <x v="0"/>
    <x v="0"/>
    <x v="10"/>
    <x v="13"/>
    <n v="2"/>
    <n v="38"/>
    <n v="0.03"/>
    <n v="73.72"/>
  </r>
  <r>
    <x v="648"/>
    <x v="295"/>
    <x v="2"/>
    <x v="1"/>
    <x v="0"/>
    <x v="4"/>
    <x v="17"/>
    <x v="3"/>
    <n v="1"/>
    <n v="679"/>
    <n v="0"/>
    <n v="679"/>
  </r>
  <r>
    <x v="649"/>
    <x v="64"/>
    <x v="0"/>
    <x v="2"/>
    <x v="1"/>
    <x v="1"/>
    <x v="25"/>
    <x v="2"/>
    <n v="3"/>
    <n v="58.2"/>
    <n v="0"/>
    <n v="174.60000000000002"/>
  </r>
  <r>
    <x v="650"/>
    <x v="267"/>
    <x v="3"/>
    <x v="3"/>
    <x v="1"/>
    <x v="2"/>
    <x v="3"/>
    <x v="11"/>
    <n v="2"/>
    <n v="266"/>
    <n v="0.1"/>
    <n v="478.8"/>
  </r>
  <r>
    <x v="651"/>
    <x v="279"/>
    <x v="4"/>
    <x v="3"/>
    <x v="1"/>
    <x v="1"/>
    <x v="25"/>
    <x v="14"/>
    <n v="3"/>
    <n v="60"/>
    <n v="0.2"/>
    <n v="144"/>
  </r>
  <r>
    <x v="652"/>
    <x v="263"/>
    <x v="0"/>
    <x v="1"/>
    <x v="0"/>
    <x v="3"/>
    <x v="20"/>
    <x v="5"/>
    <n v="2"/>
    <n v="2650"/>
    <n v="0.1"/>
    <n v="4770"/>
  </r>
  <r>
    <x v="653"/>
    <x v="296"/>
    <x v="4"/>
    <x v="3"/>
    <x v="1"/>
    <x v="1"/>
    <x v="25"/>
    <x v="12"/>
    <n v="2"/>
    <n v="61.2"/>
    <n v="0.03"/>
    <n v="118.72800000000001"/>
  </r>
  <r>
    <x v="654"/>
    <x v="129"/>
    <x v="3"/>
    <x v="1"/>
    <x v="1"/>
    <x v="1"/>
    <x v="1"/>
    <x v="6"/>
    <n v="1"/>
    <n v="85.5"/>
    <n v="0"/>
    <n v="85.5"/>
  </r>
  <r>
    <x v="655"/>
    <x v="295"/>
    <x v="2"/>
    <x v="1"/>
    <x v="0"/>
    <x v="5"/>
    <x v="26"/>
    <x v="4"/>
    <n v="2"/>
    <n v="17.100000000000001"/>
    <n v="0.2"/>
    <n v="27.360000000000003"/>
  </r>
  <r>
    <x v="656"/>
    <x v="256"/>
    <x v="2"/>
    <x v="2"/>
    <x v="0"/>
    <x v="3"/>
    <x v="20"/>
    <x v="4"/>
    <n v="1"/>
    <n v="2500"/>
    <n v="0.03"/>
    <n v="2425"/>
  </r>
  <r>
    <x v="657"/>
    <x v="297"/>
    <x v="3"/>
    <x v="1"/>
    <x v="1"/>
    <x v="2"/>
    <x v="4"/>
    <x v="11"/>
    <n v="6"/>
    <n v="780"/>
    <n v="0.05"/>
    <n v="4446"/>
  </r>
  <r>
    <x v="658"/>
    <x v="39"/>
    <x v="4"/>
    <x v="0"/>
    <x v="1"/>
    <x v="0"/>
    <x v="10"/>
    <x v="13"/>
    <n v="5"/>
    <n v="36.86"/>
    <n v="0"/>
    <n v="184.3"/>
  </r>
  <r>
    <x v="659"/>
    <x v="123"/>
    <x v="0"/>
    <x v="1"/>
    <x v="1"/>
    <x v="4"/>
    <x v="19"/>
    <x v="2"/>
    <n v="4"/>
    <n v="591.6"/>
    <n v="0.1"/>
    <n v="2129.7600000000002"/>
  </r>
  <r>
    <x v="660"/>
    <x v="298"/>
    <x v="3"/>
    <x v="3"/>
    <x v="1"/>
    <x v="0"/>
    <x v="6"/>
    <x v="6"/>
    <n v="2"/>
    <n v="45"/>
    <n v="0"/>
    <n v="90"/>
  </r>
  <r>
    <x v="661"/>
    <x v="166"/>
    <x v="4"/>
    <x v="1"/>
    <x v="0"/>
    <x v="2"/>
    <x v="27"/>
    <x v="14"/>
    <n v="1"/>
    <n v="174.6"/>
    <n v="0"/>
    <n v="174.6"/>
  </r>
  <r>
    <x v="662"/>
    <x v="235"/>
    <x v="0"/>
    <x v="3"/>
    <x v="0"/>
    <x v="0"/>
    <x v="14"/>
    <x v="2"/>
    <n v="6"/>
    <n v="55"/>
    <n v="0.08"/>
    <n v="303.60000000000002"/>
  </r>
  <r>
    <x v="663"/>
    <x v="238"/>
    <x v="4"/>
    <x v="0"/>
    <x v="1"/>
    <x v="3"/>
    <x v="9"/>
    <x v="14"/>
    <n v="1"/>
    <n v="1872"/>
    <n v="0.05"/>
    <n v="1778.3999999999999"/>
  </r>
  <r>
    <x v="664"/>
    <x v="114"/>
    <x v="0"/>
    <x v="0"/>
    <x v="1"/>
    <x v="2"/>
    <x v="4"/>
    <x v="5"/>
    <n v="6"/>
    <n v="750"/>
    <n v="0.05"/>
    <n v="4275"/>
  </r>
  <r>
    <x v="665"/>
    <x v="158"/>
    <x v="1"/>
    <x v="0"/>
    <x v="1"/>
    <x v="3"/>
    <x v="20"/>
    <x v="9"/>
    <n v="2"/>
    <n v="2500"/>
    <n v="0.05"/>
    <n v="4750"/>
  </r>
  <r>
    <x v="666"/>
    <x v="20"/>
    <x v="2"/>
    <x v="0"/>
    <x v="0"/>
    <x v="3"/>
    <x v="15"/>
    <x v="3"/>
    <n v="1"/>
    <n v="3392"/>
    <n v="0.05"/>
    <n v="3222.3999999999996"/>
  </r>
  <r>
    <x v="667"/>
    <x v="224"/>
    <x v="2"/>
    <x v="1"/>
    <x v="0"/>
    <x v="1"/>
    <x v="5"/>
    <x v="3"/>
    <n v="5"/>
    <n v="320"/>
    <n v="0"/>
    <n v="1600"/>
  </r>
  <r>
    <x v="668"/>
    <x v="287"/>
    <x v="4"/>
    <x v="2"/>
    <x v="1"/>
    <x v="4"/>
    <x v="13"/>
    <x v="13"/>
    <n v="4"/>
    <n v="1530"/>
    <n v="0.15"/>
    <n v="5202"/>
  </r>
  <r>
    <x v="669"/>
    <x v="37"/>
    <x v="0"/>
    <x v="1"/>
    <x v="1"/>
    <x v="0"/>
    <x v="12"/>
    <x v="0"/>
    <n v="1"/>
    <n v="76"/>
    <n v="0"/>
    <n v="76"/>
  </r>
  <r>
    <x v="670"/>
    <x v="106"/>
    <x v="0"/>
    <x v="3"/>
    <x v="1"/>
    <x v="1"/>
    <x v="1"/>
    <x v="2"/>
    <n v="3"/>
    <n v="90"/>
    <n v="0.2"/>
    <n v="216"/>
  </r>
  <r>
    <x v="671"/>
    <x v="159"/>
    <x v="0"/>
    <x v="3"/>
    <x v="0"/>
    <x v="0"/>
    <x v="22"/>
    <x v="0"/>
    <n v="5"/>
    <n v="63.05"/>
    <n v="0.1"/>
    <n v="283.72500000000002"/>
  </r>
  <r>
    <x v="672"/>
    <x v="33"/>
    <x v="1"/>
    <x v="0"/>
    <x v="0"/>
    <x v="5"/>
    <x v="16"/>
    <x v="1"/>
    <n v="1"/>
    <n v="8"/>
    <n v="0.15"/>
    <n v="6.8"/>
  </r>
  <r>
    <x v="673"/>
    <x v="231"/>
    <x v="2"/>
    <x v="3"/>
    <x v="1"/>
    <x v="3"/>
    <x v="7"/>
    <x v="10"/>
    <n v="1"/>
    <n v="4452"/>
    <n v="0.08"/>
    <n v="4095.84"/>
  </r>
  <r>
    <x v="674"/>
    <x v="276"/>
    <x v="3"/>
    <x v="1"/>
    <x v="0"/>
    <x v="0"/>
    <x v="0"/>
    <x v="7"/>
    <n v="7"/>
    <n v="15.6"/>
    <n v="0.1"/>
    <n v="98.28"/>
  </r>
  <r>
    <x v="675"/>
    <x v="299"/>
    <x v="1"/>
    <x v="0"/>
    <x v="1"/>
    <x v="4"/>
    <x v="17"/>
    <x v="9"/>
    <n v="2"/>
    <n v="700"/>
    <n v="0.05"/>
    <n v="1330"/>
  </r>
  <r>
    <x v="676"/>
    <x v="20"/>
    <x v="2"/>
    <x v="3"/>
    <x v="1"/>
    <x v="4"/>
    <x v="17"/>
    <x v="10"/>
    <n v="1"/>
    <n v="714"/>
    <n v="0.05"/>
    <n v="678.3"/>
  </r>
  <r>
    <x v="677"/>
    <x v="300"/>
    <x v="1"/>
    <x v="1"/>
    <x v="1"/>
    <x v="4"/>
    <x v="13"/>
    <x v="8"/>
    <n v="1"/>
    <n v="1590"/>
    <n v="0.03"/>
    <n v="1542.3"/>
  </r>
  <r>
    <x v="678"/>
    <x v="195"/>
    <x v="3"/>
    <x v="2"/>
    <x v="1"/>
    <x v="5"/>
    <x v="18"/>
    <x v="7"/>
    <n v="5"/>
    <n v="12"/>
    <n v="0.15"/>
    <n v="51"/>
  </r>
  <r>
    <x v="679"/>
    <x v="301"/>
    <x v="2"/>
    <x v="1"/>
    <x v="0"/>
    <x v="3"/>
    <x v="7"/>
    <x v="10"/>
    <n v="1"/>
    <n v="4200"/>
    <n v="0.05"/>
    <n v="3990"/>
  </r>
  <r>
    <x v="680"/>
    <x v="51"/>
    <x v="4"/>
    <x v="0"/>
    <x v="1"/>
    <x v="5"/>
    <x v="23"/>
    <x v="13"/>
    <n v="2"/>
    <n v="24.25"/>
    <n v="0"/>
    <n v="48.5"/>
  </r>
  <r>
    <x v="681"/>
    <x v="193"/>
    <x v="1"/>
    <x v="3"/>
    <x v="1"/>
    <x v="1"/>
    <x v="25"/>
    <x v="8"/>
    <n v="5"/>
    <n v="60"/>
    <n v="0.15"/>
    <n v="255"/>
  </r>
  <r>
    <x v="682"/>
    <x v="159"/>
    <x v="2"/>
    <x v="3"/>
    <x v="1"/>
    <x v="2"/>
    <x v="3"/>
    <x v="10"/>
    <n v="4"/>
    <n v="271.60000000000002"/>
    <n v="0.08"/>
    <n v="999.48800000000017"/>
  </r>
  <r>
    <x v="683"/>
    <x v="73"/>
    <x v="1"/>
    <x v="0"/>
    <x v="0"/>
    <x v="0"/>
    <x v="10"/>
    <x v="8"/>
    <n v="4"/>
    <n v="38"/>
    <n v="0.1"/>
    <n v="136.80000000000001"/>
  </r>
  <r>
    <x v="684"/>
    <x v="290"/>
    <x v="2"/>
    <x v="2"/>
    <x v="0"/>
    <x v="3"/>
    <x v="20"/>
    <x v="10"/>
    <n v="3"/>
    <n v="2650"/>
    <n v="0.1"/>
    <n v="7155"/>
  </r>
  <r>
    <x v="685"/>
    <x v="19"/>
    <x v="1"/>
    <x v="0"/>
    <x v="0"/>
    <x v="0"/>
    <x v="0"/>
    <x v="1"/>
    <n v="2"/>
    <n v="15.6"/>
    <n v="0.08"/>
    <n v="28.704000000000001"/>
  </r>
  <r>
    <x v="686"/>
    <x v="302"/>
    <x v="1"/>
    <x v="0"/>
    <x v="1"/>
    <x v="3"/>
    <x v="7"/>
    <x v="8"/>
    <n v="3"/>
    <n v="4452"/>
    <n v="0.05"/>
    <n v="12688.199999999999"/>
  </r>
  <r>
    <x v="687"/>
    <x v="303"/>
    <x v="1"/>
    <x v="2"/>
    <x v="1"/>
    <x v="4"/>
    <x v="19"/>
    <x v="1"/>
    <n v="1"/>
    <n v="562.6"/>
    <n v="0.05"/>
    <n v="534.47"/>
  </r>
  <r>
    <x v="688"/>
    <x v="134"/>
    <x v="0"/>
    <x v="2"/>
    <x v="1"/>
    <x v="2"/>
    <x v="3"/>
    <x v="5"/>
    <n v="6"/>
    <n v="280"/>
    <n v="0.15"/>
    <n v="1428"/>
  </r>
  <r>
    <x v="689"/>
    <x v="158"/>
    <x v="0"/>
    <x v="0"/>
    <x v="0"/>
    <x v="5"/>
    <x v="16"/>
    <x v="0"/>
    <n v="4"/>
    <n v="8"/>
    <n v="0.05"/>
    <n v="30.4"/>
  </r>
  <r>
    <x v="690"/>
    <x v="199"/>
    <x v="3"/>
    <x v="2"/>
    <x v="1"/>
    <x v="2"/>
    <x v="27"/>
    <x v="7"/>
    <n v="11"/>
    <n v="180"/>
    <n v="0.03"/>
    <n v="1920.6"/>
  </r>
  <r>
    <x v="691"/>
    <x v="298"/>
    <x v="0"/>
    <x v="3"/>
    <x v="1"/>
    <x v="4"/>
    <x v="11"/>
    <x v="2"/>
    <n v="2"/>
    <n v="824.5"/>
    <n v="0.05"/>
    <n v="1566.55"/>
  </r>
  <r>
    <x v="692"/>
    <x v="2"/>
    <x v="2"/>
    <x v="3"/>
    <x v="1"/>
    <x v="0"/>
    <x v="10"/>
    <x v="10"/>
    <n v="8"/>
    <n v="39.520000000000003"/>
    <n v="0"/>
    <n v="316.16000000000003"/>
  </r>
  <r>
    <x v="693"/>
    <x v="11"/>
    <x v="0"/>
    <x v="0"/>
    <x v="0"/>
    <x v="1"/>
    <x v="8"/>
    <x v="2"/>
    <n v="2"/>
    <n v="477"/>
    <n v="0.1"/>
    <n v="858.6"/>
  </r>
  <r>
    <x v="694"/>
    <x v="249"/>
    <x v="3"/>
    <x v="3"/>
    <x v="1"/>
    <x v="5"/>
    <x v="16"/>
    <x v="7"/>
    <n v="2"/>
    <n v="8"/>
    <n v="0.05"/>
    <n v="15.2"/>
  </r>
  <r>
    <x v="695"/>
    <x v="293"/>
    <x v="0"/>
    <x v="1"/>
    <x v="0"/>
    <x v="3"/>
    <x v="21"/>
    <x v="0"/>
    <n v="2"/>
    <n v="3000"/>
    <n v="0.03"/>
    <n v="5820"/>
  </r>
  <r>
    <x v="696"/>
    <x v="246"/>
    <x v="3"/>
    <x v="0"/>
    <x v="0"/>
    <x v="5"/>
    <x v="26"/>
    <x v="7"/>
    <n v="2"/>
    <n v="18"/>
    <n v="0.03"/>
    <n v="34.92"/>
  </r>
  <r>
    <x v="697"/>
    <x v="120"/>
    <x v="1"/>
    <x v="1"/>
    <x v="0"/>
    <x v="4"/>
    <x v="17"/>
    <x v="8"/>
    <n v="2"/>
    <n v="742"/>
    <n v="0.2"/>
    <n v="1187.2"/>
  </r>
  <r>
    <x v="698"/>
    <x v="61"/>
    <x v="2"/>
    <x v="1"/>
    <x v="1"/>
    <x v="4"/>
    <x v="19"/>
    <x v="10"/>
    <n v="1"/>
    <n v="580"/>
    <n v="0"/>
    <n v="580"/>
  </r>
  <r>
    <x v="699"/>
    <x v="125"/>
    <x v="3"/>
    <x v="0"/>
    <x v="1"/>
    <x v="0"/>
    <x v="10"/>
    <x v="11"/>
    <n v="1"/>
    <n v="38"/>
    <n v="0.03"/>
    <n v="36.86"/>
  </r>
  <r>
    <x v="700"/>
    <x v="189"/>
    <x v="4"/>
    <x v="1"/>
    <x v="1"/>
    <x v="0"/>
    <x v="12"/>
    <x v="14"/>
    <n v="1"/>
    <n v="83.2"/>
    <n v="0.15"/>
    <n v="70.72"/>
  </r>
  <r>
    <x v="701"/>
    <x v="259"/>
    <x v="0"/>
    <x v="0"/>
    <x v="1"/>
    <x v="0"/>
    <x v="6"/>
    <x v="2"/>
    <n v="2"/>
    <n v="46.8"/>
    <n v="0.03"/>
    <n v="90.791999999999987"/>
  </r>
  <r>
    <x v="702"/>
    <x v="196"/>
    <x v="4"/>
    <x v="3"/>
    <x v="1"/>
    <x v="0"/>
    <x v="22"/>
    <x v="13"/>
    <n v="4"/>
    <n v="68.900000000000006"/>
    <n v="0.1"/>
    <n v="248.04000000000002"/>
  </r>
  <r>
    <x v="703"/>
    <x v="7"/>
    <x v="2"/>
    <x v="1"/>
    <x v="1"/>
    <x v="3"/>
    <x v="7"/>
    <x v="3"/>
    <n v="1"/>
    <n v="4284"/>
    <n v="0.2"/>
    <n v="3427.2000000000003"/>
  </r>
  <r>
    <x v="704"/>
    <x v="65"/>
    <x v="2"/>
    <x v="0"/>
    <x v="0"/>
    <x v="1"/>
    <x v="25"/>
    <x v="4"/>
    <n v="3"/>
    <n v="58.2"/>
    <n v="0"/>
    <n v="174.60000000000002"/>
  </r>
  <r>
    <x v="705"/>
    <x v="149"/>
    <x v="2"/>
    <x v="1"/>
    <x v="0"/>
    <x v="4"/>
    <x v="19"/>
    <x v="10"/>
    <n v="2"/>
    <n v="562.6"/>
    <n v="0.05"/>
    <n v="1068.94"/>
  </r>
  <r>
    <x v="706"/>
    <x v="300"/>
    <x v="4"/>
    <x v="2"/>
    <x v="1"/>
    <x v="4"/>
    <x v="13"/>
    <x v="13"/>
    <n v="2"/>
    <n v="1560"/>
    <n v="0.08"/>
    <n v="2870.4"/>
  </r>
  <r>
    <x v="707"/>
    <x v="280"/>
    <x v="4"/>
    <x v="3"/>
    <x v="0"/>
    <x v="0"/>
    <x v="6"/>
    <x v="13"/>
    <n v="3"/>
    <n v="43.65"/>
    <n v="0.05"/>
    <n v="124.40249999999999"/>
  </r>
  <r>
    <x v="708"/>
    <x v="31"/>
    <x v="2"/>
    <x v="3"/>
    <x v="1"/>
    <x v="0"/>
    <x v="10"/>
    <x v="3"/>
    <n v="1"/>
    <n v="38"/>
    <n v="0"/>
    <n v="38"/>
  </r>
  <r>
    <x v="709"/>
    <x v="24"/>
    <x v="4"/>
    <x v="0"/>
    <x v="1"/>
    <x v="5"/>
    <x v="23"/>
    <x v="12"/>
    <n v="1"/>
    <n v="23.75"/>
    <n v="0.1"/>
    <n v="21.375"/>
  </r>
  <r>
    <x v="710"/>
    <x v="262"/>
    <x v="0"/>
    <x v="1"/>
    <x v="0"/>
    <x v="0"/>
    <x v="14"/>
    <x v="5"/>
    <n v="1"/>
    <n v="57.2"/>
    <n v="0"/>
    <n v="57.2"/>
  </r>
  <r>
    <x v="711"/>
    <x v="150"/>
    <x v="2"/>
    <x v="1"/>
    <x v="1"/>
    <x v="0"/>
    <x v="12"/>
    <x v="10"/>
    <n v="2"/>
    <n v="80"/>
    <n v="0.05"/>
    <n v="152"/>
  </r>
  <r>
    <x v="712"/>
    <x v="25"/>
    <x v="2"/>
    <x v="3"/>
    <x v="1"/>
    <x v="2"/>
    <x v="4"/>
    <x v="10"/>
    <n v="7"/>
    <n v="780"/>
    <n v="0.08"/>
    <n v="5023.2"/>
  </r>
  <r>
    <x v="713"/>
    <x v="188"/>
    <x v="3"/>
    <x v="1"/>
    <x v="1"/>
    <x v="0"/>
    <x v="6"/>
    <x v="7"/>
    <n v="2"/>
    <n v="47.7"/>
    <n v="0.03"/>
    <n v="92.537999999999997"/>
  </r>
  <r>
    <x v="714"/>
    <x v="234"/>
    <x v="3"/>
    <x v="0"/>
    <x v="1"/>
    <x v="0"/>
    <x v="22"/>
    <x v="6"/>
    <n v="2"/>
    <n v="63.05"/>
    <n v="0.08"/>
    <n v="116.012"/>
  </r>
  <r>
    <x v="715"/>
    <x v="93"/>
    <x v="1"/>
    <x v="0"/>
    <x v="1"/>
    <x v="1"/>
    <x v="25"/>
    <x v="8"/>
    <n v="3"/>
    <n v="61.2"/>
    <n v="0.2"/>
    <n v="146.88000000000002"/>
  </r>
  <r>
    <x v="716"/>
    <x v="275"/>
    <x v="0"/>
    <x v="0"/>
    <x v="0"/>
    <x v="2"/>
    <x v="2"/>
    <x v="0"/>
    <n v="6"/>
    <n v="19"/>
    <n v="0.03"/>
    <n v="110.58"/>
  </r>
  <r>
    <x v="717"/>
    <x v="87"/>
    <x v="3"/>
    <x v="2"/>
    <x v="1"/>
    <x v="2"/>
    <x v="27"/>
    <x v="7"/>
    <n v="7"/>
    <n v="187.2"/>
    <n v="0.1"/>
    <n v="1179.3599999999999"/>
  </r>
  <r>
    <x v="718"/>
    <x v="161"/>
    <x v="2"/>
    <x v="3"/>
    <x v="1"/>
    <x v="1"/>
    <x v="25"/>
    <x v="10"/>
    <n v="5"/>
    <n v="62.4"/>
    <n v="0.05"/>
    <n v="296.39999999999998"/>
  </r>
  <r>
    <x v="719"/>
    <x v="196"/>
    <x v="0"/>
    <x v="0"/>
    <x v="1"/>
    <x v="2"/>
    <x v="27"/>
    <x v="2"/>
    <n v="1"/>
    <n v="171"/>
    <n v="0"/>
    <n v="171"/>
  </r>
  <r>
    <x v="720"/>
    <x v="159"/>
    <x v="4"/>
    <x v="0"/>
    <x v="1"/>
    <x v="3"/>
    <x v="20"/>
    <x v="13"/>
    <n v="4"/>
    <n v="2500"/>
    <n v="0.2"/>
    <n v="8000"/>
  </r>
  <r>
    <x v="721"/>
    <x v="150"/>
    <x v="0"/>
    <x v="1"/>
    <x v="0"/>
    <x v="2"/>
    <x v="27"/>
    <x v="2"/>
    <n v="5"/>
    <n v="174.6"/>
    <n v="0.05"/>
    <n v="829.34999999999991"/>
  </r>
  <r>
    <x v="722"/>
    <x v="108"/>
    <x v="0"/>
    <x v="1"/>
    <x v="1"/>
    <x v="4"/>
    <x v="19"/>
    <x v="5"/>
    <n v="2"/>
    <n v="580"/>
    <n v="0"/>
    <n v="1160"/>
  </r>
  <r>
    <x v="723"/>
    <x v="23"/>
    <x v="1"/>
    <x v="2"/>
    <x v="0"/>
    <x v="1"/>
    <x v="25"/>
    <x v="8"/>
    <n v="2"/>
    <n v="63.6"/>
    <n v="0.08"/>
    <n v="117.024"/>
  </r>
  <r>
    <x v="724"/>
    <x v="223"/>
    <x v="3"/>
    <x v="0"/>
    <x v="1"/>
    <x v="3"/>
    <x v="15"/>
    <x v="6"/>
    <n v="1"/>
    <n v="3392"/>
    <n v="0.08"/>
    <n v="3120.6400000000003"/>
  </r>
  <r>
    <x v="725"/>
    <x v="265"/>
    <x v="2"/>
    <x v="3"/>
    <x v="1"/>
    <x v="0"/>
    <x v="14"/>
    <x v="10"/>
    <n v="2"/>
    <n v="55"/>
    <n v="0.15"/>
    <n v="93.5"/>
  </r>
  <r>
    <x v="726"/>
    <x v="172"/>
    <x v="3"/>
    <x v="1"/>
    <x v="0"/>
    <x v="3"/>
    <x v="20"/>
    <x v="6"/>
    <n v="1"/>
    <n v="2550"/>
    <n v="0.1"/>
    <n v="2295"/>
  </r>
  <r>
    <x v="727"/>
    <x v="165"/>
    <x v="3"/>
    <x v="1"/>
    <x v="1"/>
    <x v="3"/>
    <x v="9"/>
    <x v="11"/>
    <n v="1"/>
    <n v="1800"/>
    <n v="0.03"/>
    <n v="1746"/>
  </r>
  <r>
    <x v="728"/>
    <x v="145"/>
    <x v="4"/>
    <x v="2"/>
    <x v="1"/>
    <x v="5"/>
    <x v="16"/>
    <x v="12"/>
    <n v="10"/>
    <n v="8.48"/>
    <n v="0.1"/>
    <n v="76.320000000000007"/>
  </r>
  <r>
    <x v="729"/>
    <x v="55"/>
    <x v="3"/>
    <x v="0"/>
    <x v="1"/>
    <x v="1"/>
    <x v="5"/>
    <x v="11"/>
    <n v="6"/>
    <n v="304"/>
    <n v="0.05"/>
    <n v="1732.8"/>
  </r>
  <r>
    <x v="730"/>
    <x v="114"/>
    <x v="2"/>
    <x v="2"/>
    <x v="1"/>
    <x v="3"/>
    <x v="7"/>
    <x v="10"/>
    <n v="1"/>
    <n v="4368"/>
    <n v="0.1"/>
    <n v="3931.2000000000003"/>
  </r>
  <r>
    <x v="731"/>
    <x v="196"/>
    <x v="0"/>
    <x v="0"/>
    <x v="1"/>
    <x v="1"/>
    <x v="8"/>
    <x v="0"/>
    <n v="3"/>
    <n v="459"/>
    <n v="0.1"/>
    <n v="1239.3"/>
  </r>
  <r>
    <x v="732"/>
    <x v="42"/>
    <x v="1"/>
    <x v="0"/>
    <x v="0"/>
    <x v="1"/>
    <x v="5"/>
    <x v="9"/>
    <n v="3"/>
    <n v="320"/>
    <n v="0.05"/>
    <n v="912"/>
  </r>
  <r>
    <x v="733"/>
    <x v="98"/>
    <x v="1"/>
    <x v="0"/>
    <x v="1"/>
    <x v="0"/>
    <x v="10"/>
    <x v="9"/>
    <n v="3"/>
    <n v="39.520000000000003"/>
    <n v="0.1"/>
    <n v="106.70400000000001"/>
  </r>
  <r>
    <x v="734"/>
    <x v="216"/>
    <x v="1"/>
    <x v="0"/>
    <x v="1"/>
    <x v="1"/>
    <x v="25"/>
    <x v="8"/>
    <n v="7"/>
    <n v="61.2"/>
    <n v="0.05"/>
    <n v="406.98"/>
  </r>
  <r>
    <x v="735"/>
    <x v="230"/>
    <x v="2"/>
    <x v="3"/>
    <x v="1"/>
    <x v="0"/>
    <x v="10"/>
    <x v="10"/>
    <n v="7"/>
    <n v="38"/>
    <n v="0.1"/>
    <n v="239.4"/>
  </r>
  <r>
    <x v="736"/>
    <x v="292"/>
    <x v="2"/>
    <x v="1"/>
    <x v="1"/>
    <x v="4"/>
    <x v="13"/>
    <x v="10"/>
    <n v="2"/>
    <n v="1530"/>
    <n v="0.05"/>
    <n v="2907"/>
  </r>
  <r>
    <x v="737"/>
    <x v="232"/>
    <x v="3"/>
    <x v="1"/>
    <x v="1"/>
    <x v="1"/>
    <x v="5"/>
    <x v="7"/>
    <n v="3"/>
    <n v="339.2"/>
    <n v="0.03"/>
    <n v="987.07199999999989"/>
  </r>
  <r>
    <x v="738"/>
    <x v="109"/>
    <x v="4"/>
    <x v="2"/>
    <x v="0"/>
    <x v="3"/>
    <x v="15"/>
    <x v="12"/>
    <n v="1"/>
    <n v="3264"/>
    <n v="0.05"/>
    <n v="3100.7999999999997"/>
  </r>
  <r>
    <x v="739"/>
    <x v="272"/>
    <x v="1"/>
    <x v="1"/>
    <x v="1"/>
    <x v="3"/>
    <x v="15"/>
    <x v="9"/>
    <n v="1"/>
    <n v="3200"/>
    <n v="0"/>
    <n v="3200"/>
  </r>
  <r>
    <x v="740"/>
    <x v="220"/>
    <x v="3"/>
    <x v="0"/>
    <x v="0"/>
    <x v="0"/>
    <x v="10"/>
    <x v="11"/>
    <n v="1"/>
    <n v="36.86"/>
    <n v="0.08"/>
    <n v="33.911200000000001"/>
  </r>
  <r>
    <x v="741"/>
    <x v="39"/>
    <x v="2"/>
    <x v="3"/>
    <x v="0"/>
    <x v="0"/>
    <x v="10"/>
    <x v="4"/>
    <n v="7"/>
    <n v="38"/>
    <n v="0.2"/>
    <n v="212.8"/>
  </r>
  <r>
    <x v="742"/>
    <x v="23"/>
    <x v="0"/>
    <x v="0"/>
    <x v="1"/>
    <x v="0"/>
    <x v="22"/>
    <x v="2"/>
    <n v="3"/>
    <n v="65"/>
    <n v="0.1"/>
    <n v="175.5"/>
  </r>
  <r>
    <x v="743"/>
    <x v="304"/>
    <x v="4"/>
    <x v="0"/>
    <x v="1"/>
    <x v="0"/>
    <x v="12"/>
    <x v="13"/>
    <n v="4"/>
    <n v="80"/>
    <n v="0.03"/>
    <n v="310.39999999999998"/>
  </r>
  <r>
    <x v="744"/>
    <x v="58"/>
    <x v="3"/>
    <x v="3"/>
    <x v="1"/>
    <x v="5"/>
    <x v="18"/>
    <x v="7"/>
    <n v="4"/>
    <n v="11.64"/>
    <n v="0.1"/>
    <n v="41.904000000000003"/>
  </r>
  <r>
    <x v="745"/>
    <x v="268"/>
    <x v="4"/>
    <x v="3"/>
    <x v="1"/>
    <x v="3"/>
    <x v="21"/>
    <x v="12"/>
    <n v="1"/>
    <n v="3180"/>
    <n v="0.1"/>
    <n v="2862"/>
  </r>
  <r>
    <x v="746"/>
    <x v="159"/>
    <x v="3"/>
    <x v="1"/>
    <x v="1"/>
    <x v="1"/>
    <x v="8"/>
    <x v="6"/>
    <n v="1"/>
    <n v="450"/>
    <n v="0.03"/>
    <n v="436.5"/>
  </r>
  <r>
    <x v="747"/>
    <x v="101"/>
    <x v="1"/>
    <x v="0"/>
    <x v="0"/>
    <x v="5"/>
    <x v="24"/>
    <x v="9"/>
    <n v="1"/>
    <n v="33.950000000000003"/>
    <n v="0.03"/>
    <n v="32.9315"/>
  </r>
  <r>
    <x v="748"/>
    <x v="52"/>
    <x v="1"/>
    <x v="1"/>
    <x v="1"/>
    <x v="4"/>
    <x v="17"/>
    <x v="9"/>
    <n v="1"/>
    <n v="728"/>
    <n v="0.1"/>
    <n v="655.20000000000005"/>
  </r>
  <r>
    <x v="749"/>
    <x v="252"/>
    <x v="2"/>
    <x v="0"/>
    <x v="1"/>
    <x v="3"/>
    <x v="15"/>
    <x v="4"/>
    <n v="2"/>
    <n v="3200"/>
    <n v="0.05"/>
    <n v="6080"/>
  </r>
  <r>
    <x v="750"/>
    <x v="128"/>
    <x v="3"/>
    <x v="0"/>
    <x v="0"/>
    <x v="0"/>
    <x v="22"/>
    <x v="11"/>
    <n v="1"/>
    <n v="66.3"/>
    <n v="0.03"/>
    <n v="64.310999999999993"/>
  </r>
  <r>
    <x v="751"/>
    <x v="305"/>
    <x v="0"/>
    <x v="0"/>
    <x v="1"/>
    <x v="2"/>
    <x v="2"/>
    <x v="2"/>
    <n v="4"/>
    <n v="19"/>
    <n v="0.03"/>
    <n v="73.72"/>
  </r>
  <r>
    <x v="752"/>
    <x v="57"/>
    <x v="3"/>
    <x v="3"/>
    <x v="1"/>
    <x v="0"/>
    <x v="0"/>
    <x v="7"/>
    <n v="5"/>
    <n v="15"/>
    <n v="0.03"/>
    <n v="72.75"/>
  </r>
  <r>
    <x v="753"/>
    <x v="41"/>
    <x v="2"/>
    <x v="1"/>
    <x v="1"/>
    <x v="4"/>
    <x v="17"/>
    <x v="10"/>
    <n v="3"/>
    <n v="714"/>
    <n v="0.03"/>
    <n v="2077.7399999999998"/>
  </r>
  <r>
    <x v="754"/>
    <x v="123"/>
    <x v="4"/>
    <x v="1"/>
    <x v="1"/>
    <x v="0"/>
    <x v="22"/>
    <x v="14"/>
    <n v="2"/>
    <n v="65"/>
    <n v="0.1"/>
    <n v="117"/>
  </r>
  <r>
    <x v="755"/>
    <x v="145"/>
    <x v="4"/>
    <x v="0"/>
    <x v="1"/>
    <x v="1"/>
    <x v="25"/>
    <x v="13"/>
    <n v="3"/>
    <n v="61.2"/>
    <n v="0.1"/>
    <n v="165.24000000000004"/>
  </r>
  <r>
    <x v="756"/>
    <x v="218"/>
    <x v="3"/>
    <x v="3"/>
    <x v="1"/>
    <x v="5"/>
    <x v="16"/>
    <x v="11"/>
    <n v="8"/>
    <n v="8.32"/>
    <n v="0.05"/>
    <n v="63.231999999999999"/>
  </r>
  <r>
    <x v="757"/>
    <x v="271"/>
    <x v="2"/>
    <x v="0"/>
    <x v="1"/>
    <x v="4"/>
    <x v="13"/>
    <x v="10"/>
    <n v="1"/>
    <n v="1455"/>
    <n v="0.08"/>
    <n v="1338.6000000000001"/>
  </r>
  <r>
    <x v="758"/>
    <x v="197"/>
    <x v="1"/>
    <x v="0"/>
    <x v="0"/>
    <x v="2"/>
    <x v="27"/>
    <x v="8"/>
    <n v="1"/>
    <n v="180"/>
    <n v="0.03"/>
    <n v="174.6"/>
  </r>
  <r>
    <x v="759"/>
    <x v="182"/>
    <x v="4"/>
    <x v="0"/>
    <x v="0"/>
    <x v="2"/>
    <x v="27"/>
    <x v="14"/>
    <n v="8"/>
    <n v="180"/>
    <n v="0"/>
    <n v="1440"/>
  </r>
  <r>
    <x v="760"/>
    <x v="112"/>
    <x v="4"/>
    <x v="3"/>
    <x v="0"/>
    <x v="5"/>
    <x v="24"/>
    <x v="13"/>
    <n v="5"/>
    <n v="36.4"/>
    <n v="0.1"/>
    <n v="163.80000000000001"/>
  </r>
  <r>
    <x v="761"/>
    <x v="306"/>
    <x v="4"/>
    <x v="0"/>
    <x v="1"/>
    <x v="4"/>
    <x v="11"/>
    <x v="14"/>
    <n v="5"/>
    <n v="807.5"/>
    <n v="0.05"/>
    <n v="3835.625"/>
  </r>
  <r>
    <x v="762"/>
    <x v="16"/>
    <x v="1"/>
    <x v="3"/>
    <x v="1"/>
    <x v="4"/>
    <x v="19"/>
    <x v="9"/>
    <n v="1"/>
    <n v="562.6"/>
    <n v="0.15"/>
    <n v="478.21"/>
  </r>
  <r>
    <x v="763"/>
    <x v="187"/>
    <x v="0"/>
    <x v="0"/>
    <x v="1"/>
    <x v="5"/>
    <x v="18"/>
    <x v="5"/>
    <n v="1"/>
    <n v="12.48"/>
    <n v="0.15"/>
    <n v="10.608000000000001"/>
  </r>
  <r>
    <x v="764"/>
    <x v="134"/>
    <x v="3"/>
    <x v="0"/>
    <x v="1"/>
    <x v="3"/>
    <x v="15"/>
    <x v="7"/>
    <n v="2"/>
    <n v="3200"/>
    <n v="0.03"/>
    <n v="6208"/>
  </r>
  <r>
    <x v="765"/>
    <x v="277"/>
    <x v="3"/>
    <x v="2"/>
    <x v="1"/>
    <x v="3"/>
    <x v="7"/>
    <x v="11"/>
    <n v="4"/>
    <n v="4368"/>
    <n v="0.08"/>
    <n v="16074.240000000002"/>
  </r>
  <r>
    <x v="766"/>
    <x v="190"/>
    <x v="1"/>
    <x v="2"/>
    <x v="1"/>
    <x v="3"/>
    <x v="20"/>
    <x v="8"/>
    <n v="1"/>
    <n v="2375"/>
    <n v="0"/>
    <n v="2375"/>
  </r>
  <r>
    <x v="767"/>
    <x v="106"/>
    <x v="4"/>
    <x v="2"/>
    <x v="1"/>
    <x v="4"/>
    <x v="19"/>
    <x v="14"/>
    <n v="1"/>
    <n v="580"/>
    <n v="0.15"/>
    <n v="493"/>
  </r>
  <r>
    <x v="768"/>
    <x v="106"/>
    <x v="1"/>
    <x v="0"/>
    <x v="1"/>
    <x v="0"/>
    <x v="14"/>
    <x v="1"/>
    <n v="2"/>
    <n v="55"/>
    <n v="0.03"/>
    <n v="106.7"/>
  </r>
  <r>
    <x v="769"/>
    <x v="307"/>
    <x v="1"/>
    <x v="0"/>
    <x v="0"/>
    <x v="1"/>
    <x v="5"/>
    <x v="9"/>
    <n v="4"/>
    <n v="310.39999999999998"/>
    <n v="0"/>
    <n v="1241.5999999999999"/>
  </r>
  <r>
    <x v="770"/>
    <x v="5"/>
    <x v="2"/>
    <x v="2"/>
    <x v="1"/>
    <x v="4"/>
    <x v="17"/>
    <x v="4"/>
    <n v="3"/>
    <n v="665"/>
    <n v="0.15"/>
    <n v="1695.75"/>
  </r>
  <r>
    <x v="771"/>
    <x v="244"/>
    <x v="3"/>
    <x v="1"/>
    <x v="0"/>
    <x v="0"/>
    <x v="6"/>
    <x v="6"/>
    <n v="4"/>
    <n v="42.75"/>
    <n v="0.08"/>
    <n v="157.32"/>
  </r>
  <r>
    <x v="772"/>
    <x v="249"/>
    <x v="2"/>
    <x v="0"/>
    <x v="0"/>
    <x v="0"/>
    <x v="22"/>
    <x v="4"/>
    <n v="1"/>
    <n v="63.05"/>
    <n v="0.1"/>
    <n v="56.744999999999997"/>
  </r>
  <r>
    <x v="773"/>
    <x v="9"/>
    <x v="2"/>
    <x v="1"/>
    <x v="1"/>
    <x v="3"/>
    <x v="20"/>
    <x v="3"/>
    <n v="3"/>
    <n v="2500"/>
    <n v="0.05"/>
    <n v="7125"/>
  </r>
  <r>
    <x v="774"/>
    <x v="308"/>
    <x v="2"/>
    <x v="0"/>
    <x v="0"/>
    <x v="1"/>
    <x v="8"/>
    <x v="4"/>
    <n v="1"/>
    <n v="468"/>
    <n v="0"/>
    <n v="468"/>
  </r>
  <r>
    <x v="775"/>
    <x v="131"/>
    <x v="0"/>
    <x v="0"/>
    <x v="1"/>
    <x v="3"/>
    <x v="21"/>
    <x v="5"/>
    <n v="4"/>
    <n v="3180"/>
    <n v="0.03"/>
    <n v="12338.4"/>
  </r>
  <r>
    <x v="776"/>
    <x v="260"/>
    <x v="3"/>
    <x v="0"/>
    <x v="1"/>
    <x v="4"/>
    <x v="17"/>
    <x v="7"/>
    <n v="1"/>
    <n v="700"/>
    <n v="0.08"/>
    <n v="644"/>
  </r>
  <r>
    <x v="777"/>
    <x v="309"/>
    <x v="0"/>
    <x v="0"/>
    <x v="0"/>
    <x v="2"/>
    <x v="27"/>
    <x v="5"/>
    <n v="3"/>
    <n v="187.2"/>
    <n v="0.08"/>
    <n v="516.67199999999991"/>
  </r>
  <r>
    <x v="778"/>
    <x v="87"/>
    <x v="2"/>
    <x v="1"/>
    <x v="1"/>
    <x v="3"/>
    <x v="7"/>
    <x v="3"/>
    <n v="1"/>
    <n v="4200"/>
    <n v="0"/>
    <n v="4200"/>
  </r>
  <r>
    <x v="779"/>
    <x v="174"/>
    <x v="2"/>
    <x v="0"/>
    <x v="0"/>
    <x v="2"/>
    <x v="27"/>
    <x v="10"/>
    <n v="1"/>
    <n v="183.6"/>
    <n v="0.03"/>
    <n v="178.09199999999998"/>
  </r>
  <r>
    <x v="780"/>
    <x v="310"/>
    <x v="0"/>
    <x v="0"/>
    <x v="0"/>
    <x v="5"/>
    <x v="24"/>
    <x v="5"/>
    <n v="1"/>
    <n v="35.700000000000003"/>
    <n v="0.05"/>
    <n v="33.914999999999999"/>
  </r>
  <r>
    <x v="781"/>
    <x v="242"/>
    <x v="0"/>
    <x v="2"/>
    <x v="1"/>
    <x v="4"/>
    <x v="13"/>
    <x v="2"/>
    <n v="1"/>
    <n v="1500"/>
    <n v="0"/>
    <n v="1500"/>
  </r>
  <r>
    <x v="782"/>
    <x v="210"/>
    <x v="2"/>
    <x v="3"/>
    <x v="1"/>
    <x v="0"/>
    <x v="22"/>
    <x v="4"/>
    <n v="1"/>
    <n v="65"/>
    <n v="0"/>
    <n v="65"/>
  </r>
  <r>
    <x v="783"/>
    <x v="144"/>
    <x v="0"/>
    <x v="0"/>
    <x v="0"/>
    <x v="0"/>
    <x v="10"/>
    <x v="2"/>
    <n v="7"/>
    <n v="40.28"/>
    <n v="0.05"/>
    <n v="267.86200000000002"/>
  </r>
  <r>
    <x v="784"/>
    <x v="80"/>
    <x v="4"/>
    <x v="0"/>
    <x v="1"/>
    <x v="4"/>
    <x v="17"/>
    <x v="13"/>
    <n v="3"/>
    <n v="700"/>
    <n v="0.1"/>
    <n v="1890"/>
  </r>
  <r>
    <x v="785"/>
    <x v="311"/>
    <x v="3"/>
    <x v="2"/>
    <x v="1"/>
    <x v="4"/>
    <x v="11"/>
    <x v="11"/>
    <n v="1"/>
    <n v="850"/>
    <n v="0.08"/>
    <n v="782"/>
  </r>
  <r>
    <x v="786"/>
    <x v="68"/>
    <x v="1"/>
    <x v="0"/>
    <x v="0"/>
    <x v="4"/>
    <x v="11"/>
    <x v="8"/>
    <n v="1"/>
    <n v="850"/>
    <n v="0.1"/>
    <n v="765"/>
  </r>
  <r>
    <x v="787"/>
    <x v="41"/>
    <x v="4"/>
    <x v="1"/>
    <x v="1"/>
    <x v="5"/>
    <x v="26"/>
    <x v="13"/>
    <n v="2"/>
    <n v="19.079999999999998"/>
    <n v="0.2"/>
    <n v="30.527999999999999"/>
  </r>
  <r>
    <x v="788"/>
    <x v="117"/>
    <x v="3"/>
    <x v="0"/>
    <x v="1"/>
    <x v="0"/>
    <x v="14"/>
    <x v="11"/>
    <n v="4"/>
    <n v="55"/>
    <n v="0.15"/>
    <n v="187"/>
  </r>
  <r>
    <x v="789"/>
    <x v="256"/>
    <x v="0"/>
    <x v="0"/>
    <x v="0"/>
    <x v="3"/>
    <x v="7"/>
    <x v="2"/>
    <n v="1"/>
    <n v="4200"/>
    <n v="0"/>
    <n v="4200"/>
  </r>
  <r>
    <x v="790"/>
    <x v="244"/>
    <x v="2"/>
    <x v="2"/>
    <x v="0"/>
    <x v="4"/>
    <x v="11"/>
    <x v="4"/>
    <n v="1"/>
    <n v="850"/>
    <n v="0.08"/>
    <n v="782"/>
  </r>
  <r>
    <x v="791"/>
    <x v="29"/>
    <x v="2"/>
    <x v="0"/>
    <x v="1"/>
    <x v="3"/>
    <x v="21"/>
    <x v="3"/>
    <n v="1"/>
    <n v="2910"/>
    <n v="0.05"/>
    <n v="2764.5"/>
  </r>
  <r>
    <x v="792"/>
    <x v="246"/>
    <x v="4"/>
    <x v="0"/>
    <x v="1"/>
    <x v="1"/>
    <x v="1"/>
    <x v="12"/>
    <n v="4"/>
    <n v="90"/>
    <n v="0.1"/>
    <n v="324"/>
  </r>
  <r>
    <x v="793"/>
    <x v="49"/>
    <x v="0"/>
    <x v="2"/>
    <x v="0"/>
    <x v="3"/>
    <x v="20"/>
    <x v="0"/>
    <n v="1"/>
    <n v="2600"/>
    <n v="0"/>
    <n v="2600"/>
  </r>
  <r>
    <x v="794"/>
    <x v="29"/>
    <x v="2"/>
    <x v="2"/>
    <x v="1"/>
    <x v="4"/>
    <x v="13"/>
    <x v="4"/>
    <n v="1"/>
    <n v="1560"/>
    <n v="0.08"/>
    <n v="1435.2"/>
  </r>
  <r>
    <x v="795"/>
    <x v="312"/>
    <x v="2"/>
    <x v="3"/>
    <x v="1"/>
    <x v="5"/>
    <x v="18"/>
    <x v="10"/>
    <n v="1"/>
    <n v="12"/>
    <n v="0.03"/>
    <n v="11.64"/>
  </r>
  <r>
    <x v="796"/>
    <x v="150"/>
    <x v="3"/>
    <x v="1"/>
    <x v="1"/>
    <x v="0"/>
    <x v="0"/>
    <x v="6"/>
    <n v="1"/>
    <n v="15"/>
    <n v="0"/>
    <n v="15"/>
  </r>
  <r>
    <x v="797"/>
    <x v="191"/>
    <x v="2"/>
    <x v="0"/>
    <x v="1"/>
    <x v="1"/>
    <x v="8"/>
    <x v="4"/>
    <n v="2"/>
    <n v="427.5"/>
    <n v="0.2"/>
    <n v="684"/>
  </r>
  <r>
    <x v="798"/>
    <x v="127"/>
    <x v="2"/>
    <x v="1"/>
    <x v="0"/>
    <x v="1"/>
    <x v="25"/>
    <x v="3"/>
    <n v="2"/>
    <n v="63.6"/>
    <n v="0.03"/>
    <n v="123.384"/>
  </r>
  <r>
    <x v="799"/>
    <x v="219"/>
    <x v="3"/>
    <x v="3"/>
    <x v="1"/>
    <x v="2"/>
    <x v="27"/>
    <x v="11"/>
    <n v="3"/>
    <n v="187.2"/>
    <n v="0.2"/>
    <n v="449.28"/>
  </r>
  <r>
    <x v="800"/>
    <x v="29"/>
    <x v="1"/>
    <x v="2"/>
    <x v="1"/>
    <x v="2"/>
    <x v="4"/>
    <x v="9"/>
    <n v="8"/>
    <n v="712.5"/>
    <n v="0.15"/>
    <n v="4845"/>
  </r>
  <r>
    <x v="801"/>
    <x v="129"/>
    <x v="3"/>
    <x v="0"/>
    <x v="1"/>
    <x v="1"/>
    <x v="1"/>
    <x v="7"/>
    <n v="3"/>
    <n v="93.6"/>
    <n v="0"/>
    <n v="280.79999999999995"/>
  </r>
  <r>
    <x v="802"/>
    <x v="61"/>
    <x v="4"/>
    <x v="1"/>
    <x v="1"/>
    <x v="2"/>
    <x v="2"/>
    <x v="12"/>
    <n v="1"/>
    <n v="21.2"/>
    <n v="0.08"/>
    <n v="19.504000000000001"/>
  </r>
  <r>
    <x v="803"/>
    <x v="240"/>
    <x v="4"/>
    <x v="3"/>
    <x v="1"/>
    <x v="4"/>
    <x v="19"/>
    <x v="13"/>
    <n v="1"/>
    <n v="603.20000000000005"/>
    <n v="0.03"/>
    <n v="585.10400000000004"/>
  </r>
  <r>
    <x v="804"/>
    <x v="23"/>
    <x v="1"/>
    <x v="3"/>
    <x v="1"/>
    <x v="0"/>
    <x v="6"/>
    <x v="9"/>
    <n v="5"/>
    <n v="45"/>
    <n v="0.2"/>
    <n v="180"/>
  </r>
  <r>
    <x v="805"/>
    <x v="142"/>
    <x v="3"/>
    <x v="1"/>
    <x v="1"/>
    <x v="3"/>
    <x v="20"/>
    <x v="6"/>
    <n v="1"/>
    <n v="2425"/>
    <n v="0.2"/>
    <n v="1940"/>
  </r>
  <r>
    <x v="806"/>
    <x v="269"/>
    <x v="4"/>
    <x v="1"/>
    <x v="0"/>
    <x v="1"/>
    <x v="1"/>
    <x v="12"/>
    <n v="3"/>
    <n v="87.3"/>
    <n v="0.15"/>
    <n v="222.61499999999998"/>
  </r>
  <r>
    <x v="807"/>
    <x v="168"/>
    <x v="3"/>
    <x v="0"/>
    <x v="0"/>
    <x v="4"/>
    <x v="19"/>
    <x v="7"/>
    <n v="1"/>
    <n v="591.6"/>
    <n v="0.08"/>
    <n v="544.27200000000005"/>
  </r>
  <r>
    <x v="808"/>
    <x v="65"/>
    <x v="0"/>
    <x v="1"/>
    <x v="1"/>
    <x v="5"/>
    <x v="18"/>
    <x v="0"/>
    <n v="1"/>
    <n v="12"/>
    <n v="0"/>
    <n v="12"/>
  </r>
  <r>
    <x v="809"/>
    <x v="224"/>
    <x v="3"/>
    <x v="2"/>
    <x v="0"/>
    <x v="3"/>
    <x v="9"/>
    <x v="6"/>
    <n v="1"/>
    <n v="1872"/>
    <n v="0"/>
    <n v="1872"/>
  </r>
  <r>
    <x v="810"/>
    <x v="241"/>
    <x v="3"/>
    <x v="3"/>
    <x v="0"/>
    <x v="3"/>
    <x v="20"/>
    <x v="11"/>
    <n v="1"/>
    <n v="2500"/>
    <n v="0"/>
    <n v="2500"/>
  </r>
  <r>
    <x v="811"/>
    <x v="187"/>
    <x v="3"/>
    <x v="3"/>
    <x v="1"/>
    <x v="4"/>
    <x v="13"/>
    <x v="7"/>
    <n v="2"/>
    <n v="1500"/>
    <n v="0.15"/>
    <n v="2550"/>
  </r>
  <r>
    <x v="812"/>
    <x v="294"/>
    <x v="4"/>
    <x v="3"/>
    <x v="0"/>
    <x v="2"/>
    <x v="27"/>
    <x v="14"/>
    <n v="3"/>
    <n v="180"/>
    <n v="0.1"/>
    <n v="486"/>
  </r>
  <r>
    <x v="813"/>
    <x v="313"/>
    <x v="4"/>
    <x v="3"/>
    <x v="0"/>
    <x v="1"/>
    <x v="5"/>
    <x v="14"/>
    <n v="6"/>
    <n v="304"/>
    <n v="0.1"/>
    <n v="1641.6000000000001"/>
  </r>
  <r>
    <x v="814"/>
    <x v="235"/>
    <x v="3"/>
    <x v="2"/>
    <x v="1"/>
    <x v="2"/>
    <x v="27"/>
    <x v="11"/>
    <n v="6"/>
    <n v="183.6"/>
    <n v="0.08"/>
    <n v="1013.472"/>
  </r>
  <r>
    <x v="815"/>
    <x v="57"/>
    <x v="2"/>
    <x v="2"/>
    <x v="0"/>
    <x v="2"/>
    <x v="27"/>
    <x v="4"/>
    <n v="3"/>
    <n v="174.6"/>
    <n v="0.1"/>
    <n v="471.41999999999996"/>
  </r>
  <r>
    <x v="816"/>
    <x v="73"/>
    <x v="3"/>
    <x v="2"/>
    <x v="1"/>
    <x v="3"/>
    <x v="20"/>
    <x v="6"/>
    <n v="1"/>
    <n v="2650"/>
    <n v="0.05"/>
    <n v="2517.5"/>
  </r>
  <r>
    <x v="817"/>
    <x v="36"/>
    <x v="0"/>
    <x v="2"/>
    <x v="0"/>
    <x v="1"/>
    <x v="8"/>
    <x v="5"/>
    <n v="6"/>
    <n v="450"/>
    <n v="0.2"/>
    <n v="2160"/>
  </r>
  <r>
    <x v="818"/>
    <x v="148"/>
    <x v="2"/>
    <x v="0"/>
    <x v="1"/>
    <x v="2"/>
    <x v="3"/>
    <x v="4"/>
    <n v="3"/>
    <n v="285.60000000000002"/>
    <n v="0.2"/>
    <n v="685.44"/>
  </r>
  <r>
    <x v="819"/>
    <x v="77"/>
    <x v="2"/>
    <x v="0"/>
    <x v="1"/>
    <x v="1"/>
    <x v="5"/>
    <x v="4"/>
    <n v="4"/>
    <n v="332.8"/>
    <n v="0.2"/>
    <n v="1064.96"/>
  </r>
  <r>
    <x v="820"/>
    <x v="236"/>
    <x v="1"/>
    <x v="3"/>
    <x v="1"/>
    <x v="1"/>
    <x v="1"/>
    <x v="1"/>
    <n v="1"/>
    <n v="91.8"/>
    <n v="0"/>
    <n v="91.8"/>
  </r>
  <r>
    <x v="821"/>
    <x v="277"/>
    <x v="3"/>
    <x v="0"/>
    <x v="1"/>
    <x v="2"/>
    <x v="27"/>
    <x v="7"/>
    <n v="4"/>
    <n v="180"/>
    <n v="0"/>
    <n v="720"/>
  </r>
  <r>
    <x v="822"/>
    <x v="288"/>
    <x v="3"/>
    <x v="2"/>
    <x v="0"/>
    <x v="3"/>
    <x v="9"/>
    <x v="7"/>
    <n v="1"/>
    <n v="1746"/>
    <n v="0.15"/>
    <n v="1484.1"/>
  </r>
  <r>
    <x v="823"/>
    <x v="259"/>
    <x v="0"/>
    <x v="1"/>
    <x v="1"/>
    <x v="5"/>
    <x v="16"/>
    <x v="5"/>
    <n v="1"/>
    <n v="8.48"/>
    <n v="0.1"/>
    <n v="7.6320000000000006"/>
  </r>
  <r>
    <x v="824"/>
    <x v="104"/>
    <x v="0"/>
    <x v="2"/>
    <x v="0"/>
    <x v="1"/>
    <x v="8"/>
    <x v="0"/>
    <n v="11"/>
    <n v="450"/>
    <n v="0.1"/>
    <n v="4455"/>
  </r>
  <r>
    <x v="825"/>
    <x v="222"/>
    <x v="4"/>
    <x v="0"/>
    <x v="1"/>
    <x v="1"/>
    <x v="8"/>
    <x v="13"/>
    <n v="5"/>
    <n v="450"/>
    <n v="0"/>
    <n v="2250"/>
  </r>
  <r>
    <x v="826"/>
    <x v="314"/>
    <x v="3"/>
    <x v="0"/>
    <x v="1"/>
    <x v="1"/>
    <x v="5"/>
    <x v="11"/>
    <n v="1"/>
    <n v="320"/>
    <n v="0.15"/>
    <n v="272"/>
  </r>
  <r>
    <x v="827"/>
    <x v="106"/>
    <x v="2"/>
    <x v="1"/>
    <x v="0"/>
    <x v="5"/>
    <x v="24"/>
    <x v="10"/>
    <n v="4"/>
    <n v="35"/>
    <n v="0.08"/>
    <n v="128.80000000000001"/>
  </r>
  <r>
    <x v="828"/>
    <x v="300"/>
    <x v="2"/>
    <x v="3"/>
    <x v="0"/>
    <x v="0"/>
    <x v="12"/>
    <x v="4"/>
    <n v="3"/>
    <n v="80"/>
    <n v="0.05"/>
    <n v="228"/>
  </r>
  <r>
    <x v="829"/>
    <x v="240"/>
    <x v="1"/>
    <x v="0"/>
    <x v="1"/>
    <x v="0"/>
    <x v="14"/>
    <x v="8"/>
    <n v="7"/>
    <n v="53.35"/>
    <n v="0.08"/>
    <n v="343.57400000000001"/>
  </r>
  <r>
    <x v="830"/>
    <x v="108"/>
    <x v="2"/>
    <x v="2"/>
    <x v="1"/>
    <x v="1"/>
    <x v="5"/>
    <x v="4"/>
    <n v="7"/>
    <n v="326.39999999999998"/>
    <n v="0.1"/>
    <n v="2056.3199999999997"/>
  </r>
  <r>
    <x v="831"/>
    <x v="114"/>
    <x v="3"/>
    <x v="0"/>
    <x v="1"/>
    <x v="3"/>
    <x v="21"/>
    <x v="6"/>
    <n v="1"/>
    <n v="3000"/>
    <n v="0"/>
    <n v="3000"/>
  </r>
  <r>
    <x v="832"/>
    <x v="315"/>
    <x v="2"/>
    <x v="2"/>
    <x v="1"/>
    <x v="3"/>
    <x v="9"/>
    <x v="10"/>
    <n v="2"/>
    <n v="1800"/>
    <n v="0.03"/>
    <n v="3492"/>
  </r>
  <r>
    <x v="833"/>
    <x v="193"/>
    <x v="4"/>
    <x v="0"/>
    <x v="1"/>
    <x v="0"/>
    <x v="0"/>
    <x v="13"/>
    <n v="3"/>
    <n v="15"/>
    <n v="0.1"/>
    <n v="40.5"/>
  </r>
  <r>
    <x v="834"/>
    <x v="130"/>
    <x v="1"/>
    <x v="0"/>
    <x v="0"/>
    <x v="0"/>
    <x v="6"/>
    <x v="1"/>
    <n v="2"/>
    <n v="45"/>
    <n v="0.08"/>
    <n v="82.8"/>
  </r>
  <r>
    <x v="835"/>
    <x v="298"/>
    <x v="0"/>
    <x v="2"/>
    <x v="1"/>
    <x v="2"/>
    <x v="27"/>
    <x v="5"/>
    <n v="8"/>
    <n v="190.8"/>
    <n v="0.05"/>
    <n v="1450.08"/>
  </r>
  <r>
    <x v="836"/>
    <x v="183"/>
    <x v="0"/>
    <x v="0"/>
    <x v="1"/>
    <x v="0"/>
    <x v="0"/>
    <x v="5"/>
    <n v="4"/>
    <n v="15.3"/>
    <n v="0.03"/>
    <n v="59.364000000000004"/>
  </r>
  <r>
    <x v="837"/>
    <x v="253"/>
    <x v="2"/>
    <x v="3"/>
    <x v="1"/>
    <x v="4"/>
    <x v="13"/>
    <x v="10"/>
    <n v="2"/>
    <n v="1560"/>
    <n v="0.1"/>
    <n v="2808"/>
  </r>
  <r>
    <x v="838"/>
    <x v="14"/>
    <x v="2"/>
    <x v="0"/>
    <x v="1"/>
    <x v="5"/>
    <x v="23"/>
    <x v="10"/>
    <n v="4"/>
    <n v="24.25"/>
    <n v="0.15"/>
    <n v="82.45"/>
  </r>
  <r>
    <x v="839"/>
    <x v="240"/>
    <x v="0"/>
    <x v="1"/>
    <x v="1"/>
    <x v="5"/>
    <x v="26"/>
    <x v="5"/>
    <n v="2"/>
    <n v="18"/>
    <n v="0.05"/>
    <n v="34.199999999999996"/>
  </r>
  <r>
    <x v="840"/>
    <x v="316"/>
    <x v="2"/>
    <x v="0"/>
    <x v="0"/>
    <x v="5"/>
    <x v="23"/>
    <x v="10"/>
    <n v="4"/>
    <n v="26"/>
    <n v="0.15"/>
    <n v="88.399999999999991"/>
  </r>
  <r>
    <x v="841"/>
    <x v="279"/>
    <x v="3"/>
    <x v="3"/>
    <x v="1"/>
    <x v="4"/>
    <x v="19"/>
    <x v="7"/>
    <n v="4"/>
    <n v="614.79999999999995"/>
    <n v="0.1"/>
    <n v="2213.2799999999997"/>
  </r>
  <r>
    <x v="842"/>
    <x v="209"/>
    <x v="2"/>
    <x v="3"/>
    <x v="1"/>
    <x v="2"/>
    <x v="27"/>
    <x v="10"/>
    <n v="2"/>
    <n v="190.8"/>
    <n v="0.08"/>
    <n v="351.07200000000006"/>
  </r>
  <r>
    <x v="843"/>
    <x v="219"/>
    <x v="4"/>
    <x v="1"/>
    <x v="1"/>
    <x v="0"/>
    <x v="10"/>
    <x v="12"/>
    <n v="2"/>
    <n v="40.28"/>
    <n v="0.03"/>
    <n v="78.143199999999993"/>
  </r>
  <r>
    <x v="844"/>
    <x v="207"/>
    <x v="2"/>
    <x v="0"/>
    <x v="1"/>
    <x v="1"/>
    <x v="8"/>
    <x v="10"/>
    <n v="6"/>
    <n v="477"/>
    <n v="0.1"/>
    <n v="2575.8000000000002"/>
  </r>
  <r>
    <x v="845"/>
    <x v="201"/>
    <x v="1"/>
    <x v="0"/>
    <x v="0"/>
    <x v="3"/>
    <x v="20"/>
    <x v="9"/>
    <n v="1"/>
    <n v="2600"/>
    <n v="0"/>
    <n v="2600"/>
  </r>
  <r>
    <x v="846"/>
    <x v="1"/>
    <x v="1"/>
    <x v="0"/>
    <x v="0"/>
    <x v="4"/>
    <x v="11"/>
    <x v="9"/>
    <n v="1"/>
    <n v="850"/>
    <n v="0.03"/>
    <n v="824.5"/>
  </r>
  <r>
    <x v="847"/>
    <x v="216"/>
    <x v="2"/>
    <x v="3"/>
    <x v="0"/>
    <x v="3"/>
    <x v="7"/>
    <x v="10"/>
    <n v="1"/>
    <n v="4200"/>
    <n v="0.1"/>
    <n v="3780"/>
  </r>
  <r>
    <x v="848"/>
    <x v="309"/>
    <x v="0"/>
    <x v="0"/>
    <x v="0"/>
    <x v="0"/>
    <x v="14"/>
    <x v="0"/>
    <n v="6"/>
    <n v="56.1"/>
    <n v="0"/>
    <n v="336.6"/>
  </r>
  <r>
    <x v="849"/>
    <x v="317"/>
    <x v="0"/>
    <x v="0"/>
    <x v="1"/>
    <x v="4"/>
    <x v="11"/>
    <x v="2"/>
    <n v="2"/>
    <n v="867"/>
    <n v="0.15"/>
    <n v="1473.8999999999999"/>
  </r>
  <r>
    <x v="850"/>
    <x v="79"/>
    <x v="0"/>
    <x v="3"/>
    <x v="0"/>
    <x v="2"/>
    <x v="3"/>
    <x v="5"/>
    <n v="1"/>
    <n v="280"/>
    <n v="0.08"/>
    <n v="257.60000000000002"/>
  </r>
  <r>
    <x v="851"/>
    <x v="264"/>
    <x v="3"/>
    <x v="1"/>
    <x v="1"/>
    <x v="0"/>
    <x v="14"/>
    <x v="11"/>
    <n v="2"/>
    <n v="55"/>
    <n v="0"/>
    <n v="110"/>
  </r>
  <r>
    <x v="852"/>
    <x v="318"/>
    <x v="0"/>
    <x v="0"/>
    <x v="0"/>
    <x v="0"/>
    <x v="10"/>
    <x v="2"/>
    <n v="3"/>
    <n v="38"/>
    <n v="0.03"/>
    <n v="110.58"/>
  </r>
  <r>
    <x v="853"/>
    <x v="104"/>
    <x v="2"/>
    <x v="2"/>
    <x v="1"/>
    <x v="3"/>
    <x v="21"/>
    <x v="10"/>
    <n v="1"/>
    <n v="3000"/>
    <n v="0.03"/>
    <n v="2910"/>
  </r>
  <r>
    <x v="854"/>
    <x v="300"/>
    <x v="3"/>
    <x v="1"/>
    <x v="1"/>
    <x v="0"/>
    <x v="6"/>
    <x v="7"/>
    <n v="2"/>
    <n v="46.8"/>
    <n v="0.03"/>
    <n v="90.791999999999987"/>
  </r>
  <r>
    <x v="855"/>
    <x v="172"/>
    <x v="4"/>
    <x v="1"/>
    <x v="1"/>
    <x v="1"/>
    <x v="25"/>
    <x v="14"/>
    <n v="2"/>
    <n v="58.2"/>
    <n v="0.05"/>
    <n v="110.58"/>
  </r>
  <r>
    <x v="856"/>
    <x v="6"/>
    <x v="4"/>
    <x v="0"/>
    <x v="0"/>
    <x v="0"/>
    <x v="0"/>
    <x v="12"/>
    <n v="1"/>
    <n v="15.3"/>
    <n v="0.05"/>
    <n v="14.535"/>
  </r>
  <r>
    <x v="857"/>
    <x v="63"/>
    <x v="4"/>
    <x v="1"/>
    <x v="0"/>
    <x v="0"/>
    <x v="0"/>
    <x v="13"/>
    <n v="4"/>
    <n v="14.25"/>
    <n v="0.08"/>
    <n v="52.440000000000005"/>
  </r>
  <r>
    <x v="858"/>
    <x v="298"/>
    <x v="3"/>
    <x v="2"/>
    <x v="1"/>
    <x v="4"/>
    <x v="11"/>
    <x v="6"/>
    <n v="1"/>
    <n v="850"/>
    <n v="0.05"/>
    <n v="807.5"/>
  </r>
  <r>
    <x v="859"/>
    <x v="92"/>
    <x v="1"/>
    <x v="0"/>
    <x v="1"/>
    <x v="5"/>
    <x v="18"/>
    <x v="1"/>
    <n v="4"/>
    <n v="12"/>
    <n v="0.15"/>
    <n v="40.799999999999997"/>
  </r>
  <r>
    <x v="860"/>
    <x v="66"/>
    <x v="4"/>
    <x v="2"/>
    <x v="1"/>
    <x v="3"/>
    <x v="20"/>
    <x v="12"/>
    <n v="1"/>
    <n v="2375"/>
    <n v="0.08"/>
    <n v="2185"/>
  </r>
  <r>
    <x v="861"/>
    <x v="150"/>
    <x v="0"/>
    <x v="3"/>
    <x v="1"/>
    <x v="0"/>
    <x v="10"/>
    <x v="2"/>
    <n v="3"/>
    <n v="40.28"/>
    <n v="0"/>
    <n v="120.84"/>
  </r>
  <r>
    <x v="862"/>
    <x v="165"/>
    <x v="1"/>
    <x v="3"/>
    <x v="1"/>
    <x v="0"/>
    <x v="10"/>
    <x v="1"/>
    <n v="2"/>
    <n v="38"/>
    <n v="0.2"/>
    <n v="60.800000000000004"/>
  </r>
  <r>
    <x v="863"/>
    <x v="319"/>
    <x v="2"/>
    <x v="3"/>
    <x v="1"/>
    <x v="4"/>
    <x v="19"/>
    <x v="4"/>
    <n v="1"/>
    <n v="580"/>
    <n v="0.08"/>
    <n v="533.6"/>
  </r>
  <r>
    <x v="864"/>
    <x v="57"/>
    <x v="1"/>
    <x v="0"/>
    <x v="0"/>
    <x v="4"/>
    <x v="19"/>
    <x v="9"/>
    <n v="2"/>
    <n v="614.79999999999995"/>
    <n v="0.08"/>
    <n v="1131.232"/>
  </r>
  <r>
    <x v="865"/>
    <x v="198"/>
    <x v="4"/>
    <x v="0"/>
    <x v="0"/>
    <x v="0"/>
    <x v="12"/>
    <x v="14"/>
    <n v="2"/>
    <n v="80"/>
    <n v="0.05"/>
    <n v="152"/>
  </r>
  <r>
    <x v="866"/>
    <x v="116"/>
    <x v="3"/>
    <x v="0"/>
    <x v="1"/>
    <x v="2"/>
    <x v="4"/>
    <x v="7"/>
    <n v="1"/>
    <n v="727.5"/>
    <n v="0.05"/>
    <n v="691.125"/>
  </r>
  <r>
    <x v="867"/>
    <x v="141"/>
    <x v="2"/>
    <x v="2"/>
    <x v="1"/>
    <x v="1"/>
    <x v="1"/>
    <x v="10"/>
    <n v="5"/>
    <n v="90"/>
    <n v="0"/>
    <n v="450"/>
  </r>
  <r>
    <x v="868"/>
    <x v="265"/>
    <x v="0"/>
    <x v="0"/>
    <x v="0"/>
    <x v="0"/>
    <x v="0"/>
    <x v="5"/>
    <n v="4"/>
    <n v="14.55"/>
    <n v="0.1"/>
    <n v="52.38"/>
  </r>
  <r>
    <x v="869"/>
    <x v="90"/>
    <x v="0"/>
    <x v="1"/>
    <x v="1"/>
    <x v="3"/>
    <x v="9"/>
    <x v="2"/>
    <n v="1"/>
    <n v="1800"/>
    <n v="0.1"/>
    <n v="1620"/>
  </r>
  <r>
    <x v="870"/>
    <x v="320"/>
    <x v="0"/>
    <x v="1"/>
    <x v="0"/>
    <x v="4"/>
    <x v="17"/>
    <x v="0"/>
    <n v="1"/>
    <n v="700"/>
    <n v="0.1"/>
    <n v="630"/>
  </r>
  <r>
    <x v="871"/>
    <x v="288"/>
    <x v="3"/>
    <x v="0"/>
    <x v="0"/>
    <x v="3"/>
    <x v="20"/>
    <x v="6"/>
    <n v="1"/>
    <n v="2600"/>
    <n v="0"/>
    <n v="2600"/>
  </r>
  <r>
    <x v="872"/>
    <x v="212"/>
    <x v="1"/>
    <x v="2"/>
    <x v="1"/>
    <x v="1"/>
    <x v="5"/>
    <x v="1"/>
    <n v="8"/>
    <n v="304"/>
    <n v="0.05"/>
    <n v="2310.4"/>
  </r>
  <r>
    <x v="873"/>
    <x v="175"/>
    <x v="0"/>
    <x v="2"/>
    <x v="0"/>
    <x v="3"/>
    <x v="15"/>
    <x v="0"/>
    <n v="1"/>
    <n v="3200"/>
    <n v="0.08"/>
    <n v="2944"/>
  </r>
  <r>
    <x v="874"/>
    <x v="95"/>
    <x v="3"/>
    <x v="0"/>
    <x v="1"/>
    <x v="3"/>
    <x v="15"/>
    <x v="11"/>
    <n v="1"/>
    <n v="3200"/>
    <n v="0.1"/>
    <n v="2880"/>
  </r>
  <r>
    <x v="875"/>
    <x v="287"/>
    <x v="4"/>
    <x v="0"/>
    <x v="0"/>
    <x v="1"/>
    <x v="8"/>
    <x v="14"/>
    <n v="5"/>
    <n v="427.5"/>
    <n v="0.03"/>
    <n v="2073.375"/>
  </r>
  <r>
    <x v="876"/>
    <x v="146"/>
    <x v="4"/>
    <x v="0"/>
    <x v="0"/>
    <x v="0"/>
    <x v="14"/>
    <x v="12"/>
    <n v="2"/>
    <n v="55"/>
    <n v="0.03"/>
    <n v="106.7"/>
  </r>
  <r>
    <x v="877"/>
    <x v="321"/>
    <x v="0"/>
    <x v="3"/>
    <x v="1"/>
    <x v="2"/>
    <x v="4"/>
    <x v="0"/>
    <n v="7"/>
    <n v="727.5"/>
    <n v="0.05"/>
    <n v="4837.875"/>
  </r>
  <r>
    <x v="878"/>
    <x v="48"/>
    <x v="4"/>
    <x v="3"/>
    <x v="0"/>
    <x v="0"/>
    <x v="22"/>
    <x v="13"/>
    <n v="2"/>
    <n v="65"/>
    <n v="0.05"/>
    <n v="123.5"/>
  </r>
  <r>
    <x v="879"/>
    <x v="113"/>
    <x v="3"/>
    <x v="2"/>
    <x v="1"/>
    <x v="3"/>
    <x v="15"/>
    <x v="11"/>
    <n v="3"/>
    <n v="3200"/>
    <n v="0.1"/>
    <n v="8640"/>
  </r>
  <r>
    <x v="880"/>
    <x v="316"/>
    <x v="3"/>
    <x v="2"/>
    <x v="1"/>
    <x v="2"/>
    <x v="4"/>
    <x v="11"/>
    <n v="4"/>
    <n v="765"/>
    <n v="0.08"/>
    <n v="2815.2000000000003"/>
  </r>
  <r>
    <x v="881"/>
    <x v="49"/>
    <x v="1"/>
    <x v="3"/>
    <x v="0"/>
    <x v="0"/>
    <x v="22"/>
    <x v="9"/>
    <n v="4"/>
    <n v="65"/>
    <n v="0.05"/>
    <n v="247"/>
  </r>
  <r>
    <x v="882"/>
    <x v="123"/>
    <x v="3"/>
    <x v="1"/>
    <x v="1"/>
    <x v="0"/>
    <x v="0"/>
    <x v="7"/>
    <n v="2"/>
    <n v="15"/>
    <n v="0.08"/>
    <n v="27.6"/>
  </r>
  <r>
    <x v="883"/>
    <x v="322"/>
    <x v="1"/>
    <x v="0"/>
    <x v="0"/>
    <x v="1"/>
    <x v="5"/>
    <x v="1"/>
    <n v="1"/>
    <n v="310.39999999999998"/>
    <n v="0"/>
    <n v="310.39999999999998"/>
  </r>
  <r>
    <x v="884"/>
    <x v="71"/>
    <x v="3"/>
    <x v="3"/>
    <x v="0"/>
    <x v="0"/>
    <x v="22"/>
    <x v="7"/>
    <n v="2"/>
    <n v="65"/>
    <n v="0.15"/>
    <n v="110.5"/>
  </r>
  <r>
    <x v="885"/>
    <x v="12"/>
    <x v="1"/>
    <x v="0"/>
    <x v="0"/>
    <x v="1"/>
    <x v="8"/>
    <x v="9"/>
    <n v="2"/>
    <n v="450"/>
    <n v="0"/>
    <n v="900"/>
  </r>
  <r>
    <x v="886"/>
    <x v="323"/>
    <x v="2"/>
    <x v="1"/>
    <x v="1"/>
    <x v="4"/>
    <x v="11"/>
    <x v="10"/>
    <n v="1"/>
    <n v="807.5"/>
    <n v="0"/>
    <n v="807.5"/>
  </r>
  <r>
    <x v="887"/>
    <x v="167"/>
    <x v="3"/>
    <x v="1"/>
    <x v="1"/>
    <x v="4"/>
    <x v="11"/>
    <x v="11"/>
    <n v="1"/>
    <n v="850"/>
    <n v="0.08"/>
    <n v="782"/>
  </r>
  <r>
    <x v="888"/>
    <x v="319"/>
    <x v="2"/>
    <x v="0"/>
    <x v="0"/>
    <x v="1"/>
    <x v="5"/>
    <x v="4"/>
    <n v="1"/>
    <n v="320"/>
    <n v="0.1"/>
    <n v="288"/>
  </r>
  <r>
    <x v="889"/>
    <x v="257"/>
    <x v="1"/>
    <x v="3"/>
    <x v="1"/>
    <x v="4"/>
    <x v="11"/>
    <x v="1"/>
    <n v="4"/>
    <n v="884"/>
    <n v="0.05"/>
    <n v="3359.2"/>
  </r>
  <r>
    <x v="890"/>
    <x v="156"/>
    <x v="2"/>
    <x v="0"/>
    <x v="1"/>
    <x v="0"/>
    <x v="22"/>
    <x v="3"/>
    <n v="5"/>
    <n v="63.05"/>
    <n v="0.05"/>
    <n v="299.48750000000001"/>
  </r>
  <r>
    <x v="891"/>
    <x v="207"/>
    <x v="3"/>
    <x v="0"/>
    <x v="1"/>
    <x v="1"/>
    <x v="5"/>
    <x v="7"/>
    <n v="1"/>
    <n v="320"/>
    <n v="0"/>
    <n v="320"/>
  </r>
  <r>
    <x v="892"/>
    <x v="292"/>
    <x v="2"/>
    <x v="0"/>
    <x v="1"/>
    <x v="0"/>
    <x v="12"/>
    <x v="4"/>
    <n v="4"/>
    <n v="76"/>
    <n v="0.03"/>
    <n v="294.88"/>
  </r>
  <r>
    <x v="893"/>
    <x v="269"/>
    <x v="2"/>
    <x v="0"/>
    <x v="1"/>
    <x v="4"/>
    <x v="17"/>
    <x v="3"/>
    <n v="1"/>
    <n v="665"/>
    <n v="0"/>
    <n v="665"/>
  </r>
  <r>
    <x v="894"/>
    <x v="151"/>
    <x v="0"/>
    <x v="3"/>
    <x v="1"/>
    <x v="0"/>
    <x v="14"/>
    <x v="0"/>
    <n v="7"/>
    <n v="56.1"/>
    <n v="0.1"/>
    <n v="353.43"/>
  </r>
  <r>
    <x v="895"/>
    <x v="216"/>
    <x v="0"/>
    <x v="0"/>
    <x v="1"/>
    <x v="0"/>
    <x v="12"/>
    <x v="0"/>
    <n v="2"/>
    <n v="83.2"/>
    <n v="0.15"/>
    <n v="141.44"/>
  </r>
  <r>
    <x v="896"/>
    <x v="318"/>
    <x v="0"/>
    <x v="0"/>
    <x v="1"/>
    <x v="2"/>
    <x v="4"/>
    <x v="5"/>
    <n v="5"/>
    <n v="750"/>
    <n v="0.08"/>
    <n v="3450"/>
  </r>
  <r>
    <x v="897"/>
    <x v="32"/>
    <x v="1"/>
    <x v="3"/>
    <x v="1"/>
    <x v="4"/>
    <x v="13"/>
    <x v="9"/>
    <n v="3"/>
    <n v="1590"/>
    <n v="0.05"/>
    <n v="4531.5"/>
  </r>
  <r>
    <x v="898"/>
    <x v="306"/>
    <x v="1"/>
    <x v="3"/>
    <x v="1"/>
    <x v="3"/>
    <x v="20"/>
    <x v="9"/>
    <n v="3"/>
    <n v="2425"/>
    <n v="0.08"/>
    <n v="6693"/>
  </r>
  <r>
    <x v="899"/>
    <x v="175"/>
    <x v="2"/>
    <x v="3"/>
    <x v="1"/>
    <x v="2"/>
    <x v="3"/>
    <x v="3"/>
    <n v="1"/>
    <n v="296.8"/>
    <n v="0.05"/>
    <n v="281.95999999999998"/>
  </r>
  <r>
    <x v="900"/>
    <x v="60"/>
    <x v="1"/>
    <x v="0"/>
    <x v="0"/>
    <x v="1"/>
    <x v="1"/>
    <x v="9"/>
    <n v="8"/>
    <n v="90"/>
    <n v="0.2"/>
    <n v="576"/>
  </r>
  <r>
    <x v="901"/>
    <x v="113"/>
    <x v="3"/>
    <x v="3"/>
    <x v="1"/>
    <x v="3"/>
    <x v="9"/>
    <x v="7"/>
    <n v="1"/>
    <n v="1872"/>
    <n v="0.08"/>
    <n v="1722.24"/>
  </r>
  <r>
    <x v="902"/>
    <x v="80"/>
    <x v="1"/>
    <x v="1"/>
    <x v="0"/>
    <x v="0"/>
    <x v="14"/>
    <x v="8"/>
    <n v="2"/>
    <n v="58.3"/>
    <n v="0.1"/>
    <n v="104.94"/>
  </r>
  <r>
    <x v="903"/>
    <x v="17"/>
    <x v="2"/>
    <x v="2"/>
    <x v="1"/>
    <x v="4"/>
    <x v="11"/>
    <x v="3"/>
    <n v="1"/>
    <n v="824.5"/>
    <n v="0.03"/>
    <n v="799.76499999999999"/>
  </r>
  <r>
    <x v="904"/>
    <x v="265"/>
    <x v="4"/>
    <x v="1"/>
    <x v="0"/>
    <x v="4"/>
    <x v="17"/>
    <x v="14"/>
    <n v="1"/>
    <n v="679"/>
    <n v="0.1"/>
    <n v="611.1"/>
  </r>
  <r>
    <x v="905"/>
    <x v="85"/>
    <x v="4"/>
    <x v="0"/>
    <x v="0"/>
    <x v="1"/>
    <x v="5"/>
    <x v="12"/>
    <n v="1"/>
    <n v="339.2"/>
    <n v="0.05"/>
    <n v="322.23999999999995"/>
  </r>
  <r>
    <x v="906"/>
    <x v="288"/>
    <x v="2"/>
    <x v="0"/>
    <x v="1"/>
    <x v="2"/>
    <x v="27"/>
    <x v="3"/>
    <n v="6"/>
    <n v="171"/>
    <n v="0.05"/>
    <n v="974.69999999999993"/>
  </r>
  <r>
    <x v="907"/>
    <x v="254"/>
    <x v="2"/>
    <x v="3"/>
    <x v="1"/>
    <x v="1"/>
    <x v="25"/>
    <x v="10"/>
    <n v="3"/>
    <n v="60"/>
    <n v="0.03"/>
    <n v="174.6"/>
  </r>
  <r>
    <x v="908"/>
    <x v="31"/>
    <x v="4"/>
    <x v="2"/>
    <x v="1"/>
    <x v="4"/>
    <x v="13"/>
    <x v="14"/>
    <n v="3"/>
    <n v="1500"/>
    <n v="0"/>
    <n v="4500"/>
  </r>
  <r>
    <x v="909"/>
    <x v="162"/>
    <x v="4"/>
    <x v="0"/>
    <x v="1"/>
    <x v="4"/>
    <x v="11"/>
    <x v="14"/>
    <n v="1"/>
    <n v="884"/>
    <n v="0.08"/>
    <n v="813.28000000000009"/>
  </r>
  <r>
    <x v="910"/>
    <x v="81"/>
    <x v="3"/>
    <x v="1"/>
    <x v="0"/>
    <x v="1"/>
    <x v="5"/>
    <x v="7"/>
    <n v="3"/>
    <n v="326.39999999999998"/>
    <n v="0.15"/>
    <n v="832.31999999999994"/>
  </r>
  <r>
    <x v="911"/>
    <x v="270"/>
    <x v="0"/>
    <x v="0"/>
    <x v="1"/>
    <x v="2"/>
    <x v="27"/>
    <x v="2"/>
    <n v="1"/>
    <n v="183.6"/>
    <n v="0.2"/>
    <n v="146.88"/>
  </r>
  <r>
    <x v="912"/>
    <x v="206"/>
    <x v="2"/>
    <x v="1"/>
    <x v="1"/>
    <x v="0"/>
    <x v="14"/>
    <x v="10"/>
    <n v="1"/>
    <n v="53.35"/>
    <n v="0.1"/>
    <n v="48.015000000000001"/>
  </r>
  <r>
    <x v="913"/>
    <x v="120"/>
    <x v="0"/>
    <x v="1"/>
    <x v="0"/>
    <x v="0"/>
    <x v="22"/>
    <x v="2"/>
    <n v="2"/>
    <n v="61.75"/>
    <n v="0.08"/>
    <n v="113.62"/>
  </r>
  <r>
    <x v="914"/>
    <x v="25"/>
    <x v="3"/>
    <x v="0"/>
    <x v="1"/>
    <x v="2"/>
    <x v="27"/>
    <x v="11"/>
    <n v="2"/>
    <n v="187.2"/>
    <n v="0.15"/>
    <n v="318.23999999999995"/>
  </r>
  <r>
    <x v="915"/>
    <x v="149"/>
    <x v="4"/>
    <x v="3"/>
    <x v="1"/>
    <x v="3"/>
    <x v="21"/>
    <x v="12"/>
    <n v="1"/>
    <n v="3000"/>
    <n v="0.05"/>
    <n v="2850"/>
  </r>
  <r>
    <x v="916"/>
    <x v="315"/>
    <x v="0"/>
    <x v="2"/>
    <x v="1"/>
    <x v="2"/>
    <x v="3"/>
    <x v="5"/>
    <n v="10"/>
    <n v="271.60000000000002"/>
    <n v="0"/>
    <n v="2716"/>
  </r>
  <r>
    <x v="917"/>
    <x v="100"/>
    <x v="4"/>
    <x v="1"/>
    <x v="1"/>
    <x v="2"/>
    <x v="3"/>
    <x v="12"/>
    <n v="3"/>
    <n v="296.8"/>
    <n v="0.1"/>
    <n v="801.36000000000013"/>
  </r>
  <r>
    <x v="918"/>
    <x v="75"/>
    <x v="2"/>
    <x v="2"/>
    <x v="1"/>
    <x v="3"/>
    <x v="7"/>
    <x v="3"/>
    <n v="1"/>
    <n v="4074"/>
    <n v="0.1"/>
    <n v="3666.6"/>
  </r>
  <r>
    <x v="919"/>
    <x v="119"/>
    <x v="0"/>
    <x v="2"/>
    <x v="1"/>
    <x v="2"/>
    <x v="4"/>
    <x v="2"/>
    <n v="5"/>
    <n v="750"/>
    <n v="0.1"/>
    <n v="3375"/>
  </r>
  <r>
    <x v="920"/>
    <x v="196"/>
    <x v="3"/>
    <x v="2"/>
    <x v="0"/>
    <x v="2"/>
    <x v="3"/>
    <x v="7"/>
    <n v="2"/>
    <n v="266"/>
    <n v="0.15"/>
    <n v="452.2"/>
  </r>
  <r>
    <x v="921"/>
    <x v="199"/>
    <x v="4"/>
    <x v="0"/>
    <x v="1"/>
    <x v="3"/>
    <x v="21"/>
    <x v="13"/>
    <n v="1"/>
    <n v="3120"/>
    <n v="0.1"/>
    <n v="2808"/>
  </r>
  <r>
    <x v="922"/>
    <x v="297"/>
    <x v="1"/>
    <x v="3"/>
    <x v="1"/>
    <x v="1"/>
    <x v="1"/>
    <x v="1"/>
    <n v="3"/>
    <n v="91.8"/>
    <n v="0.08"/>
    <n v="253.36799999999999"/>
  </r>
  <r>
    <x v="923"/>
    <x v="113"/>
    <x v="1"/>
    <x v="1"/>
    <x v="1"/>
    <x v="5"/>
    <x v="24"/>
    <x v="1"/>
    <n v="7"/>
    <n v="35"/>
    <n v="0.03"/>
    <n v="237.65"/>
  </r>
  <r>
    <x v="924"/>
    <x v="46"/>
    <x v="0"/>
    <x v="1"/>
    <x v="0"/>
    <x v="1"/>
    <x v="8"/>
    <x v="2"/>
    <n v="1"/>
    <n v="468"/>
    <n v="0.08"/>
    <n v="430.56"/>
  </r>
  <r>
    <x v="925"/>
    <x v="236"/>
    <x v="4"/>
    <x v="0"/>
    <x v="1"/>
    <x v="0"/>
    <x v="12"/>
    <x v="14"/>
    <n v="4"/>
    <n v="80"/>
    <n v="0.1"/>
    <n v="288"/>
  </r>
  <r>
    <x v="926"/>
    <x v="178"/>
    <x v="2"/>
    <x v="0"/>
    <x v="0"/>
    <x v="0"/>
    <x v="12"/>
    <x v="10"/>
    <n v="1"/>
    <n v="77.599999999999994"/>
    <n v="0.15"/>
    <n v="65.959999999999994"/>
  </r>
  <r>
    <x v="927"/>
    <x v="272"/>
    <x v="4"/>
    <x v="0"/>
    <x v="0"/>
    <x v="5"/>
    <x v="18"/>
    <x v="14"/>
    <n v="1"/>
    <n v="12.48"/>
    <n v="0.08"/>
    <n v="11.4816"/>
  </r>
  <r>
    <x v="928"/>
    <x v="324"/>
    <x v="0"/>
    <x v="0"/>
    <x v="1"/>
    <x v="5"/>
    <x v="26"/>
    <x v="0"/>
    <n v="1"/>
    <n v="18"/>
    <n v="0"/>
    <n v="18"/>
  </r>
  <r>
    <x v="929"/>
    <x v="194"/>
    <x v="1"/>
    <x v="0"/>
    <x v="1"/>
    <x v="2"/>
    <x v="27"/>
    <x v="1"/>
    <n v="1"/>
    <n v="171"/>
    <n v="0.1"/>
    <n v="153.9"/>
  </r>
  <r>
    <x v="930"/>
    <x v="307"/>
    <x v="1"/>
    <x v="1"/>
    <x v="1"/>
    <x v="0"/>
    <x v="10"/>
    <x v="1"/>
    <n v="6"/>
    <n v="36.86"/>
    <n v="0"/>
    <n v="221.16"/>
  </r>
  <r>
    <x v="931"/>
    <x v="53"/>
    <x v="0"/>
    <x v="0"/>
    <x v="0"/>
    <x v="0"/>
    <x v="6"/>
    <x v="2"/>
    <n v="4"/>
    <n v="45.9"/>
    <n v="0.05"/>
    <n v="174.42"/>
  </r>
  <r>
    <x v="932"/>
    <x v="41"/>
    <x v="1"/>
    <x v="3"/>
    <x v="1"/>
    <x v="0"/>
    <x v="22"/>
    <x v="8"/>
    <n v="7"/>
    <n v="65"/>
    <n v="0"/>
    <n v="455"/>
  </r>
  <r>
    <x v="933"/>
    <x v="69"/>
    <x v="2"/>
    <x v="2"/>
    <x v="1"/>
    <x v="4"/>
    <x v="13"/>
    <x v="3"/>
    <n v="2"/>
    <n v="1530"/>
    <n v="0.08"/>
    <n v="2815.2000000000003"/>
  </r>
  <r>
    <x v="934"/>
    <x v="5"/>
    <x v="4"/>
    <x v="1"/>
    <x v="0"/>
    <x v="0"/>
    <x v="6"/>
    <x v="12"/>
    <n v="3"/>
    <n v="45"/>
    <n v="0.03"/>
    <n v="130.94999999999999"/>
  </r>
  <r>
    <x v="935"/>
    <x v="325"/>
    <x v="4"/>
    <x v="0"/>
    <x v="0"/>
    <x v="3"/>
    <x v="20"/>
    <x v="14"/>
    <n v="1"/>
    <n v="2550"/>
    <n v="0.05"/>
    <n v="2422.5"/>
  </r>
  <r>
    <x v="936"/>
    <x v="162"/>
    <x v="4"/>
    <x v="0"/>
    <x v="1"/>
    <x v="1"/>
    <x v="5"/>
    <x v="13"/>
    <n v="3"/>
    <n v="339.2"/>
    <n v="0.03"/>
    <n v="987.07199999999989"/>
  </r>
  <r>
    <x v="937"/>
    <x v="173"/>
    <x v="4"/>
    <x v="0"/>
    <x v="0"/>
    <x v="4"/>
    <x v="19"/>
    <x v="14"/>
    <n v="2"/>
    <n v="603.20000000000005"/>
    <n v="0.03"/>
    <n v="1170.2080000000001"/>
  </r>
  <r>
    <x v="938"/>
    <x v="126"/>
    <x v="3"/>
    <x v="1"/>
    <x v="1"/>
    <x v="4"/>
    <x v="19"/>
    <x v="11"/>
    <n v="1"/>
    <n v="614.79999999999995"/>
    <n v="0.03"/>
    <n v="596.35599999999999"/>
  </r>
  <r>
    <x v="939"/>
    <x v="252"/>
    <x v="4"/>
    <x v="2"/>
    <x v="1"/>
    <x v="2"/>
    <x v="27"/>
    <x v="13"/>
    <n v="3"/>
    <n v="180"/>
    <n v="0.2"/>
    <n v="432"/>
  </r>
  <r>
    <x v="940"/>
    <x v="148"/>
    <x v="1"/>
    <x v="0"/>
    <x v="0"/>
    <x v="4"/>
    <x v="17"/>
    <x v="9"/>
    <n v="1"/>
    <n v="700"/>
    <n v="0.15"/>
    <n v="595"/>
  </r>
  <r>
    <x v="941"/>
    <x v="103"/>
    <x v="4"/>
    <x v="1"/>
    <x v="1"/>
    <x v="1"/>
    <x v="1"/>
    <x v="13"/>
    <n v="5"/>
    <n v="95.4"/>
    <n v="0.2"/>
    <n v="381.6"/>
  </r>
  <r>
    <x v="942"/>
    <x v="199"/>
    <x v="2"/>
    <x v="0"/>
    <x v="1"/>
    <x v="0"/>
    <x v="10"/>
    <x v="4"/>
    <n v="1"/>
    <n v="39.520000000000003"/>
    <n v="0.03"/>
    <n v="38.334400000000002"/>
  </r>
  <r>
    <x v="943"/>
    <x v="202"/>
    <x v="3"/>
    <x v="1"/>
    <x v="0"/>
    <x v="1"/>
    <x v="8"/>
    <x v="6"/>
    <n v="6"/>
    <n v="450"/>
    <n v="0"/>
    <n v="2700"/>
  </r>
  <r>
    <x v="944"/>
    <x v="13"/>
    <x v="4"/>
    <x v="2"/>
    <x v="1"/>
    <x v="3"/>
    <x v="20"/>
    <x v="14"/>
    <n v="1"/>
    <n v="2500"/>
    <n v="0.03"/>
    <n v="2425"/>
  </r>
  <r>
    <x v="945"/>
    <x v="110"/>
    <x v="1"/>
    <x v="3"/>
    <x v="1"/>
    <x v="1"/>
    <x v="8"/>
    <x v="9"/>
    <n v="3"/>
    <n v="450"/>
    <n v="0.1"/>
    <n v="1215"/>
  </r>
  <r>
    <x v="946"/>
    <x v="298"/>
    <x v="1"/>
    <x v="0"/>
    <x v="1"/>
    <x v="1"/>
    <x v="25"/>
    <x v="1"/>
    <n v="3"/>
    <n v="60"/>
    <n v="0.1"/>
    <n v="162"/>
  </r>
  <r>
    <x v="947"/>
    <x v="184"/>
    <x v="3"/>
    <x v="0"/>
    <x v="0"/>
    <x v="0"/>
    <x v="14"/>
    <x v="7"/>
    <n v="2"/>
    <n v="55"/>
    <n v="0.03"/>
    <n v="106.7"/>
  </r>
  <r>
    <x v="948"/>
    <x v="302"/>
    <x v="3"/>
    <x v="2"/>
    <x v="0"/>
    <x v="4"/>
    <x v="11"/>
    <x v="11"/>
    <n v="4"/>
    <n v="824.5"/>
    <n v="0.03"/>
    <n v="3199.06"/>
  </r>
  <r>
    <x v="949"/>
    <x v="253"/>
    <x v="3"/>
    <x v="1"/>
    <x v="1"/>
    <x v="0"/>
    <x v="10"/>
    <x v="7"/>
    <n v="1"/>
    <n v="39.520000000000003"/>
    <n v="0.05"/>
    <n v="37.544000000000004"/>
  </r>
  <r>
    <x v="950"/>
    <x v="113"/>
    <x v="1"/>
    <x v="0"/>
    <x v="0"/>
    <x v="0"/>
    <x v="14"/>
    <x v="8"/>
    <n v="2"/>
    <n v="55"/>
    <n v="0.05"/>
    <n v="104.5"/>
  </r>
  <r>
    <x v="951"/>
    <x v="18"/>
    <x v="2"/>
    <x v="1"/>
    <x v="0"/>
    <x v="0"/>
    <x v="14"/>
    <x v="3"/>
    <n v="3"/>
    <n v="57.2"/>
    <n v="0"/>
    <n v="171.60000000000002"/>
  </r>
  <r>
    <x v="952"/>
    <x v="326"/>
    <x v="0"/>
    <x v="2"/>
    <x v="1"/>
    <x v="3"/>
    <x v="7"/>
    <x v="2"/>
    <n v="1"/>
    <n v="4200"/>
    <n v="0.08"/>
    <n v="3864"/>
  </r>
  <r>
    <x v="953"/>
    <x v="176"/>
    <x v="0"/>
    <x v="2"/>
    <x v="1"/>
    <x v="3"/>
    <x v="15"/>
    <x v="5"/>
    <n v="1"/>
    <n v="3040"/>
    <n v="0.03"/>
    <n v="2948.7999999999997"/>
  </r>
  <r>
    <x v="954"/>
    <x v="193"/>
    <x v="3"/>
    <x v="2"/>
    <x v="1"/>
    <x v="4"/>
    <x v="11"/>
    <x v="6"/>
    <n v="1"/>
    <n v="850"/>
    <n v="0.03"/>
    <n v="824.5"/>
  </r>
  <r>
    <x v="955"/>
    <x v="247"/>
    <x v="0"/>
    <x v="0"/>
    <x v="0"/>
    <x v="0"/>
    <x v="0"/>
    <x v="5"/>
    <n v="4"/>
    <n v="15.9"/>
    <n v="0.1"/>
    <n v="57.24"/>
  </r>
  <r>
    <x v="956"/>
    <x v="191"/>
    <x v="0"/>
    <x v="0"/>
    <x v="0"/>
    <x v="4"/>
    <x v="19"/>
    <x v="2"/>
    <n v="1"/>
    <n v="614.79999999999995"/>
    <n v="0"/>
    <n v="614.79999999999995"/>
  </r>
  <r>
    <x v="957"/>
    <x v="209"/>
    <x v="0"/>
    <x v="3"/>
    <x v="1"/>
    <x v="2"/>
    <x v="3"/>
    <x v="0"/>
    <n v="5"/>
    <n v="296.8"/>
    <n v="0.08"/>
    <n v="1365.28"/>
  </r>
  <r>
    <x v="958"/>
    <x v="297"/>
    <x v="0"/>
    <x v="0"/>
    <x v="0"/>
    <x v="4"/>
    <x v="11"/>
    <x v="2"/>
    <n v="1"/>
    <n v="824.5"/>
    <n v="0.15"/>
    <n v="700.82499999999993"/>
  </r>
  <r>
    <x v="959"/>
    <x v="179"/>
    <x v="4"/>
    <x v="1"/>
    <x v="1"/>
    <x v="3"/>
    <x v="7"/>
    <x v="14"/>
    <n v="2"/>
    <n v="3990"/>
    <n v="0.05"/>
    <n v="7581"/>
  </r>
  <r>
    <x v="960"/>
    <x v="110"/>
    <x v="0"/>
    <x v="3"/>
    <x v="1"/>
    <x v="4"/>
    <x v="13"/>
    <x v="0"/>
    <n v="1"/>
    <n v="1425"/>
    <n v="0.08"/>
    <n v="1311"/>
  </r>
  <r>
    <x v="961"/>
    <x v="113"/>
    <x v="4"/>
    <x v="0"/>
    <x v="1"/>
    <x v="1"/>
    <x v="1"/>
    <x v="14"/>
    <n v="1"/>
    <n v="91.8"/>
    <n v="0"/>
    <n v="91.8"/>
  </r>
  <r>
    <x v="962"/>
    <x v="26"/>
    <x v="3"/>
    <x v="2"/>
    <x v="1"/>
    <x v="4"/>
    <x v="11"/>
    <x v="11"/>
    <n v="4"/>
    <n v="850"/>
    <n v="0.05"/>
    <n v="3230"/>
  </r>
  <r>
    <x v="963"/>
    <x v="195"/>
    <x v="3"/>
    <x v="0"/>
    <x v="0"/>
    <x v="4"/>
    <x v="13"/>
    <x v="11"/>
    <n v="1"/>
    <n v="1455"/>
    <n v="0.08"/>
    <n v="1338.6000000000001"/>
  </r>
  <r>
    <x v="964"/>
    <x v="252"/>
    <x v="1"/>
    <x v="2"/>
    <x v="1"/>
    <x v="3"/>
    <x v="9"/>
    <x v="9"/>
    <n v="1"/>
    <n v="1800"/>
    <n v="0.05"/>
    <n v="1710"/>
  </r>
  <r>
    <x v="965"/>
    <x v="182"/>
    <x v="2"/>
    <x v="3"/>
    <x v="0"/>
    <x v="4"/>
    <x v="19"/>
    <x v="10"/>
    <n v="1"/>
    <n v="603.20000000000005"/>
    <n v="0.15"/>
    <n v="512.72"/>
  </r>
  <r>
    <x v="966"/>
    <x v="189"/>
    <x v="3"/>
    <x v="2"/>
    <x v="1"/>
    <x v="2"/>
    <x v="4"/>
    <x v="7"/>
    <n v="9"/>
    <n v="727.5"/>
    <n v="0.03"/>
    <n v="6351.0749999999998"/>
  </r>
  <r>
    <x v="967"/>
    <x v="276"/>
    <x v="3"/>
    <x v="0"/>
    <x v="0"/>
    <x v="2"/>
    <x v="4"/>
    <x v="6"/>
    <n v="2"/>
    <n v="780"/>
    <n v="0.15"/>
    <n v="1326"/>
  </r>
  <r>
    <x v="968"/>
    <x v="148"/>
    <x v="4"/>
    <x v="0"/>
    <x v="1"/>
    <x v="1"/>
    <x v="25"/>
    <x v="13"/>
    <n v="4"/>
    <n v="60"/>
    <n v="0.05"/>
    <n v="228"/>
  </r>
  <r>
    <x v="969"/>
    <x v="97"/>
    <x v="4"/>
    <x v="0"/>
    <x v="1"/>
    <x v="1"/>
    <x v="5"/>
    <x v="13"/>
    <n v="4"/>
    <n v="332.8"/>
    <n v="0.15"/>
    <n v="1131.52"/>
  </r>
  <r>
    <x v="970"/>
    <x v="137"/>
    <x v="0"/>
    <x v="1"/>
    <x v="1"/>
    <x v="3"/>
    <x v="9"/>
    <x v="2"/>
    <n v="1"/>
    <n v="1872"/>
    <n v="0.2"/>
    <n v="1497.6000000000001"/>
  </r>
  <r>
    <x v="971"/>
    <x v="139"/>
    <x v="2"/>
    <x v="2"/>
    <x v="0"/>
    <x v="3"/>
    <x v="9"/>
    <x v="4"/>
    <n v="1"/>
    <n v="1800"/>
    <n v="0.05"/>
    <n v="1710"/>
  </r>
  <r>
    <x v="972"/>
    <x v="74"/>
    <x v="3"/>
    <x v="0"/>
    <x v="1"/>
    <x v="0"/>
    <x v="0"/>
    <x v="7"/>
    <n v="2"/>
    <n v="14.25"/>
    <n v="0.1"/>
    <n v="25.650000000000002"/>
  </r>
  <r>
    <x v="973"/>
    <x v="117"/>
    <x v="2"/>
    <x v="0"/>
    <x v="1"/>
    <x v="0"/>
    <x v="12"/>
    <x v="4"/>
    <n v="5"/>
    <n v="77.599999999999994"/>
    <n v="0.1"/>
    <n v="349.2"/>
  </r>
  <r>
    <x v="974"/>
    <x v="326"/>
    <x v="2"/>
    <x v="1"/>
    <x v="1"/>
    <x v="1"/>
    <x v="5"/>
    <x v="10"/>
    <n v="3"/>
    <n v="320"/>
    <n v="0.2"/>
    <n v="768"/>
  </r>
  <r>
    <x v="975"/>
    <x v="35"/>
    <x v="0"/>
    <x v="0"/>
    <x v="1"/>
    <x v="1"/>
    <x v="8"/>
    <x v="0"/>
    <n v="3"/>
    <n v="477"/>
    <n v="0.03"/>
    <n v="1388.07"/>
  </r>
  <r>
    <x v="976"/>
    <x v="327"/>
    <x v="3"/>
    <x v="1"/>
    <x v="0"/>
    <x v="0"/>
    <x v="6"/>
    <x v="11"/>
    <n v="2"/>
    <n v="47.7"/>
    <n v="0.15"/>
    <n v="81.09"/>
  </r>
  <r>
    <x v="977"/>
    <x v="144"/>
    <x v="3"/>
    <x v="3"/>
    <x v="1"/>
    <x v="5"/>
    <x v="26"/>
    <x v="6"/>
    <n v="2"/>
    <n v="17.46"/>
    <n v="0.1"/>
    <n v="31.428000000000001"/>
  </r>
  <r>
    <x v="978"/>
    <x v="53"/>
    <x v="0"/>
    <x v="0"/>
    <x v="1"/>
    <x v="4"/>
    <x v="17"/>
    <x v="5"/>
    <n v="1"/>
    <n v="742"/>
    <n v="0.08"/>
    <n v="682.64"/>
  </r>
  <r>
    <x v="979"/>
    <x v="277"/>
    <x v="4"/>
    <x v="1"/>
    <x v="1"/>
    <x v="4"/>
    <x v="17"/>
    <x v="12"/>
    <n v="1"/>
    <n v="700"/>
    <n v="0.05"/>
    <n v="665"/>
  </r>
  <r>
    <x v="980"/>
    <x v="328"/>
    <x v="4"/>
    <x v="2"/>
    <x v="1"/>
    <x v="4"/>
    <x v="19"/>
    <x v="12"/>
    <n v="4"/>
    <n v="591.6"/>
    <n v="0.08"/>
    <n v="2177.0880000000002"/>
  </r>
  <r>
    <x v="981"/>
    <x v="231"/>
    <x v="3"/>
    <x v="0"/>
    <x v="1"/>
    <x v="4"/>
    <x v="13"/>
    <x v="6"/>
    <n v="2"/>
    <n v="1560"/>
    <n v="0.03"/>
    <n v="3026.4"/>
  </r>
  <r>
    <x v="982"/>
    <x v="298"/>
    <x v="1"/>
    <x v="1"/>
    <x v="1"/>
    <x v="0"/>
    <x v="0"/>
    <x v="8"/>
    <n v="6"/>
    <n v="15"/>
    <n v="0"/>
    <n v="90"/>
  </r>
  <r>
    <x v="983"/>
    <x v="156"/>
    <x v="1"/>
    <x v="2"/>
    <x v="1"/>
    <x v="2"/>
    <x v="2"/>
    <x v="8"/>
    <n v="9"/>
    <n v="20"/>
    <n v="0.08"/>
    <n v="165.6"/>
  </r>
  <r>
    <x v="984"/>
    <x v="201"/>
    <x v="3"/>
    <x v="0"/>
    <x v="0"/>
    <x v="1"/>
    <x v="5"/>
    <x v="7"/>
    <n v="3"/>
    <n v="310.39999999999998"/>
    <n v="0.05"/>
    <n v="884.63999999999987"/>
  </r>
  <r>
    <x v="985"/>
    <x v="170"/>
    <x v="2"/>
    <x v="2"/>
    <x v="1"/>
    <x v="5"/>
    <x v="23"/>
    <x v="3"/>
    <n v="9"/>
    <n v="25"/>
    <n v="0.08"/>
    <n v="207"/>
  </r>
  <r>
    <x v="986"/>
    <x v="223"/>
    <x v="1"/>
    <x v="0"/>
    <x v="1"/>
    <x v="0"/>
    <x v="10"/>
    <x v="8"/>
    <n v="6"/>
    <n v="36.1"/>
    <n v="0.05"/>
    <n v="205.77"/>
  </r>
  <r>
    <x v="987"/>
    <x v="99"/>
    <x v="3"/>
    <x v="1"/>
    <x v="0"/>
    <x v="3"/>
    <x v="7"/>
    <x v="11"/>
    <n v="1"/>
    <n v="4200"/>
    <n v="0.15"/>
    <n v="3570"/>
  </r>
  <r>
    <x v="988"/>
    <x v="196"/>
    <x v="3"/>
    <x v="0"/>
    <x v="0"/>
    <x v="2"/>
    <x v="3"/>
    <x v="6"/>
    <n v="1"/>
    <n v="280"/>
    <n v="0.03"/>
    <n v="271.59999999999997"/>
  </r>
  <r>
    <x v="989"/>
    <x v="296"/>
    <x v="1"/>
    <x v="3"/>
    <x v="0"/>
    <x v="1"/>
    <x v="1"/>
    <x v="9"/>
    <n v="5"/>
    <n v="90"/>
    <n v="0.08"/>
    <n v="414"/>
  </r>
  <r>
    <x v="990"/>
    <x v="314"/>
    <x v="1"/>
    <x v="1"/>
    <x v="0"/>
    <x v="0"/>
    <x v="14"/>
    <x v="1"/>
    <n v="5"/>
    <n v="57.2"/>
    <n v="0.05"/>
    <n v="271.7"/>
  </r>
  <r>
    <x v="991"/>
    <x v="235"/>
    <x v="2"/>
    <x v="1"/>
    <x v="0"/>
    <x v="4"/>
    <x v="19"/>
    <x v="3"/>
    <n v="3"/>
    <n v="580"/>
    <n v="0.03"/>
    <n v="1687.8"/>
  </r>
  <r>
    <x v="992"/>
    <x v="234"/>
    <x v="2"/>
    <x v="3"/>
    <x v="1"/>
    <x v="0"/>
    <x v="12"/>
    <x v="4"/>
    <n v="5"/>
    <n v="80"/>
    <n v="0.2"/>
    <n v="320"/>
  </r>
  <r>
    <x v="993"/>
    <x v="201"/>
    <x v="2"/>
    <x v="2"/>
    <x v="0"/>
    <x v="4"/>
    <x v="13"/>
    <x v="10"/>
    <n v="1"/>
    <n v="1425"/>
    <n v="0.05"/>
    <n v="1353.75"/>
  </r>
  <r>
    <x v="994"/>
    <x v="162"/>
    <x v="2"/>
    <x v="0"/>
    <x v="1"/>
    <x v="3"/>
    <x v="15"/>
    <x v="4"/>
    <n v="1"/>
    <n v="3200"/>
    <n v="0.1"/>
    <n v="2880"/>
  </r>
  <r>
    <x v="995"/>
    <x v="316"/>
    <x v="3"/>
    <x v="3"/>
    <x v="0"/>
    <x v="0"/>
    <x v="14"/>
    <x v="6"/>
    <n v="6"/>
    <n v="53.35"/>
    <n v="0.08"/>
    <n v="294.49200000000002"/>
  </r>
  <r>
    <x v="996"/>
    <x v="138"/>
    <x v="2"/>
    <x v="1"/>
    <x v="0"/>
    <x v="3"/>
    <x v="7"/>
    <x v="10"/>
    <n v="2"/>
    <n v="4200"/>
    <n v="0.1"/>
    <n v="7560"/>
  </r>
  <r>
    <x v="997"/>
    <x v="182"/>
    <x v="2"/>
    <x v="2"/>
    <x v="0"/>
    <x v="4"/>
    <x v="17"/>
    <x v="3"/>
    <n v="2"/>
    <n v="665"/>
    <n v="0"/>
    <n v="1330"/>
  </r>
  <r>
    <x v="998"/>
    <x v="315"/>
    <x v="0"/>
    <x v="1"/>
    <x v="0"/>
    <x v="0"/>
    <x v="12"/>
    <x v="0"/>
    <n v="2"/>
    <n v="81.599999999999994"/>
    <n v="0.03"/>
    <n v="158.30399999999997"/>
  </r>
  <r>
    <x v="999"/>
    <x v="31"/>
    <x v="1"/>
    <x v="0"/>
    <x v="1"/>
    <x v="5"/>
    <x v="16"/>
    <x v="8"/>
    <n v="8"/>
    <n v="7.6"/>
    <n v="0"/>
    <n v="60.8"/>
  </r>
  <r>
    <x v="1000"/>
    <x v="138"/>
    <x v="2"/>
    <x v="0"/>
    <x v="0"/>
    <x v="0"/>
    <x v="10"/>
    <x v="3"/>
    <n v="8"/>
    <n v="38"/>
    <n v="0"/>
    <n v="304"/>
  </r>
  <r>
    <x v="1001"/>
    <x v="67"/>
    <x v="0"/>
    <x v="0"/>
    <x v="1"/>
    <x v="0"/>
    <x v="0"/>
    <x v="2"/>
    <n v="6"/>
    <n v="15.3"/>
    <n v="0.15"/>
    <n v="78.03"/>
  </r>
  <r>
    <x v="1002"/>
    <x v="28"/>
    <x v="3"/>
    <x v="0"/>
    <x v="1"/>
    <x v="4"/>
    <x v="13"/>
    <x v="6"/>
    <n v="2"/>
    <n v="1530"/>
    <n v="0.05"/>
    <n v="2907"/>
  </r>
  <r>
    <x v="1003"/>
    <x v="296"/>
    <x v="0"/>
    <x v="1"/>
    <x v="0"/>
    <x v="0"/>
    <x v="22"/>
    <x v="0"/>
    <n v="2"/>
    <n v="65"/>
    <n v="0.05"/>
    <n v="123.5"/>
  </r>
  <r>
    <x v="1004"/>
    <x v="187"/>
    <x v="3"/>
    <x v="0"/>
    <x v="0"/>
    <x v="4"/>
    <x v="17"/>
    <x v="11"/>
    <n v="1"/>
    <n v="679"/>
    <n v="0.1"/>
    <n v="611.1"/>
  </r>
  <r>
    <x v="1005"/>
    <x v="217"/>
    <x v="4"/>
    <x v="3"/>
    <x v="0"/>
    <x v="5"/>
    <x v="26"/>
    <x v="14"/>
    <n v="1"/>
    <n v="19.079999999999998"/>
    <n v="0.05"/>
    <n v="18.125999999999998"/>
  </r>
  <r>
    <x v="1006"/>
    <x v="210"/>
    <x v="4"/>
    <x v="2"/>
    <x v="1"/>
    <x v="1"/>
    <x v="8"/>
    <x v="14"/>
    <n v="13"/>
    <n v="459"/>
    <n v="0.15"/>
    <n v="5071.95"/>
  </r>
  <r>
    <x v="1007"/>
    <x v="12"/>
    <x v="4"/>
    <x v="2"/>
    <x v="0"/>
    <x v="0"/>
    <x v="0"/>
    <x v="12"/>
    <n v="11"/>
    <n v="15.6"/>
    <n v="0.15"/>
    <n v="145.85999999999999"/>
  </r>
  <r>
    <x v="1008"/>
    <x v="181"/>
    <x v="2"/>
    <x v="1"/>
    <x v="1"/>
    <x v="1"/>
    <x v="1"/>
    <x v="4"/>
    <n v="3"/>
    <n v="93.6"/>
    <n v="0.05"/>
    <n v="266.75999999999993"/>
  </r>
  <r>
    <x v="1009"/>
    <x v="217"/>
    <x v="1"/>
    <x v="3"/>
    <x v="0"/>
    <x v="5"/>
    <x v="24"/>
    <x v="8"/>
    <n v="1"/>
    <n v="35"/>
    <n v="0.05"/>
    <n v="33.25"/>
  </r>
  <r>
    <x v="1010"/>
    <x v="8"/>
    <x v="4"/>
    <x v="1"/>
    <x v="1"/>
    <x v="1"/>
    <x v="8"/>
    <x v="14"/>
    <n v="2"/>
    <n v="436.5"/>
    <n v="0.08"/>
    <n v="803.16000000000008"/>
  </r>
  <r>
    <x v="1011"/>
    <x v="250"/>
    <x v="1"/>
    <x v="1"/>
    <x v="1"/>
    <x v="2"/>
    <x v="27"/>
    <x v="1"/>
    <n v="2"/>
    <n v="180"/>
    <n v="0.1"/>
    <n v="324"/>
  </r>
  <r>
    <x v="1012"/>
    <x v="213"/>
    <x v="1"/>
    <x v="3"/>
    <x v="1"/>
    <x v="0"/>
    <x v="10"/>
    <x v="8"/>
    <n v="5"/>
    <n v="38"/>
    <n v="0.03"/>
    <n v="184.29999999999998"/>
  </r>
  <r>
    <x v="1013"/>
    <x v="160"/>
    <x v="1"/>
    <x v="0"/>
    <x v="0"/>
    <x v="0"/>
    <x v="0"/>
    <x v="8"/>
    <n v="3"/>
    <n v="15.9"/>
    <n v="0"/>
    <n v="47.7"/>
  </r>
  <r>
    <x v="1014"/>
    <x v="32"/>
    <x v="0"/>
    <x v="0"/>
    <x v="0"/>
    <x v="1"/>
    <x v="25"/>
    <x v="0"/>
    <n v="3"/>
    <n v="57"/>
    <n v="0.03"/>
    <n v="165.87"/>
  </r>
  <r>
    <x v="1015"/>
    <x v="176"/>
    <x v="1"/>
    <x v="0"/>
    <x v="0"/>
    <x v="3"/>
    <x v="7"/>
    <x v="1"/>
    <n v="1"/>
    <n v="4074"/>
    <n v="0.1"/>
    <n v="3666.6"/>
  </r>
  <r>
    <x v="1016"/>
    <x v="327"/>
    <x v="3"/>
    <x v="0"/>
    <x v="1"/>
    <x v="1"/>
    <x v="1"/>
    <x v="6"/>
    <n v="3"/>
    <n v="90"/>
    <n v="0"/>
    <n v="270"/>
  </r>
  <r>
    <x v="1017"/>
    <x v="318"/>
    <x v="3"/>
    <x v="0"/>
    <x v="1"/>
    <x v="5"/>
    <x v="16"/>
    <x v="7"/>
    <n v="6"/>
    <n v="8.16"/>
    <n v="0.05"/>
    <n v="46.512"/>
  </r>
  <r>
    <x v="1018"/>
    <x v="329"/>
    <x v="2"/>
    <x v="2"/>
    <x v="1"/>
    <x v="2"/>
    <x v="4"/>
    <x v="4"/>
    <n v="7"/>
    <n v="780"/>
    <n v="0.03"/>
    <n v="5296.2"/>
  </r>
  <r>
    <x v="1019"/>
    <x v="199"/>
    <x v="1"/>
    <x v="1"/>
    <x v="1"/>
    <x v="3"/>
    <x v="21"/>
    <x v="9"/>
    <n v="3"/>
    <n v="3000"/>
    <n v="0.05"/>
    <n v="8550"/>
  </r>
  <r>
    <x v="1020"/>
    <x v="221"/>
    <x v="0"/>
    <x v="0"/>
    <x v="0"/>
    <x v="1"/>
    <x v="1"/>
    <x v="0"/>
    <n v="1"/>
    <n v="91.8"/>
    <n v="0.05"/>
    <n v="87.21"/>
  </r>
  <r>
    <x v="1021"/>
    <x v="282"/>
    <x v="1"/>
    <x v="0"/>
    <x v="1"/>
    <x v="0"/>
    <x v="22"/>
    <x v="8"/>
    <n v="4"/>
    <n v="65"/>
    <n v="0.08"/>
    <n v="239.20000000000002"/>
  </r>
  <r>
    <x v="1022"/>
    <x v="203"/>
    <x v="4"/>
    <x v="0"/>
    <x v="0"/>
    <x v="0"/>
    <x v="14"/>
    <x v="13"/>
    <n v="3"/>
    <n v="55"/>
    <n v="0.05"/>
    <n v="156.75"/>
  </r>
  <r>
    <x v="1023"/>
    <x v="23"/>
    <x v="1"/>
    <x v="0"/>
    <x v="1"/>
    <x v="1"/>
    <x v="1"/>
    <x v="9"/>
    <n v="1"/>
    <n v="87.3"/>
    <n v="0"/>
    <n v="87.3"/>
  </r>
  <r>
    <x v="1024"/>
    <x v="330"/>
    <x v="3"/>
    <x v="0"/>
    <x v="1"/>
    <x v="2"/>
    <x v="27"/>
    <x v="6"/>
    <n v="1"/>
    <n v="183.6"/>
    <n v="0.08"/>
    <n v="168.91200000000001"/>
  </r>
  <r>
    <x v="1025"/>
    <x v="10"/>
    <x v="4"/>
    <x v="3"/>
    <x v="0"/>
    <x v="1"/>
    <x v="8"/>
    <x v="14"/>
    <n v="1"/>
    <n v="427.5"/>
    <n v="0.15"/>
    <n v="363.375"/>
  </r>
  <r>
    <x v="1026"/>
    <x v="282"/>
    <x v="1"/>
    <x v="3"/>
    <x v="0"/>
    <x v="4"/>
    <x v="11"/>
    <x v="8"/>
    <n v="2"/>
    <n v="850"/>
    <n v="0.1"/>
    <n v="1530"/>
  </r>
  <r>
    <x v="1027"/>
    <x v="175"/>
    <x v="1"/>
    <x v="0"/>
    <x v="1"/>
    <x v="3"/>
    <x v="7"/>
    <x v="1"/>
    <n v="1"/>
    <n v="4200"/>
    <n v="0.08"/>
    <n v="3864"/>
  </r>
  <r>
    <x v="1028"/>
    <x v="122"/>
    <x v="4"/>
    <x v="1"/>
    <x v="1"/>
    <x v="4"/>
    <x v="17"/>
    <x v="13"/>
    <n v="1"/>
    <n v="700"/>
    <n v="0.03"/>
    <n v="679"/>
  </r>
  <r>
    <x v="1029"/>
    <x v="223"/>
    <x v="3"/>
    <x v="2"/>
    <x v="1"/>
    <x v="3"/>
    <x v="21"/>
    <x v="6"/>
    <n v="1"/>
    <n v="3000"/>
    <n v="0.1"/>
    <n v="2700"/>
  </r>
  <r>
    <x v="1030"/>
    <x v="280"/>
    <x v="2"/>
    <x v="0"/>
    <x v="1"/>
    <x v="5"/>
    <x v="24"/>
    <x v="10"/>
    <n v="8"/>
    <n v="35"/>
    <n v="0.1"/>
    <n v="252"/>
  </r>
  <r>
    <x v="1031"/>
    <x v="113"/>
    <x v="2"/>
    <x v="1"/>
    <x v="1"/>
    <x v="0"/>
    <x v="12"/>
    <x v="10"/>
    <n v="7"/>
    <n v="76"/>
    <n v="0.05"/>
    <n v="505.4"/>
  </r>
  <r>
    <x v="1032"/>
    <x v="258"/>
    <x v="3"/>
    <x v="0"/>
    <x v="0"/>
    <x v="2"/>
    <x v="27"/>
    <x v="11"/>
    <n v="3"/>
    <n v="190.8"/>
    <n v="0.1"/>
    <n v="515.16000000000008"/>
  </r>
  <r>
    <x v="1033"/>
    <x v="331"/>
    <x v="0"/>
    <x v="3"/>
    <x v="1"/>
    <x v="3"/>
    <x v="9"/>
    <x v="5"/>
    <n v="2"/>
    <n v="1746"/>
    <n v="0.2"/>
    <n v="2793.6000000000004"/>
  </r>
  <r>
    <x v="1034"/>
    <x v="28"/>
    <x v="3"/>
    <x v="2"/>
    <x v="0"/>
    <x v="0"/>
    <x v="22"/>
    <x v="7"/>
    <n v="5"/>
    <n v="66.3"/>
    <n v="0.08"/>
    <n v="304.98"/>
  </r>
  <r>
    <x v="1035"/>
    <x v="184"/>
    <x v="0"/>
    <x v="0"/>
    <x v="1"/>
    <x v="3"/>
    <x v="21"/>
    <x v="5"/>
    <n v="1"/>
    <n v="3060"/>
    <n v="0.05"/>
    <n v="2907"/>
  </r>
  <r>
    <x v="1036"/>
    <x v="17"/>
    <x v="0"/>
    <x v="0"/>
    <x v="1"/>
    <x v="5"/>
    <x v="18"/>
    <x v="0"/>
    <n v="2"/>
    <n v="12"/>
    <n v="0"/>
    <n v="24"/>
  </r>
  <r>
    <x v="1037"/>
    <x v="235"/>
    <x v="2"/>
    <x v="1"/>
    <x v="0"/>
    <x v="4"/>
    <x v="11"/>
    <x v="4"/>
    <n v="1"/>
    <n v="807.5"/>
    <n v="0.05"/>
    <n v="767.125"/>
  </r>
  <r>
    <x v="1038"/>
    <x v="9"/>
    <x v="2"/>
    <x v="2"/>
    <x v="1"/>
    <x v="1"/>
    <x v="5"/>
    <x v="10"/>
    <n v="7"/>
    <n v="326.39999999999998"/>
    <n v="0.1"/>
    <n v="2056.3199999999997"/>
  </r>
  <r>
    <x v="1039"/>
    <x v="145"/>
    <x v="2"/>
    <x v="0"/>
    <x v="1"/>
    <x v="1"/>
    <x v="1"/>
    <x v="10"/>
    <n v="3"/>
    <n v="91.8"/>
    <n v="0.05"/>
    <n v="261.62999999999994"/>
  </r>
  <r>
    <x v="1040"/>
    <x v="103"/>
    <x v="0"/>
    <x v="1"/>
    <x v="1"/>
    <x v="3"/>
    <x v="7"/>
    <x v="5"/>
    <n v="1"/>
    <n v="4074"/>
    <n v="0.2"/>
    <n v="3259.2000000000003"/>
  </r>
  <r>
    <x v="1041"/>
    <x v="332"/>
    <x v="4"/>
    <x v="0"/>
    <x v="1"/>
    <x v="5"/>
    <x v="26"/>
    <x v="14"/>
    <n v="4"/>
    <n v="18.72"/>
    <n v="0"/>
    <n v="74.88"/>
  </r>
  <r>
    <x v="1042"/>
    <x v="147"/>
    <x v="3"/>
    <x v="1"/>
    <x v="1"/>
    <x v="3"/>
    <x v="9"/>
    <x v="11"/>
    <n v="1"/>
    <n v="1872"/>
    <n v="0.05"/>
    <n v="1778.3999999999999"/>
  </r>
  <r>
    <x v="1043"/>
    <x v="138"/>
    <x v="4"/>
    <x v="2"/>
    <x v="0"/>
    <x v="5"/>
    <x v="24"/>
    <x v="13"/>
    <n v="6"/>
    <n v="37.1"/>
    <n v="0.08"/>
    <n v="204.79200000000003"/>
  </r>
  <r>
    <x v="1044"/>
    <x v="149"/>
    <x v="0"/>
    <x v="3"/>
    <x v="1"/>
    <x v="0"/>
    <x v="12"/>
    <x v="2"/>
    <n v="7"/>
    <n v="76"/>
    <n v="0"/>
    <n v="532"/>
  </r>
  <r>
    <x v="1045"/>
    <x v="332"/>
    <x v="4"/>
    <x v="0"/>
    <x v="1"/>
    <x v="0"/>
    <x v="6"/>
    <x v="13"/>
    <n v="2"/>
    <n v="45"/>
    <n v="0.03"/>
    <n v="87.3"/>
  </r>
  <r>
    <x v="1046"/>
    <x v="284"/>
    <x v="3"/>
    <x v="0"/>
    <x v="1"/>
    <x v="2"/>
    <x v="2"/>
    <x v="6"/>
    <n v="1"/>
    <n v="20.8"/>
    <n v="0.1"/>
    <n v="18.720000000000002"/>
  </r>
  <r>
    <x v="1047"/>
    <x v="46"/>
    <x v="0"/>
    <x v="1"/>
    <x v="1"/>
    <x v="5"/>
    <x v="23"/>
    <x v="5"/>
    <n v="2"/>
    <n v="25"/>
    <n v="0"/>
    <n v="50"/>
  </r>
  <r>
    <x v="1048"/>
    <x v="77"/>
    <x v="2"/>
    <x v="2"/>
    <x v="1"/>
    <x v="3"/>
    <x v="7"/>
    <x v="10"/>
    <n v="2"/>
    <n v="4200"/>
    <n v="0.15"/>
    <n v="7140"/>
  </r>
  <r>
    <x v="1049"/>
    <x v="88"/>
    <x v="0"/>
    <x v="2"/>
    <x v="1"/>
    <x v="0"/>
    <x v="12"/>
    <x v="2"/>
    <n v="3"/>
    <n v="80"/>
    <n v="0.08"/>
    <n v="220.8"/>
  </r>
  <r>
    <x v="1050"/>
    <x v="333"/>
    <x v="3"/>
    <x v="2"/>
    <x v="1"/>
    <x v="5"/>
    <x v="24"/>
    <x v="7"/>
    <n v="6"/>
    <n v="35"/>
    <n v="0"/>
    <n v="210"/>
  </r>
  <r>
    <x v="1051"/>
    <x v="173"/>
    <x v="4"/>
    <x v="0"/>
    <x v="1"/>
    <x v="4"/>
    <x v="17"/>
    <x v="13"/>
    <n v="4"/>
    <n v="700"/>
    <n v="0.05"/>
    <n v="2660"/>
  </r>
  <r>
    <x v="1052"/>
    <x v="286"/>
    <x v="0"/>
    <x v="3"/>
    <x v="1"/>
    <x v="1"/>
    <x v="1"/>
    <x v="0"/>
    <n v="3"/>
    <n v="90"/>
    <n v="0"/>
    <n v="270"/>
  </r>
  <r>
    <x v="1053"/>
    <x v="286"/>
    <x v="1"/>
    <x v="2"/>
    <x v="0"/>
    <x v="5"/>
    <x v="23"/>
    <x v="9"/>
    <n v="7"/>
    <n v="24.25"/>
    <n v="0.05"/>
    <n v="161.26249999999999"/>
  </r>
  <r>
    <x v="1054"/>
    <x v="240"/>
    <x v="2"/>
    <x v="1"/>
    <x v="1"/>
    <x v="5"/>
    <x v="16"/>
    <x v="3"/>
    <n v="1"/>
    <n v="8"/>
    <n v="0.05"/>
    <n v="7.6"/>
  </r>
  <r>
    <x v="1055"/>
    <x v="334"/>
    <x v="3"/>
    <x v="0"/>
    <x v="1"/>
    <x v="4"/>
    <x v="19"/>
    <x v="11"/>
    <n v="2"/>
    <n v="580"/>
    <n v="0.1"/>
    <n v="1044"/>
  </r>
  <r>
    <x v="1056"/>
    <x v="335"/>
    <x v="3"/>
    <x v="0"/>
    <x v="1"/>
    <x v="4"/>
    <x v="19"/>
    <x v="6"/>
    <n v="1"/>
    <n v="562.6"/>
    <n v="0"/>
    <n v="562.6"/>
  </r>
  <r>
    <x v="1057"/>
    <x v="2"/>
    <x v="1"/>
    <x v="0"/>
    <x v="0"/>
    <x v="5"/>
    <x v="23"/>
    <x v="8"/>
    <n v="6"/>
    <n v="23.75"/>
    <n v="0.05"/>
    <n v="135.375"/>
  </r>
  <r>
    <x v="1058"/>
    <x v="245"/>
    <x v="2"/>
    <x v="3"/>
    <x v="1"/>
    <x v="0"/>
    <x v="6"/>
    <x v="4"/>
    <n v="8"/>
    <n v="46.8"/>
    <n v="0.1"/>
    <n v="336.96"/>
  </r>
  <r>
    <x v="1059"/>
    <x v="191"/>
    <x v="1"/>
    <x v="0"/>
    <x v="1"/>
    <x v="0"/>
    <x v="12"/>
    <x v="9"/>
    <n v="5"/>
    <n v="80"/>
    <n v="0.2"/>
    <n v="320"/>
  </r>
  <r>
    <x v="1060"/>
    <x v="336"/>
    <x v="1"/>
    <x v="0"/>
    <x v="0"/>
    <x v="1"/>
    <x v="5"/>
    <x v="1"/>
    <n v="3"/>
    <n v="320"/>
    <n v="0.1"/>
    <n v="864"/>
  </r>
  <r>
    <x v="1061"/>
    <x v="280"/>
    <x v="2"/>
    <x v="0"/>
    <x v="1"/>
    <x v="3"/>
    <x v="20"/>
    <x v="3"/>
    <n v="1"/>
    <n v="2500"/>
    <n v="0.05"/>
    <n v="2375"/>
  </r>
  <r>
    <x v="1062"/>
    <x v="274"/>
    <x v="1"/>
    <x v="0"/>
    <x v="0"/>
    <x v="4"/>
    <x v="11"/>
    <x v="9"/>
    <n v="2"/>
    <n v="867"/>
    <n v="0.15"/>
    <n v="1473.8999999999999"/>
  </r>
  <r>
    <x v="1063"/>
    <x v="337"/>
    <x v="3"/>
    <x v="1"/>
    <x v="0"/>
    <x v="1"/>
    <x v="1"/>
    <x v="6"/>
    <n v="3"/>
    <n v="90"/>
    <n v="0.05"/>
    <n v="256.5"/>
  </r>
  <r>
    <x v="1064"/>
    <x v="24"/>
    <x v="2"/>
    <x v="0"/>
    <x v="0"/>
    <x v="4"/>
    <x v="11"/>
    <x v="4"/>
    <n v="1"/>
    <n v="884"/>
    <n v="0.08"/>
    <n v="813.28000000000009"/>
  </r>
  <r>
    <x v="1065"/>
    <x v="306"/>
    <x v="3"/>
    <x v="3"/>
    <x v="1"/>
    <x v="4"/>
    <x v="11"/>
    <x v="6"/>
    <n v="3"/>
    <n v="807.5"/>
    <n v="0.2"/>
    <n v="1938"/>
  </r>
  <r>
    <x v="1066"/>
    <x v="66"/>
    <x v="2"/>
    <x v="0"/>
    <x v="1"/>
    <x v="3"/>
    <x v="15"/>
    <x v="4"/>
    <n v="1"/>
    <n v="3200"/>
    <n v="0.08"/>
    <n v="2944"/>
  </r>
  <r>
    <x v="1067"/>
    <x v="101"/>
    <x v="1"/>
    <x v="0"/>
    <x v="1"/>
    <x v="3"/>
    <x v="7"/>
    <x v="9"/>
    <n v="1"/>
    <n v="4452"/>
    <n v="0.15"/>
    <n v="3784.2"/>
  </r>
  <r>
    <x v="1068"/>
    <x v="147"/>
    <x v="1"/>
    <x v="0"/>
    <x v="0"/>
    <x v="1"/>
    <x v="25"/>
    <x v="9"/>
    <n v="5"/>
    <n v="60"/>
    <n v="0.05"/>
    <n v="285"/>
  </r>
  <r>
    <x v="1069"/>
    <x v="26"/>
    <x v="0"/>
    <x v="1"/>
    <x v="1"/>
    <x v="3"/>
    <x v="15"/>
    <x v="2"/>
    <n v="2"/>
    <n v="3264"/>
    <n v="0.1"/>
    <n v="5875.2"/>
  </r>
  <r>
    <x v="1070"/>
    <x v="85"/>
    <x v="1"/>
    <x v="3"/>
    <x v="1"/>
    <x v="0"/>
    <x v="10"/>
    <x v="1"/>
    <n v="6"/>
    <n v="38"/>
    <n v="0.2"/>
    <n v="182.4"/>
  </r>
  <r>
    <x v="1071"/>
    <x v="15"/>
    <x v="2"/>
    <x v="1"/>
    <x v="0"/>
    <x v="5"/>
    <x v="24"/>
    <x v="3"/>
    <n v="3"/>
    <n v="33.25"/>
    <n v="0"/>
    <n v="99.75"/>
  </r>
  <r>
    <x v="1072"/>
    <x v="207"/>
    <x v="2"/>
    <x v="2"/>
    <x v="0"/>
    <x v="1"/>
    <x v="8"/>
    <x v="3"/>
    <n v="15"/>
    <n v="477"/>
    <n v="0.08"/>
    <n v="6582.6"/>
  </r>
  <r>
    <x v="1073"/>
    <x v="53"/>
    <x v="3"/>
    <x v="2"/>
    <x v="1"/>
    <x v="0"/>
    <x v="6"/>
    <x v="6"/>
    <n v="9"/>
    <n v="45"/>
    <n v="0.03"/>
    <n v="392.84999999999997"/>
  </r>
  <r>
    <x v="1074"/>
    <x v="146"/>
    <x v="3"/>
    <x v="0"/>
    <x v="1"/>
    <x v="0"/>
    <x v="6"/>
    <x v="7"/>
    <n v="8"/>
    <n v="45"/>
    <n v="0.03"/>
    <n v="349.2"/>
  </r>
  <r>
    <x v="1075"/>
    <x v="292"/>
    <x v="3"/>
    <x v="3"/>
    <x v="0"/>
    <x v="1"/>
    <x v="25"/>
    <x v="7"/>
    <n v="7"/>
    <n v="57"/>
    <n v="0.05"/>
    <n v="379.04999999999995"/>
  </r>
  <r>
    <x v="1076"/>
    <x v="184"/>
    <x v="2"/>
    <x v="2"/>
    <x v="0"/>
    <x v="3"/>
    <x v="20"/>
    <x v="4"/>
    <n v="1"/>
    <n v="2650"/>
    <n v="0.08"/>
    <n v="2438"/>
  </r>
  <r>
    <x v="1077"/>
    <x v="301"/>
    <x v="0"/>
    <x v="3"/>
    <x v="1"/>
    <x v="0"/>
    <x v="12"/>
    <x v="5"/>
    <n v="1"/>
    <n v="81.599999999999994"/>
    <n v="0.08"/>
    <n v="75.072000000000003"/>
  </r>
  <r>
    <x v="1078"/>
    <x v="137"/>
    <x v="2"/>
    <x v="3"/>
    <x v="0"/>
    <x v="0"/>
    <x v="10"/>
    <x v="10"/>
    <n v="4"/>
    <n v="36.1"/>
    <n v="0.1"/>
    <n v="129.96"/>
  </r>
  <r>
    <x v="1079"/>
    <x v="106"/>
    <x v="2"/>
    <x v="2"/>
    <x v="0"/>
    <x v="5"/>
    <x v="18"/>
    <x v="3"/>
    <n v="5"/>
    <n v="12"/>
    <n v="0.05"/>
    <n v="57"/>
  </r>
  <r>
    <x v="1080"/>
    <x v="338"/>
    <x v="1"/>
    <x v="1"/>
    <x v="1"/>
    <x v="3"/>
    <x v="20"/>
    <x v="9"/>
    <n v="4"/>
    <n v="2500"/>
    <n v="0.03"/>
    <n v="9700"/>
  </r>
  <r>
    <x v="1081"/>
    <x v="122"/>
    <x v="4"/>
    <x v="0"/>
    <x v="1"/>
    <x v="4"/>
    <x v="11"/>
    <x v="13"/>
    <n v="4"/>
    <n v="807.5"/>
    <n v="0.08"/>
    <n v="2971.6"/>
  </r>
  <r>
    <x v="1082"/>
    <x v="174"/>
    <x v="3"/>
    <x v="1"/>
    <x v="1"/>
    <x v="1"/>
    <x v="25"/>
    <x v="7"/>
    <n v="2"/>
    <n v="60"/>
    <n v="0.2"/>
    <n v="96"/>
  </r>
  <r>
    <x v="1083"/>
    <x v="196"/>
    <x v="4"/>
    <x v="1"/>
    <x v="0"/>
    <x v="0"/>
    <x v="10"/>
    <x v="12"/>
    <n v="6"/>
    <n v="36.1"/>
    <n v="0.08"/>
    <n v="199.27200000000002"/>
  </r>
  <r>
    <x v="1084"/>
    <x v="338"/>
    <x v="1"/>
    <x v="0"/>
    <x v="1"/>
    <x v="1"/>
    <x v="8"/>
    <x v="1"/>
    <n v="4"/>
    <n v="459"/>
    <n v="0.08"/>
    <n v="1689.1200000000001"/>
  </r>
  <r>
    <x v="1085"/>
    <x v="288"/>
    <x v="4"/>
    <x v="2"/>
    <x v="0"/>
    <x v="2"/>
    <x v="2"/>
    <x v="13"/>
    <n v="6"/>
    <n v="20"/>
    <n v="0.03"/>
    <n v="116.39999999999999"/>
  </r>
  <r>
    <x v="1086"/>
    <x v="98"/>
    <x v="1"/>
    <x v="1"/>
    <x v="1"/>
    <x v="3"/>
    <x v="20"/>
    <x v="9"/>
    <n v="2"/>
    <n v="2500"/>
    <n v="0.1"/>
    <n v="4500"/>
  </r>
  <r>
    <x v="1087"/>
    <x v="339"/>
    <x v="2"/>
    <x v="3"/>
    <x v="0"/>
    <x v="2"/>
    <x v="3"/>
    <x v="4"/>
    <n v="2"/>
    <n v="291.2"/>
    <n v="0.05"/>
    <n v="553.28"/>
  </r>
  <r>
    <x v="1088"/>
    <x v="231"/>
    <x v="2"/>
    <x v="0"/>
    <x v="0"/>
    <x v="4"/>
    <x v="11"/>
    <x v="10"/>
    <n v="1"/>
    <n v="850"/>
    <n v="0.05"/>
    <n v="807.5"/>
  </r>
  <r>
    <x v="1089"/>
    <x v="82"/>
    <x v="3"/>
    <x v="0"/>
    <x v="0"/>
    <x v="3"/>
    <x v="7"/>
    <x v="6"/>
    <n v="1"/>
    <n v="3990"/>
    <n v="0.05"/>
    <n v="3790.5"/>
  </r>
  <r>
    <x v="1090"/>
    <x v="31"/>
    <x v="2"/>
    <x v="3"/>
    <x v="1"/>
    <x v="1"/>
    <x v="5"/>
    <x v="10"/>
    <n v="1"/>
    <n v="326.39999999999998"/>
    <n v="0.03"/>
    <n v="316.60799999999995"/>
  </r>
  <r>
    <x v="1091"/>
    <x v="44"/>
    <x v="4"/>
    <x v="0"/>
    <x v="1"/>
    <x v="3"/>
    <x v="7"/>
    <x v="13"/>
    <n v="2"/>
    <n v="4200"/>
    <n v="0.03"/>
    <n v="8148"/>
  </r>
  <r>
    <x v="1092"/>
    <x v="124"/>
    <x v="2"/>
    <x v="2"/>
    <x v="1"/>
    <x v="5"/>
    <x v="26"/>
    <x v="4"/>
    <n v="7"/>
    <n v="18.72"/>
    <n v="0.05"/>
    <n v="124.48799999999999"/>
  </r>
  <r>
    <x v="1093"/>
    <x v="192"/>
    <x v="2"/>
    <x v="3"/>
    <x v="0"/>
    <x v="0"/>
    <x v="10"/>
    <x v="4"/>
    <n v="3"/>
    <n v="38.76"/>
    <n v="0"/>
    <n v="116.28"/>
  </r>
  <r>
    <x v="1094"/>
    <x v="260"/>
    <x v="2"/>
    <x v="0"/>
    <x v="1"/>
    <x v="0"/>
    <x v="10"/>
    <x v="10"/>
    <n v="1"/>
    <n v="39.520000000000003"/>
    <n v="0.05"/>
    <n v="37.544000000000004"/>
  </r>
  <r>
    <x v="1095"/>
    <x v="101"/>
    <x v="4"/>
    <x v="2"/>
    <x v="1"/>
    <x v="3"/>
    <x v="7"/>
    <x v="13"/>
    <n v="1"/>
    <n v="4200"/>
    <n v="0.1"/>
    <n v="3780"/>
  </r>
  <r>
    <x v="1096"/>
    <x v="112"/>
    <x v="4"/>
    <x v="2"/>
    <x v="1"/>
    <x v="4"/>
    <x v="19"/>
    <x v="14"/>
    <n v="1"/>
    <n v="580"/>
    <n v="0.1"/>
    <n v="522"/>
  </r>
  <r>
    <x v="1097"/>
    <x v="0"/>
    <x v="1"/>
    <x v="3"/>
    <x v="1"/>
    <x v="5"/>
    <x v="24"/>
    <x v="8"/>
    <n v="2"/>
    <n v="36.4"/>
    <n v="0.08"/>
    <n v="66.975999999999999"/>
  </r>
  <r>
    <x v="1098"/>
    <x v="148"/>
    <x v="1"/>
    <x v="0"/>
    <x v="1"/>
    <x v="3"/>
    <x v="21"/>
    <x v="9"/>
    <n v="1"/>
    <n v="3060"/>
    <n v="0.03"/>
    <n v="2968.2"/>
  </r>
  <r>
    <x v="1099"/>
    <x v="273"/>
    <x v="3"/>
    <x v="0"/>
    <x v="0"/>
    <x v="2"/>
    <x v="2"/>
    <x v="11"/>
    <n v="3"/>
    <n v="20"/>
    <n v="0.05"/>
    <n v="57"/>
  </r>
  <r>
    <x v="1100"/>
    <x v="253"/>
    <x v="4"/>
    <x v="0"/>
    <x v="1"/>
    <x v="3"/>
    <x v="21"/>
    <x v="14"/>
    <n v="1"/>
    <n v="3060"/>
    <n v="0.05"/>
    <n v="2907"/>
  </r>
  <r>
    <x v="1101"/>
    <x v="95"/>
    <x v="1"/>
    <x v="0"/>
    <x v="0"/>
    <x v="0"/>
    <x v="10"/>
    <x v="9"/>
    <n v="3"/>
    <n v="38"/>
    <n v="0.05"/>
    <n v="108.3"/>
  </r>
  <r>
    <x v="1102"/>
    <x v="291"/>
    <x v="0"/>
    <x v="0"/>
    <x v="0"/>
    <x v="0"/>
    <x v="0"/>
    <x v="2"/>
    <n v="3"/>
    <n v="15"/>
    <n v="0.03"/>
    <n v="43.65"/>
  </r>
  <r>
    <x v="1103"/>
    <x v="84"/>
    <x v="0"/>
    <x v="0"/>
    <x v="1"/>
    <x v="5"/>
    <x v="16"/>
    <x v="0"/>
    <n v="1"/>
    <n v="8.48"/>
    <n v="0.03"/>
    <n v="8.2256"/>
  </r>
  <r>
    <x v="1104"/>
    <x v="53"/>
    <x v="0"/>
    <x v="3"/>
    <x v="1"/>
    <x v="2"/>
    <x v="3"/>
    <x v="2"/>
    <n v="6"/>
    <n v="285.60000000000002"/>
    <n v="0.1"/>
    <n v="1542.2400000000002"/>
  </r>
  <r>
    <x v="1105"/>
    <x v="144"/>
    <x v="3"/>
    <x v="0"/>
    <x v="1"/>
    <x v="5"/>
    <x v="26"/>
    <x v="11"/>
    <n v="5"/>
    <n v="17.46"/>
    <n v="0.1"/>
    <n v="78.570000000000007"/>
  </r>
  <r>
    <x v="1106"/>
    <x v="20"/>
    <x v="3"/>
    <x v="0"/>
    <x v="1"/>
    <x v="3"/>
    <x v="7"/>
    <x v="7"/>
    <n v="2"/>
    <n v="4200"/>
    <n v="0.05"/>
    <n v="7980"/>
  </r>
  <r>
    <x v="1107"/>
    <x v="340"/>
    <x v="4"/>
    <x v="2"/>
    <x v="1"/>
    <x v="2"/>
    <x v="2"/>
    <x v="14"/>
    <n v="2"/>
    <n v="20"/>
    <n v="0.03"/>
    <n v="38.799999999999997"/>
  </r>
  <r>
    <x v="1108"/>
    <x v="26"/>
    <x v="4"/>
    <x v="1"/>
    <x v="1"/>
    <x v="3"/>
    <x v="20"/>
    <x v="13"/>
    <n v="1"/>
    <n v="2500"/>
    <n v="0.03"/>
    <n v="2425"/>
  </r>
  <r>
    <x v="1109"/>
    <x v="299"/>
    <x v="0"/>
    <x v="3"/>
    <x v="1"/>
    <x v="1"/>
    <x v="25"/>
    <x v="2"/>
    <n v="2"/>
    <n v="62.4"/>
    <n v="0.08"/>
    <n v="114.816"/>
  </r>
  <r>
    <x v="1110"/>
    <x v="341"/>
    <x v="3"/>
    <x v="0"/>
    <x v="1"/>
    <x v="4"/>
    <x v="11"/>
    <x v="7"/>
    <n v="1"/>
    <n v="884"/>
    <n v="0"/>
    <n v="884"/>
  </r>
  <r>
    <x v="1111"/>
    <x v="282"/>
    <x v="1"/>
    <x v="3"/>
    <x v="0"/>
    <x v="1"/>
    <x v="25"/>
    <x v="8"/>
    <n v="2"/>
    <n v="60"/>
    <n v="0.05"/>
    <n v="114"/>
  </r>
  <r>
    <x v="1112"/>
    <x v="99"/>
    <x v="0"/>
    <x v="0"/>
    <x v="0"/>
    <x v="3"/>
    <x v="15"/>
    <x v="0"/>
    <n v="1"/>
    <n v="3200"/>
    <n v="0.08"/>
    <n v="2944"/>
  </r>
  <r>
    <x v="1113"/>
    <x v="70"/>
    <x v="2"/>
    <x v="1"/>
    <x v="1"/>
    <x v="0"/>
    <x v="22"/>
    <x v="10"/>
    <n v="8"/>
    <n v="65"/>
    <n v="0.08"/>
    <n v="478.40000000000003"/>
  </r>
  <r>
    <x v="1114"/>
    <x v="110"/>
    <x v="0"/>
    <x v="2"/>
    <x v="1"/>
    <x v="4"/>
    <x v="11"/>
    <x v="2"/>
    <n v="4"/>
    <n v="884"/>
    <n v="0.05"/>
    <n v="3359.2"/>
  </r>
  <r>
    <x v="1115"/>
    <x v="244"/>
    <x v="3"/>
    <x v="3"/>
    <x v="1"/>
    <x v="0"/>
    <x v="12"/>
    <x v="11"/>
    <n v="1"/>
    <n v="83.2"/>
    <n v="0.05"/>
    <n v="79.039999999999992"/>
  </r>
  <r>
    <x v="1116"/>
    <x v="337"/>
    <x v="1"/>
    <x v="3"/>
    <x v="0"/>
    <x v="0"/>
    <x v="12"/>
    <x v="8"/>
    <n v="4"/>
    <n v="81.599999999999994"/>
    <n v="0.1"/>
    <n v="293.76"/>
  </r>
  <r>
    <x v="1117"/>
    <x v="284"/>
    <x v="1"/>
    <x v="1"/>
    <x v="1"/>
    <x v="0"/>
    <x v="6"/>
    <x v="1"/>
    <n v="1"/>
    <n v="45"/>
    <n v="0.1"/>
    <n v="40.5"/>
  </r>
  <r>
    <x v="1118"/>
    <x v="299"/>
    <x v="4"/>
    <x v="0"/>
    <x v="1"/>
    <x v="0"/>
    <x v="0"/>
    <x v="13"/>
    <n v="4"/>
    <n v="15.9"/>
    <n v="0.2"/>
    <n v="50.88"/>
  </r>
  <r>
    <x v="1119"/>
    <x v="118"/>
    <x v="3"/>
    <x v="1"/>
    <x v="1"/>
    <x v="0"/>
    <x v="22"/>
    <x v="6"/>
    <n v="2"/>
    <n v="68.900000000000006"/>
    <n v="0.15"/>
    <n v="117.13000000000001"/>
  </r>
  <r>
    <x v="1120"/>
    <x v="123"/>
    <x v="3"/>
    <x v="0"/>
    <x v="0"/>
    <x v="5"/>
    <x v="18"/>
    <x v="11"/>
    <n v="2"/>
    <n v="12.72"/>
    <n v="0.1"/>
    <n v="22.896000000000001"/>
  </r>
  <r>
    <x v="1121"/>
    <x v="242"/>
    <x v="2"/>
    <x v="1"/>
    <x v="1"/>
    <x v="5"/>
    <x v="24"/>
    <x v="10"/>
    <n v="1"/>
    <n v="35"/>
    <n v="0.1"/>
    <n v="31.5"/>
  </r>
  <r>
    <x v="1122"/>
    <x v="182"/>
    <x v="0"/>
    <x v="1"/>
    <x v="1"/>
    <x v="4"/>
    <x v="17"/>
    <x v="5"/>
    <n v="3"/>
    <n v="679"/>
    <n v="0.2"/>
    <n v="1629.6000000000001"/>
  </r>
  <r>
    <x v="1123"/>
    <x v="130"/>
    <x v="0"/>
    <x v="2"/>
    <x v="1"/>
    <x v="0"/>
    <x v="14"/>
    <x v="5"/>
    <n v="5"/>
    <n v="52.25"/>
    <n v="0.05"/>
    <n v="248.1875"/>
  </r>
  <r>
    <x v="1124"/>
    <x v="342"/>
    <x v="4"/>
    <x v="3"/>
    <x v="1"/>
    <x v="3"/>
    <x v="15"/>
    <x v="12"/>
    <n v="1"/>
    <n v="3104"/>
    <n v="0.05"/>
    <n v="2948.7999999999997"/>
  </r>
  <r>
    <x v="1125"/>
    <x v="215"/>
    <x v="0"/>
    <x v="0"/>
    <x v="1"/>
    <x v="0"/>
    <x v="22"/>
    <x v="5"/>
    <n v="1"/>
    <n v="68.900000000000006"/>
    <n v="0"/>
    <n v="68.900000000000006"/>
  </r>
  <r>
    <x v="1126"/>
    <x v="106"/>
    <x v="3"/>
    <x v="1"/>
    <x v="0"/>
    <x v="3"/>
    <x v="9"/>
    <x v="11"/>
    <n v="1"/>
    <n v="1908"/>
    <n v="0.05"/>
    <n v="1812.6"/>
  </r>
  <r>
    <x v="1127"/>
    <x v="343"/>
    <x v="2"/>
    <x v="0"/>
    <x v="1"/>
    <x v="0"/>
    <x v="10"/>
    <x v="4"/>
    <n v="4"/>
    <n v="38.76"/>
    <n v="0.03"/>
    <n v="150.38879999999997"/>
  </r>
  <r>
    <x v="1128"/>
    <x v="344"/>
    <x v="4"/>
    <x v="2"/>
    <x v="1"/>
    <x v="3"/>
    <x v="20"/>
    <x v="14"/>
    <n v="1"/>
    <n v="2500"/>
    <n v="0.15"/>
    <n v="2125"/>
  </r>
  <r>
    <x v="1129"/>
    <x v="0"/>
    <x v="3"/>
    <x v="1"/>
    <x v="0"/>
    <x v="0"/>
    <x v="10"/>
    <x v="11"/>
    <n v="2"/>
    <n v="39.520000000000003"/>
    <n v="0.15"/>
    <n v="67.183999999999997"/>
  </r>
  <r>
    <x v="1130"/>
    <x v="208"/>
    <x v="3"/>
    <x v="0"/>
    <x v="1"/>
    <x v="5"/>
    <x v="26"/>
    <x v="11"/>
    <n v="5"/>
    <n v="18"/>
    <n v="0.05"/>
    <n v="85.5"/>
  </r>
  <r>
    <x v="1131"/>
    <x v="29"/>
    <x v="0"/>
    <x v="0"/>
    <x v="0"/>
    <x v="0"/>
    <x v="22"/>
    <x v="0"/>
    <n v="3"/>
    <n v="65"/>
    <n v="0.1"/>
    <n v="175.5"/>
  </r>
  <r>
    <x v="1132"/>
    <x v="28"/>
    <x v="1"/>
    <x v="1"/>
    <x v="1"/>
    <x v="0"/>
    <x v="0"/>
    <x v="1"/>
    <n v="4"/>
    <n v="15"/>
    <n v="0.05"/>
    <n v="57"/>
  </r>
  <r>
    <x v="1133"/>
    <x v="67"/>
    <x v="3"/>
    <x v="1"/>
    <x v="0"/>
    <x v="2"/>
    <x v="3"/>
    <x v="6"/>
    <n v="2"/>
    <n v="266"/>
    <n v="0.08"/>
    <n v="489.44"/>
  </r>
  <r>
    <x v="1134"/>
    <x v="206"/>
    <x v="2"/>
    <x v="3"/>
    <x v="1"/>
    <x v="0"/>
    <x v="0"/>
    <x v="3"/>
    <n v="1"/>
    <n v="15.9"/>
    <n v="0.2"/>
    <n v="12.72"/>
  </r>
  <r>
    <x v="1135"/>
    <x v="345"/>
    <x v="0"/>
    <x v="2"/>
    <x v="1"/>
    <x v="2"/>
    <x v="4"/>
    <x v="5"/>
    <n v="3"/>
    <n v="750"/>
    <n v="0.03"/>
    <n v="2182.5"/>
  </r>
  <r>
    <x v="1136"/>
    <x v="41"/>
    <x v="1"/>
    <x v="1"/>
    <x v="1"/>
    <x v="3"/>
    <x v="15"/>
    <x v="9"/>
    <n v="1"/>
    <n v="3200"/>
    <n v="0.05"/>
    <n v="3040"/>
  </r>
  <r>
    <x v="1137"/>
    <x v="157"/>
    <x v="1"/>
    <x v="1"/>
    <x v="0"/>
    <x v="0"/>
    <x v="14"/>
    <x v="8"/>
    <n v="4"/>
    <n v="53.35"/>
    <n v="0.05"/>
    <n v="202.73"/>
  </r>
  <r>
    <x v="1138"/>
    <x v="36"/>
    <x v="0"/>
    <x v="2"/>
    <x v="1"/>
    <x v="3"/>
    <x v="7"/>
    <x v="5"/>
    <n v="1"/>
    <n v="4200"/>
    <n v="0.03"/>
    <n v="4074"/>
  </r>
  <r>
    <x v="1139"/>
    <x v="158"/>
    <x v="3"/>
    <x v="0"/>
    <x v="1"/>
    <x v="0"/>
    <x v="10"/>
    <x v="6"/>
    <n v="3"/>
    <n v="38"/>
    <n v="0"/>
    <n v="114"/>
  </r>
  <r>
    <x v="1140"/>
    <x v="335"/>
    <x v="3"/>
    <x v="1"/>
    <x v="1"/>
    <x v="0"/>
    <x v="14"/>
    <x v="11"/>
    <n v="1"/>
    <n v="55"/>
    <n v="0.15"/>
    <n v="46.75"/>
  </r>
  <r>
    <x v="1141"/>
    <x v="161"/>
    <x v="3"/>
    <x v="0"/>
    <x v="0"/>
    <x v="0"/>
    <x v="10"/>
    <x v="6"/>
    <n v="2"/>
    <n v="38"/>
    <n v="0.05"/>
    <n v="72.2"/>
  </r>
  <r>
    <x v="1142"/>
    <x v="62"/>
    <x v="1"/>
    <x v="1"/>
    <x v="0"/>
    <x v="0"/>
    <x v="14"/>
    <x v="1"/>
    <n v="5"/>
    <n v="55"/>
    <n v="0.05"/>
    <n v="261.25"/>
  </r>
  <r>
    <x v="1143"/>
    <x v="266"/>
    <x v="3"/>
    <x v="2"/>
    <x v="1"/>
    <x v="5"/>
    <x v="24"/>
    <x v="11"/>
    <n v="13"/>
    <n v="35"/>
    <n v="0.08"/>
    <n v="418.6"/>
  </r>
  <r>
    <x v="1144"/>
    <x v="247"/>
    <x v="4"/>
    <x v="0"/>
    <x v="1"/>
    <x v="4"/>
    <x v="17"/>
    <x v="14"/>
    <n v="2"/>
    <n v="728"/>
    <n v="0"/>
    <n v="1456"/>
  </r>
  <r>
    <x v="1145"/>
    <x v="165"/>
    <x v="4"/>
    <x v="3"/>
    <x v="1"/>
    <x v="1"/>
    <x v="8"/>
    <x v="14"/>
    <n v="1"/>
    <n v="450"/>
    <n v="0.1"/>
    <n v="405"/>
  </r>
  <r>
    <x v="1146"/>
    <x v="29"/>
    <x v="4"/>
    <x v="2"/>
    <x v="0"/>
    <x v="4"/>
    <x v="11"/>
    <x v="14"/>
    <n v="2"/>
    <n v="850"/>
    <n v="0.08"/>
    <n v="1564"/>
  </r>
  <r>
    <x v="1147"/>
    <x v="193"/>
    <x v="2"/>
    <x v="2"/>
    <x v="1"/>
    <x v="4"/>
    <x v="19"/>
    <x v="3"/>
    <n v="2"/>
    <n v="603.20000000000005"/>
    <n v="0.15"/>
    <n v="1025.44"/>
  </r>
  <r>
    <x v="1148"/>
    <x v="213"/>
    <x v="1"/>
    <x v="0"/>
    <x v="0"/>
    <x v="3"/>
    <x v="21"/>
    <x v="9"/>
    <n v="1"/>
    <n v="3060"/>
    <n v="0.03"/>
    <n v="2968.2"/>
  </r>
  <r>
    <x v="1149"/>
    <x v="92"/>
    <x v="2"/>
    <x v="3"/>
    <x v="1"/>
    <x v="5"/>
    <x v="18"/>
    <x v="3"/>
    <n v="3"/>
    <n v="12"/>
    <n v="0.08"/>
    <n v="33.120000000000005"/>
  </r>
  <r>
    <x v="1150"/>
    <x v="8"/>
    <x v="1"/>
    <x v="2"/>
    <x v="1"/>
    <x v="5"/>
    <x v="23"/>
    <x v="8"/>
    <n v="10"/>
    <n v="25"/>
    <n v="0"/>
    <n v="250"/>
  </r>
  <r>
    <x v="1151"/>
    <x v="220"/>
    <x v="3"/>
    <x v="0"/>
    <x v="1"/>
    <x v="1"/>
    <x v="5"/>
    <x v="11"/>
    <n v="2"/>
    <n v="320"/>
    <n v="0.03"/>
    <n v="620.79999999999995"/>
  </r>
  <r>
    <x v="1152"/>
    <x v="219"/>
    <x v="3"/>
    <x v="0"/>
    <x v="1"/>
    <x v="2"/>
    <x v="4"/>
    <x v="11"/>
    <n v="3"/>
    <n v="727.5"/>
    <n v="0.05"/>
    <n v="2073.375"/>
  </r>
  <r>
    <x v="1153"/>
    <x v="145"/>
    <x v="1"/>
    <x v="3"/>
    <x v="1"/>
    <x v="0"/>
    <x v="14"/>
    <x v="9"/>
    <n v="7"/>
    <n v="52.25"/>
    <n v="0.15"/>
    <n v="310.88749999999999"/>
  </r>
  <r>
    <x v="1154"/>
    <x v="41"/>
    <x v="4"/>
    <x v="0"/>
    <x v="0"/>
    <x v="0"/>
    <x v="6"/>
    <x v="13"/>
    <n v="3"/>
    <n v="43.65"/>
    <n v="0.08"/>
    <n v="120.47399999999999"/>
  </r>
  <r>
    <x v="1155"/>
    <x v="346"/>
    <x v="1"/>
    <x v="3"/>
    <x v="1"/>
    <x v="1"/>
    <x v="1"/>
    <x v="8"/>
    <n v="2"/>
    <n v="90"/>
    <n v="0.15"/>
    <n v="153"/>
  </r>
  <r>
    <x v="1156"/>
    <x v="221"/>
    <x v="2"/>
    <x v="2"/>
    <x v="0"/>
    <x v="4"/>
    <x v="17"/>
    <x v="4"/>
    <n v="1"/>
    <n v="665"/>
    <n v="0.05"/>
    <n v="631.75"/>
  </r>
  <r>
    <x v="1157"/>
    <x v="29"/>
    <x v="2"/>
    <x v="0"/>
    <x v="0"/>
    <x v="5"/>
    <x v="16"/>
    <x v="10"/>
    <n v="3"/>
    <n v="8.16"/>
    <n v="0.1"/>
    <n v="22.032"/>
  </r>
  <r>
    <x v="1158"/>
    <x v="192"/>
    <x v="3"/>
    <x v="3"/>
    <x v="1"/>
    <x v="1"/>
    <x v="5"/>
    <x v="6"/>
    <n v="1"/>
    <n v="320"/>
    <n v="0.03"/>
    <n v="310.39999999999998"/>
  </r>
  <r>
    <x v="1159"/>
    <x v="156"/>
    <x v="3"/>
    <x v="2"/>
    <x v="1"/>
    <x v="2"/>
    <x v="2"/>
    <x v="6"/>
    <n v="12"/>
    <n v="20.399999999999999"/>
    <n v="0.1"/>
    <n v="220.32"/>
  </r>
  <r>
    <x v="1160"/>
    <x v="75"/>
    <x v="3"/>
    <x v="0"/>
    <x v="1"/>
    <x v="1"/>
    <x v="8"/>
    <x v="6"/>
    <n v="5"/>
    <n v="450"/>
    <n v="0.15"/>
    <n v="1912.5"/>
  </r>
  <r>
    <x v="1161"/>
    <x v="284"/>
    <x v="2"/>
    <x v="3"/>
    <x v="1"/>
    <x v="0"/>
    <x v="6"/>
    <x v="3"/>
    <n v="2"/>
    <n v="47.7"/>
    <n v="0.05"/>
    <n v="90.63"/>
  </r>
  <r>
    <x v="1162"/>
    <x v="48"/>
    <x v="2"/>
    <x v="0"/>
    <x v="1"/>
    <x v="1"/>
    <x v="8"/>
    <x v="3"/>
    <n v="4"/>
    <n v="450"/>
    <n v="0"/>
    <n v="1800"/>
  </r>
  <r>
    <x v="1163"/>
    <x v="342"/>
    <x v="0"/>
    <x v="0"/>
    <x v="0"/>
    <x v="2"/>
    <x v="2"/>
    <x v="2"/>
    <n v="2"/>
    <n v="21.2"/>
    <n v="0"/>
    <n v="42.4"/>
  </r>
  <r>
    <x v="1164"/>
    <x v="271"/>
    <x v="3"/>
    <x v="1"/>
    <x v="1"/>
    <x v="3"/>
    <x v="9"/>
    <x v="11"/>
    <n v="1"/>
    <n v="1746"/>
    <n v="0.1"/>
    <n v="1571.4"/>
  </r>
  <r>
    <x v="1165"/>
    <x v="133"/>
    <x v="2"/>
    <x v="2"/>
    <x v="1"/>
    <x v="4"/>
    <x v="13"/>
    <x v="10"/>
    <n v="1"/>
    <n v="1530"/>
    <n v="0.15"/>
    <n v="1300.5"/>
  </r>
  <r>
    <x v="1166"/>
    <x v="293"/>
    <x v="1"/>
    <x v="0"/>
    <x v="1"/>
    <x v="0"/>
    <x v="12"/>
    <x v="9"/>
    <n v="5"/>
    <n v="80"/>
    <n v="0.08"/>
    <n v="368"/>
  </r>
  <r>
    <x v="1167"/>
    <x v="239"/>
    <x v="2"/>
    <x v="0"/>
    <x v="1"/>
    <x v="2"/>
    <x v="4"/>
    <x v="10"/>
    <n v="5"/>
    <n v="765"/>
    <n v="0"/>
    <n v="3825"/>
  </r>
  <r>
    <x v="1168"/>
    <x v="210"/>
    <x v="4"/>
    <x v="1"/>
    <x v="1"/>
    <x v="3"/>
    <x v="9"/>
    <x v="14"/>
    <n v="2"/>
    <n v="1710"/>
    <n v="0.05"/>
    <n v="3249"/>
  </r>
  <r>
    <x v="1169"/>
    <x v="86"/>
    <x v="2"/>
    <x v="1"/>
    <x v="1"/>
    <x v="5"/>
    <x v="16"/>
    <x v="10"/>
    <n v="1"/>
    <n v="8"/>
    <n v="0"/>
    <n v="8"/>
  </r>
  <r>
    <x v="1170"/>
    <x v="347"/>
    <x v="2"/>
    <x v="1"/>
    <x v="1"/>
    <x v="5"/>
    <x v="16"/>
    <x v="4"/>
    <n v="1"/>
    <n v="8.48"/>
    <n v="0.08"/>
    <n v="7.8016000000000005"/>
  </r>
  <r>
    <x v="1171"/>
    <x v="38"/>
    <x v="1"/>
    <x v="3"/>
    <x v="0"/>
    <x v="1"/>
    <x v="25"/>
    <x v="8"/>
    <n v="2"/>
    <n v="58.2"/>
    <n v="0.1"/>
    <n v="104.76"/>
  </r>
  <r>
    <x v="1172"/>
    <x v="320"/>
    <x v="1"/>
    <x v="3"/>
    <x v="0"/>
    <x v="1"/>
    <x v="8"/>
    <x v="1"/>
    <n v="2"/>
    <n v="468"/>
    <n v="0.08"/>
    <n v="861.12"/>
  </r>
  <r>
    <x v="1173"/>
    <x v="9"/>
    <x v="0"/>
    <x v="0"/>
    <x v="1"/>
    <x v="4"/>
    <x v="13"/>
    <x v="0"/>
    <n v="1"/>
    <n v="1500"/>
    <n v="0.05"/>
    <n v="1425"/>
  </r>
  <r>
    <x v="1174"/>
    <x v="169"/>
    <x v="3"/>
    <x v="2"/>
    <x v="1"/>
    <x v="1"/>
    <x v="5"/>
    <x v="6"/>
    <n v="2"/>
    <n v="320"/>
    <n v="0.08"/>
    <n v="588.80000000000007"/>
  </r>
  <r>
    <x v="1175"/>
    <x v="221"/>
    <x v="2"/>
    <x v="1"/>
    <x v="1"/>
    <x v="0"/>
    <x v="12"/>
    <x v="4"/>
    <n v="2"/>
    <n v="83.2"/>
    <n v="0.03"/>
    <n v="161.40799999999999"/>
  </r>
  <r>
    <x v="1176"/>
    <x v="50"/>
    <x v="2"/>
    <x v="0"/>
    <x v="1"/>
    <x v="2"/>
    <x v="2"/>
    <x v="3"/>
    <n v="2"/>
    <n v="20"/>
    <n v="0.1"/>
    <n v="36"/>
  </r>
  <r>
    <x v="1177"/>
    <x v="180"/>
    <x v="0"/>
    <x v="2"/>
    <x v="0"/>
    <x v="4"/>
    <x v="19"/>
    <x v="5"/>
    <n v="1"/>
    <n v="591.6"/>
    <n v="0"/>
    <n v="591.6"/>
  </r>
  <r>
    <x v="1178"/>
    <x v="193"/>
    <x v="3"/>
    <x v="3"/>
    <x v="0"/>
    <x v="1"/>
    <x v="5"/>
    <x v="6"/>
    <n v="2"/>
    <n v="326.39999999999998"/>
    <n v="0.05"/>
    <n v="620.16"/>
  </r>
  <r>
    <x v="1179"/>
    <x v="325"/>
    <x v="2"/>
    <x v="3"/>
    <x v="1"/>
    <x v="4"/>
    <x v="11"/>
    <x v="4"/>
    <n v="2"/>
    <n v="850"/>
    <n v="0.05"/>
    <n v="1615"/>
  </r>
  <r>
    <x v="1180"/>
    <x v="201"/>
    <x v="0"/>
    <x v="1"/>
    <x v="1"/>
    <x v="0"/>
    <x v="12"/>
    <x v="5"/>
    <n v="3"/>
    <n v="81.599999999999994"/>
    <n v="0.08"/>
    <n v="225.21600000000001"/>
  </r>
  <r>
    <x v="1181"/>
    <x v="9"/>
    <x v="2"/>
    <x v="0"/>
    <x v="1"/>
    <x v="1"/>
    <x v="5"/>
    <x v="3"/>
    <n v="5"/>
    <n v="332.8"/>
    <n v="0.03"/>
    <n v="1614.08"/>
  </r>
  <r>
    <x v="1182"/>
    <x v="150"/>
    <x v="1"/>
    <x v="1"/>
    <x v="1"/>
    <x v="3"/>
    <x v="9"/>
    <x v="8"/>
    <n v="1"/>
    <n v="1710"/>
    <n v="0.08"/>
    <n v="1573.2"/>
  </r>
  <r>
    <x v="1183"/>
    <x v="124"/>
    <x v="0"/>
    <x v="1"/>
    <x v="0"/>
    <x v="5"/>
    <x v="18"/>
    <x v="0"/>
    <n v="2"/>
    <n v="12"/>
    <n v="0"/>
    <n v="24"/>
  </r>
  <r>
    <x v="1184"/>
    <x v="144"/>
    <x v="0"/>
    <x v="1"/>
    <x v="0"/>
    <x v="5"/>
    <x v="23"/>
    <x v="2"/>
    <n v="7"/>
    <n v="25"/>
    <n v="0.05"/>
    <n v="166.25"/>
  </r>
  <r>
    <x v="1185"/>
    <x v="92"/>
    <x v="1"/>
    <x v="2"/>
    <x v="0"/>
    <x v="3"/>
    <x v="9"/>
    <x v="9"/>
    <n v="1"/>
    <n v="1836"/>
    <n v="0"/>
    <n v="1836"/>
  </r>
  <r>
    <x v="1186"/>
    <x v="149"/>
    <x v="0"/>
    <x v="1"/>
    <x v="1"/>
    <x v="3"/>
    <x v="15"/>
    <x v="5"/>
    <n v="1"/>
    <n v="3392"/>
    <n v="0.15"/>
    <n v="2883.2"/>
  </r>
  <r>
    <x v="1187"/>
    <x v="51"/>
    <x v="3"/>
    <x v="0"/>
    <x v="1"/>
    <x v="0"/>
    <x v="0"/>
    <x v="7"/>
    <n v="2"/>
    <n v="15.9"/>
    <n v="0"/>
    <n v="31.8"/>
  </r>
  <r>
    <x v="1188"/>
    <x v="104"/>
    <x v="1"/>
    <x v="0"/>
    <x v="1"/>
    <x v="0"/>
    <x v="0"/>
    <x v="9"/>
    <n v="1"/>
    <n v="15.3"/>
    <n v="0.1"/>
    <n v="13.770000000000001"/>
  </r>
  <r>
    <x v="1189"/>
    <x v="229"/>
    <x v="1"/>
    <x v="1"/>
    <x v="1"/>
    <x v="3"/>
    <x v="9"/>
    <x v="8"/>
    <n v="1"/>
    <n v="1800"/>
    <n v="0.05"/>
    <n v="1710"/>
  </r>
  <r>
    <x v="1190"/>
    <x v="202"/>
    <x v="2"/>
    <x v="0"/>
    <x v="1"/>
    <x v="0"/>
    <x v="14"/>
    <x v="10"/>
    <n v="3"/>
    <n v="55"/>
    <n v="0.1"/>
    <n v="148.5"/>
  </r>
  <r>
    <x v="1191"/>
    <x v="61"/>
    <x v="0"/>
    <x v="1"/>
    <x v="1"/>
    <x v="3"/>
    <x v="21"/>
    <x v="5"/>
    <n v="1"/>
    <n v="3120"/>
    <n v="0.03"/>
    <n v="3026.4"/>
  </r>
  <r>
    <x v="1192"/>
    <x v="47"/>
    <x v="2"/>
    <x v="3"/>
    <x v="0"/>
    <x v="1"/>
    <x v="1"/>
    <x v="4"/>
    <n v="4"/>
    <n v="93.6"/>
    <n v="0"/>
    <n v="374.4"/>
  </r>
  <r>
    <x v="1193"/>
    <x v="43"/>
    <x v="1"/>
    <x v="3"/>
    <x v="0"/>
    <x v="3"/>
    <x v="7"/>
    <x v="8"/>
    <n v="1"/>
    <n v="3990"/>
    <n v="0.03"/>
    <n v="3870.2999999999997"/>
  </r>
  <r>
    <x v="1194"/>
    <x v="348"/>
    <x v="4"/>
    <x v="1"/>
    <x v="0"/>
    <x v="4"/>
    <x v="13"/>
    <x v="13"/>
    <n v="3"/>
    <n v="1530"/>
    <n v="0.05"/>
    <n v="4360.5"/>
  </r>
  <r>
    <x v="1195"/>
    <x v="19"/>
    <x v="2"/>
    <x v="1"/>
    <x v="1"/>
    <x v="3"/>
    <x v="20"/>
    <x v="4"/>
    <n v="1"/>
    <n v="2500"/>
    <n v="0.15"/>
    <n v="2125"/>
  </r>
  <r>
    <x v="1196"/>
    <x v="200"/>
    <x v="0"/>
    <x v="2"/>
    <x v="0"/>
    <x v="4"/>
    <x v="19"/>
    <x v="0"/>
    <n v="1"/>
    <n v="591.6"/>
    <n v="0.08"/>
    <n v="544.27200000000005"/>
  </r>
  <r>
    <x v="1197"/>
    <x v="247"/>
    <x v="2"/>
    <x v="2"/>
    <x v="1"/>
    <x v="3"/>
    <x v="7"/>
    <x v="4"/>
    <n v="2"/>
    <n v="4200"/>
    <n v="0.03"/>
    <n v="8148"/>
  </r>
  <r>
    <x v="1198"/>
    <x v="335"/>
    <x v="3"/>
    <x v="3"/>
    <x v="1"/>
    <x v="2"/>
    <x v="2"/>
    <x v="7"/>
    <n v="1"/>
    <n v="19"/>
    <n v="0.08"/>
    <n v="17.48"/>
  </r>
  <r>
    <x v="1199"/>
    <x v="161"/>
    <x v="4"/>
    <x v="1"/>
    <x v="0"/>
    <x v="1"/>
    <x v="8"/>
    <x v="12"/>
    <n v="1"/>
    <n v="450"/>
    <n v="0.08"/>
    <n v="414"/>
  </r>
  <r>
    <x v="1200"/>
    <x v="18"/>
    <x v="2"/>
    <x v="0"/>
    <x v="0"/>
    <x v="0"/>
    <x v="14"/>
    <x v="3"/>
    <n v="5"/>
    <n v="53.35"/>
    <n v="0.1"/>
    <n v="240.07500000000002"/>
  </r>
  <r>
    <x v="1201"/>
    <x v="240"/>
    <x v="4"/>
    <x v="0"/>
    <x v="1"/>
    <x v="0"/>
    <x v="22"/>
    <x v="12"/>
    <n v="1"/>
    <n v="65"/>
    <n v="0.03"/>
    <n v="63.05"/>
  </r>
  <r>
    <x v="1202"/>
    <x v="172"/>
    <x v="3"/>
    <x v="1"/>
    <x v="1"/>
    <x v="0"/>
    <x v="10"/>
    <x v="11"/>
    <n v="7"/>
    <n v="38"/>
    <n v="0.15"/>
    <n v="226.1"/>
  </r>
  <r>
    <x v="1203"/>
    <x v="229"/>
    <x v="1"/>
    <x v="3"/>
    <x v="0"/>
    <x v="0"/>
    <x v="12"/>
    <x v="9"/>
    <n v="3"/>
    <n v="83.2"/>
    <n v="0.15"/>
    <n v="212.16000000000003"/>
  </r>
  <r>
    <x v="1204"/>
    <x v="319"/>
    <x v="3"/>
    <x v="0"/>
    <x v="1"/>
    <x v="3"/>
    <x v="9"/>
    <x v="7"/>
    <n v="1"/>
    <n v="1800"/>
    <n v="0.05"/>
    <n v="1710"/>
  </r>
  <r>
    <x v="1205"/>
    <x v="121"/>
    <x v="3"/>
    <x v="2"/>
    <x v="1"/>
    <x v="4"/>
    <x v="19"/>
    <x v="7"/>
    <n v="2"/>
    <n v="614.79999999999995"/>
    <n v="0"/>
    <n v="1229.5999999999999"/>
  </r>
  <r>
    <x v="1206"/>
    <x v="5"/>
    <x v="0"/>
    <x v="2"/>
    <x v="1"/>
    <x v="2"/>
    <x v="27"/>
    <x v="5"/>
    <n v="7"/>
    <n v="180"/>
    <n v="0"/>
    <n v="1260"/>
  </r>
  <r>
    <x v="1207"/>
    <x v="328"/>
    <x v="1"/>
    <x v="3"/>
    <x v="0"/>
    <x v="4"/>
    <x v="19"/>
    <x v="1"/>
    <n v="1"/>
    <n v="591.6"/>
    <n v="0.1"/>
    <n v="532.44000000000005"/>
  </r>
  <r>
    <x v="1208"/>
    <x v="184"/>
    <x v="3"/>
    <x v="0"/>
    <x v="0"/>
    <x v="5"/>
    <x v="23"/>
    <x v="6"/>
    <n v="2"/>
    <n v="26.5"/>
    <n v="0.08"/>
    <n v="48.760000000000005"/>
  </r>
  <r>
    <x v="1209"/>
    <x v="254"/>
    <x v="0"/>
    <x v="0"/>
    <x v="1"/>
    <x v="3"/>
    <x v="20"/>
    <x v="5"/>
    <n v="1"/>
    <n v="2600"/>
    <n v="0.08"/>
    <n v="2392"/>
  </r>
  <r>
    <x v="1210"/>
    <x v="153"/>
    <x v="2"/>
    <x v="1"/>
    <x v="1"/>
    <x v="3"/>
    <x v="15"/>
    <x v="4"/>
    <n v="1"/>
    <n v="3104"/>
    <n v="0.05"/>
    <n v="2948.7999999999997"/>
  </r>
  <r>
    <x v="1211"/>
    <x v="108"/>
    <x v="4"/>
    <x v="1"/>
    <x v="1"/>
    <x v="0"/>
    <x v="22"/>
    <x v="13"/>
    <n v="3"/>
    <n v="61.75"/>
    <n v="0.05"/>
    <n v="175.98749999999998"/>
  </r>
  <r>
    <x v="1212"/>
    <x v="72"/>
    <x v="3"/>
    <x v="1"/>
    <x v="1"/>
    <x v="3"/>
    <x v="7"/>
    <x v="11"/>
    <n v="1"/>
    <n v="4368"/>
    <n v="0"/>
    <n v="4368"/>
  </r>
  <r>
    <x v="1213"/>
    <x v="349"/>
    <x v="4"/>
    <x v="2"/>
    <x v="1"/>
    <x v="4"/>
    <x v="11"/>
    <x v="12"/>
    <n v="1"/>
    <n v="850"/>
    <n v="0.03"/>
    <n v="824.5"/>
  </r>
  <r>
    <x v="1214"/>
    <x v="220"/>
    <x v="1"/>
    <x v="0"/>
    <x v="0"/>
    <x v="5"/>
    <x v="23"/>
    <x v="1"/>
    <n v="4"/>
    <n v="23.75"/>
    <n v="0"/>
    <n v="95"/>
  </r>
  <r>
    <x v="1215"/>
    <x v="325"/>
    <x v="2"/>
    <x v="0"/>
    <x v="0"/>
    <x v="5"/>
    <x v="16"/>
    <x v="10"/>
    <n v="5"/>
    <n v="8.16"/>
    <n v="0.2"/>
    <n v="32.64"/>
  </r>
  <r>
    <x v="1216"/>
    <x v="214"/>
    <x v="2"/>
    <x v="0"/>
    <x v="0"/>
    <x v="5"/>
    <x v="18"/>
    <x v="4"/>
    <n v="3"/>
    <n v="12.24"/>
    <n v="0.1"/>
    <n v="33.048000000000002"/>
  </r>
  <r>
    <x v="1217"/>
    <x v="110"/>
    <x v="2"/>
    <x v="0"/>
    <x v="1"/>
    <x v="0"/>
    <x v="6"/>
    <x v="3"/>
    <n v="5"/>
    <n v="43.65"/>
    <n v="0.05"/>
    <n v="207.33749999999998"/>
  </r>
  <r>
    <x v="1218"/>
    <x v="204"/>
    <x v="2"/>
    <x v="1"/>
    <x v="1"/>
    <x v="4"/>
    <x v="11"/>
    <x v="4"/>
    <n v="4"/>
    <n v="867"/>
    <n v="0.15"/>
    <n v="2947.7999999999997"/>
  </r>
  <r>
    <x v="1219"/>
    <x v="196"/>
    <x v="1"/>
    <x v="0"/>
    <x v="1"/>
    <x v="3"/>
    <x v="9"/>
    <x v="1"/>
    <n v="1"/>
    <n v="1800"/>
    <n v="0.15"/>
    <n v="1530"/>
  </r>
  <r>
    <x v="1220"/>
    <x v="78"/>
    <x v="4"/>
    <x v="3"/>
    <x v="1"/>
    <x v="5"/>
    <x v="16"/>
    <x v="12"/>
    <n v="5"/>
    <n v="7.76"/>
    <n v="0"/>
    <n v="38.799999999999997"/>
  </r>
  <r>
    <x v="1221"/>
    <x v="266"/>
    <x v="1"/>
    <x v="2"/>
    <x v="1"/>
    <x v="5"/>
    <x v="18"/>
    <x v="1"/>
    <n v="5"/>
    <n v="12"/>
    <n v="0.05"/>
    <n v="57"/>
  </r>
  <r>
    <x v="1222"/>
    <x v="90"/>
    <x v="1"/>
    <x v="1"/>
    <x v="0"/>
    <x v="0"/>
    <x v="6"/>
    <x v="9"/>
    <n v="3"/>
    <n v="45.9"/>
    <n v="0.05"/>
    <n v="130.81499999999997"/>
  </r>
  <r>
    <x v="1223"/>
    <x v="222"/>
    <x v="0"/>
    <x v="2"/>
    <x v="1"/>
    <x v="4"/>
    <x v="19"/>
    <x v="5"/>
    <n v="4"/>
    <n v="580"/>
    <n v="0.05"/>
    <n v="2204"/>
  </r>
  <r>
    <x v="1224"/>
    <x v="192"/>
    <x v="1"/>
    <x v="2"/>
    <x v="1"/>
    <x v="4"/>
    <x v="19"/>
    <x v="8"/>
    <n v="1"/>
    <n v="580"/>
    <n v="0.05"/>
    <n v="551"/>
  </r>
  <r>
    <x v="1225"/>
    <x v="258"/>
    <x v="0"/>
    <x v="1"/>
    <x v="1"/>
    <x v="5"/>
    <x v="16"/>
    <x v="0"/>
    <n v="4"/>
    <n v="8.16"/>
    <n v="0"/>
    <n v="32.64"/>
  </r>
  <r>
    <x v="1226"/>
    <x v="63"/>
    <x v="3"/>
    <x v="2"/>
    <x v="0"/>
    <x v="3"/>
    <x v="20"/>
    <x v="7"/>
    <n v="1"/>
    <n v="2375"/>
    <n v="0.05"/>
    <n v="2256.25"/>
  </r>
  <r>
    <x v="1227"/>
    <x v="272"/>
    <x v="2"/>
    <x v="0"/>
    <x v="1"/>
    <x v="5"/>
    <x v="18"/>
    <x v="3"/>
    <n v="5"/>
    <n v="12.48"/>
    <n v="0.05"/>
    <n v="59.28"/>
  </r>
  <r>
    <x v="1228"/>
    <x v="56"/>
    <x v="1"/>
    <x v="1"/>
    <x v="0"/>
    <x v="2"/>
    <x v="2"/>
    <x v="9"/>
    <n v="7"/>
    <n v="20"/>
    <n v="0.05"/>
    <n v="133"/>
  </r>
  <r>
    <x v="1229"/>
    <x v="231"/>
    <x v="4"/>
    <x v="1"/>
    <x v="0"/>
    <x v="5"/>
    <x v="26"/>
    <x v="14"/>
    <n v="3"/>
    <n v="18"/>
    <n v="0.1"/>
    <n v="48.6"/>
  </r>
  <r>
    <x v="1230"/>
    <x v="350"/>
    <x v="1"/>
    <x v="2"/>
    <x v="0"/>
    <x v="1"/>
    <x v="8"/>
    <x v="1"/>
    <n v="12"/>
    <n v="450"/>
    <n v="0.08"/>
    <n v="4968"/>
  </r>
  <r>
    <x v="1231"/>
    <x v="301"/>
    <x v="3"/>
    <x v="0"/>
    <x v="1"/>
    <x v="2"/>
    <x v="27"/>
    <x v="7"/>
    <n v="3"/>
    <n v="180"/>
    <n v="0.03"/>
    <n v="523.79999999999995"/>
  </r>
  <r>
    <x v="1232"/>
    <x v="143"/>
    <x v="2"/>
    <x v="3"/>
    <x v="1"/>
    <x v="2"/>
    <x v="27"/>
    <x v="3"/>
    <n v="1"/>
    <n v="180"/>
    <n v="0.2"/>
    <n v="144"/>
  </r>
  <r>
    <x v="1233"/>
    <x v="67"/>
    <x v="2"/>
    <x v="3"/>
    <x v="0"/>
    <x v="1"/>
    <x v="8"/>
    <x v="4"/>
    <n v="2"/>
    <n v="450"/>
    <n v="0.08"/>
    <n v="828"/>
  </r>
  <r>
    <x v="1234"/>
    <x v="333"/>
    <x v="0"/>
    <x v="2"/>
    <x v="1"/>
    <x v="2"/>
    <x v="4"/>
    <x v="0"/>
    <n v="2"/>
    <n v="765"/>
    <n v="0"/>
    <n v="1530"/>
  </r>
  <r>
    <x v="1235"/>
    <x v="102"/>
    <x v="4"/>
    <x v="0"/>
    <x v="1"/>
    <x v="2"/>
    <x v="3"/>
    <x v="12"/>
    <n v="2"/>
    <n v="291.2"/>
    <n v="0.15"/>
    <n v="495.03999999999996"/>
  </r>
  <r>
    <x v="1236"/>
    <x v="330"/>
    <x v="0"/>
    <x v="0"/>
    <x v="1"/>
    <x v="0"/>
    <x v="14"/>
    <x v="2"/>
    <n v="5"/>
    <n v="53.35"/>
    <n v="0.08"/>
    <n v="245.41"/>
  </r>
  <r>
    <x v="1237"/>
    <x v="293"/>
    <x v="1"/>
    <x v="0"/>
    <x v="0"/>
    <x v="0"/>
    <x v="12"/>
    <x v="9"/>
    <n v="3"/>
    <n v="76"/>
    <n v="0"/>
    <n v="228"/>
  </r>
  <r>
    <x v="1238"/>
    <x v="351"/>
    <x v="3"/>
    <x v="2"/>
    <x v="0"/>
    <x v="0"/>
    <x v="6"/>
    <x v="6"/>
    <n v="10"/>
    <n v="46.8"/>
    <n v="0"/>
    <n v="468"/>
  </r>
  <r>
    <x v="1239"/>
    <x v="78"/>
    <x v="1"/>
    <x v="0"/>
    <x v="1"/>
    <x v="2"/>
    <x v="27"/>
    <x v="8"/>
    <n v="4"/>
    <n v="180"/>
    <n v="0.05"/>
    <n v="684"/>
  </r>
  <r>
    <x v="1240"/>
    <x v="122"/>
    <x v="1"/>
    <x v="0"/>
    <x v="1"/>
    <x v="4"/>
    <x v="11"/>
    <x v="1"/>
    <n v="2"/>
    <n v="901"/>
    <n v="0.05"/>
    <n v="1711.8999999999999"/>
  </r>
  <r>
    <x v="1241"/>
    <x v="206"/>
    <x v="2"/>
    <x v="3"/>
    <x v="1"/>
    <x v="5"/>
    <x v="24"/>
    <x v="10"/>
    <n v="2"/>
    <n v="33.25"/>
    <n v="0.05"/>
    <n v="63.174999999999997"/>
  </r>
  <r>
    <x v="1242"/>
    <x v="123"/>
    <x v="3"/>
    <x v="3"/>
    <x v="1"/>
    <x v="0"/>
    <x v="0"/>
    <x v="11"/>
    <n v="1"/>
    <n v="15.3"/>
    <n v="0.08"/>
    <n v="14.076000000000001"/>
  </r>
  <r>
    <x v="1243"/>
    <x v="253"/>
    <x v="1"/>
    <x v="1"/>
    <x v="1"/>
    <x v="3"/>
    <x v="7"/>
    <x v="1"/>
    <n v="2"/>
    <n v="4200"/>
    <n v="0.05"/>
    <n v="7980"/>
  </r>
  <r>
    <x v="1244"/>
    <x v="208"/>
    <x v="2"/>
    <x v="3"/>
    <x v="1"/>
    <x v="1"/>
    <x v="1"/>
    <x v="3"/>
    <n v="2"/>
    <n v="93.6"/>
    <n v="0.05"/>
    <n v="177.83999999999997"/>
  </r>
  <r>
    <x v="1245"/>
    <x v="255"/>
    <x v="1"/>
    <x v="1"/>
    <x v="1"/>
    <x v="2"/>
    <x v="27"/>
    <x v="1"/>
    <n v="1"/>
    <n v="171"/>
    <n v="0.05"/>
    <n v="162.44999999999999"/>
  </r>
  <r>
    <x v="1246"/>
    <x v="62"/>
    <x v="1"/>
    <x v="0"/>
    <x v="1"/>
    <x v="1"/>
    <x v="1"/>
    <x v="8"/>
    <n v="2"/>
    <n v="90"/>
    <n v="0.1"/>
    <n v="162"/>
  </r>
  <r>
    <x v="1247"/>
    <x v="65"/>
    <x v="4"/>
    <x v="2"/>
    <x v="0"/>
    <x v="4"/>
    <x v="17"/>
    <x v="14"/>
    <n v="3"/>
    <n v="700"/>
    <n v="0.03"/>
    <n v="2037"/>
  </r>
  <r>
    <x v="1248"/>
    <x v="124"/>
    <x v="0"/>
    <x v="1"/>
    <x v="1"/>
    <x v="0"/>
    <x v="6"/>
    <x v="0"/>
    <n v="1"/>
    <n v="43.65"/>
    <n v="0"/>
    <n v="43.65"/>
  </r>
  <r>
    <x v="1249"/>
    <x v="228"/>
    <x v="4"/>
    <x v="3"/>
    <x v="0"/>
    <x v="0"/>
    <x v="22"/>
    <x v="14"/>
    <n v="5"/>
    <n v="65"/>
    <n v="0.05"/>
    <n v="308.75"/>
  </r>
  <r>
    <x v="1250"/>
    <x v="239"/>
    <x v="1"/>
    <x v="0"/>
    <x v="0"/>
    <x v="3"/>
    <x v="21"/>
    <x v="9"/>
    <n v="3"/>
    <n v="3000"/>
    <n v="0"/>
    <n v="9000"/>
  </r>
  <r>
    <x v="1251"/>
    <x v="274"/>
    <x v="4"/>
    <x v="1"/>
    <x v="1"/>
    <x v="1"/>
    <x v="25"/>
    <x v="13"/>
    <n v="7"/>
    <n v="60"/>
    <n v="0.08"/>
    <n v="386.40000000000003"/>
  </r>
  <r>
    <x v="1252"/>
    <x v="348"/>
    <x v="0"/>
    <x v="0"/>
    <x v="1"/>
    <x v="3"/>
    <x v="20"/>
    <x v="2"/>
    <n v="1"/>
    <n v="2375"/>
    <n v="0.2"/>
    <n v="1900"/>
  </r>
  <r>
    <x v="1253"/>
    <x v="47"/>
    <x v="1"/>
    <x v="1"/>
    <x v="0"/>
    <x v="4"/>
    <x v="13"/>
    <x v="1"/>
    <n v="5"/>
    <n v="1530"/>
    <n v="0.15"/>
    <n v="6502.5"/>
  </r>
  <r>
    <x v="1254"/>
    <x v="333"/>
    <x v="4"/>
    <x v="1"/>
    <x v="0"/>
    <x v="2"/>
    <x v="4"/>
    <x v="13"/>
    <n v="2"/>
    <n v="765"/>
    <n v="0.08"/>
    <n v="1407.6000000000001"/>
  </r>
  <r>
    <x v="1255"/>
    <x v="69"/>
    <x v="1"/>
    <x v="1"/>
    <x v="1"/>
    <x v="2"/>
    <x v="2"/>
    <x v="8"/>
    <n v="1"/>
    <n v="20"/>
    <n v="0.03"/>
    <n v="19.399999999999999"/>
  </r>
  <r>
    <x v="1256"/>
    <x v="29"/>
    <x v="1"/>
    <x v="3"/>
    <x v="0"/>
    <x v="0"/>
    <x v="10"/>
    <x v="1"/>
    <n v="2"/>
    <n v="38"/>
    <n v="0.08"/>
    <n v="69.92"/>
  </r>
  <r>
    <x v="1257"/>
    <x v="143"/>
    <x v="0"/>
    <x v="2"/>
    <x v="0"/>
    <x v="0"/>
    <x v="12"/>
    <x v="2"/>
    <n v="9"/>
    <n v="76"/>
    <n v="0"/>
    <n v="684"/>
  </r>
  <r>
    <x v="1258"/>
    <x v="288"/>
    <x v="4"/>
    <x v="0"/>
    <x v="1"/>
    <x v="1"/>
    <x v="25"/>
    <x v="14"/>
    <n v="5"/>
    <n v="61.2"/>
    <n v="0.1"/>
    <n v="275.40000000000003"/>
  </r>
  <r>
    <x v="1259"/>
    <x v="42"/>
    <x v="2"/>
    <x v="0"/>
    <x v="0"/>
    <x v="0"/>
    <x v="10"/>
    <x v="4"/>
    <n v="1"/>
    <n v="38"/>
    <n v="0.08"/>
    <n v="34.96"/>
  </r>
  <r>
    <x v="1260"/>
    <x v="204"/>
    <x v="3"/>
    <x v="3"/>
    <x v="1"/>
    <x v="0"/>
    <x v="22"/>
    <x v="6"/>
    <n v="1"/>
    <n v="63.05"/>
    <n v="0.03"/>
    <n v="61.158499999999997"/>
  </r>
  <r>
    <x v="1261"/>
    <x v="36"/>
    <x v="2"/>
    <x v="0"/>
    <x v="0"/>
    <x v="1"/>
    <x v="25"/>
    <x v="3"/>
    <n v="1"/>
    <n v="58.2"/>
    <n v="0.05"/>
    <n v="55.29"/>
  </r>
  <r>
    <x v="1262"/>
    <x v="220"/>
    <x v="3"/>
    <x v="0"/>
    <x v="0"/>
    <x v="1"/>
    <x v="5"/>
    <x v="6"/>
    <n v="1"/>
    <n v="310.39999999999998"/>
    <n v="0.08"/>
    <n v="285.56799999999998"/>
  </r>
  <r>
    <x v="1263"/>
    <x v="313"/>
    <x v="0"/>
    <x v="0"/>
    <x v="1"/>
    <x v="3"/>
    <x v="21"/>
    <x v="2"/>
    <n v="1"/>
    <n v="3000"/>
    <n v="0.03"/>
    <n v="2910"/>
  </r>
  <r>
    <x v="1264"/>
    <x v="278"/>
    <x v="1"/>
    <x v="2"/>
    <x v="1"/>
    <x v="2"/>
    <x v="27"/>
    <x v="1"/>
    <n v="7"/>
    <n v="180"/>
    <n v="0"/>
    <n v="1260"/>
  </r>
  <r>
    <x v="1265"/>
    <x v="150"/>
    <x v="1"/>
    <x v="3"/>
    <x v="1"/>
    <x v="1"/>
    <x v="8"/>
    <x v="1"/>
    <n v="1"/>
    <n v="450"/>
    <n v="0.05"/>
    <n v="427.5"/>
  </r>
  <r>
    <x v="1266"/>
    <x v="344"/>
    <x v="3"/>
    <x v="0"/>
    <x v="1"/>
    <x v="1"/>
    <x v="5"/>
    <x v="6"/>
    <n v="2"/>
    <n v="332.8"/>
    <n v="0.05"/>
    <n v="632.31999999999994"/>
  </r>
  <r>
    <x v="1267"/>
    <x v="261"/>
    <x v="3"/>
    <x v="2"/>
    <x v="0"/>
    <x v="3"/>
    <x v="15"/>
    <x v="6"/>
    <n v="1"/>
    <n v="3104"/>
    <n v="0.15"/>
    <n v="2638.4"/>
  </r>
  <r>
    <x v="1268"/>
    <x v="239"/>
    <x v="1"/>
    <x v="2"/>
    <x v="1"/>
    <x v="4"/>
    <x v="19"/>
    <x v="9"/>
    <n v="2"/>
    <n v="591.6"/>
    <n v="0.15"/>
    <n v="1005.72"/>
  </r>
  <r>
    <x v="1269"/>
    <x v="203"/>
    <x v="0"/>
    <x v="0"/>
    <x v="0"/>
    <x v="5"/>
    <x v="26"/>
    <x v="2"/>
    <n v="4"/>
    <n v="18.36"/>
    <n v="0.05"/>
    <n v="69.768000000000001"/>
  </r>
  <r>
    <x v="1270"/>
    <x v="122"/>
    <x v="4"/>
    <x v="3"/>
    <x v="0"/>
    <x v="1"/>
    <x v="8"/>
    <x v="14"/>
    <n v="2"/>
    <n v="459"/>
    <n v="0.15"/>
    <n v="780.3"/>
  </r>
  <r>
    <x v="1271"/>
    <x v="89"/>
    <x v="3"/>
    <x v="1"/>
    <x v="1"/>
    <x v="4"/>
    <x v="11"/>
    <x v="6"/>
    <n v="2"/>
    <n v="850"/>
    <n v="0.08"/>
    <n v="1564"/>
  </r>
  <r>
    <x v="1272"/>
    <x v="196"/>
    <x v="4"/>
    <x v="3"/>
    <x v="1"/>
    <x v="3"/>
    <x v="15"/>
    <x v="13"/>
    <n v="2"/>
    <n v="3328"/>
    <n v="0.1"/>
    <n v="5990.4000000000005"/>
  </r>
  <r>
    <x v="1273"/>
    <x v="32"/>
    <x v="2"/>
    <x v="0"/>
    <x v="1"/>
    <x v="0"/>
    <x v="10"/>
    <x v="3"/>
    <n v="1"/>
    <n v="38"/>
    <n v="0.05"/>
    <n v="36.1"/>
  </r>
  <r>
    <x v="1274"/>
    <x v="30"/>
    <x v="1"/>
    <x v="0"/>
    <x v="1"/>
    <x v="1"/>
    <x v="1"/>
    <x v="8"/>
    <n v="7"/>
    <n v="93.6"/>
    <n v="0.03"/>
    <n v="635.54399999999987"/>
  </r>
  <r>
    <x v="1275"/>
    <x v="324"/>
    <x v="2"/>
    <x v="3"/>
    <x v="1"/>
    <x v="1"/>
    <x v="5"/>
    <x v="10"/>
    <n v="3"/>
    <n v="320"/>
    <n v="0.08"/>
    <n v="883.2"/>
  </r>
  <r>
    <x v="1276"/>
    <x v="231"/>
    <x v="3"/>
    <x v="1"/>
    <x v="0"/>
    <x v="3"/>
    <x v="21"/>
    <x v="7"/>
    <n v="1"/>
    <n v="3120"/>
    <n v="0.1"/>
    <n v="2808"/>
  </r>
  <r>
    <x v="1277"/>
    <x v="206"/>
    <x v="4"/>
    <x v="2"/>
    <x v="0"/>
    <x v="4"/>
    <x v="17"/>
    <x v="13"/>
    <n v="1"/>
    <n v="679"/>
    <n v="0.05"/>
    <n v="645.04999999999995"/>
  </r>
  <r>
    <x v="1278"/>
    <x v="221"/>
    <x v="0"/>
    <x v="3"/>
    <x v="1"/>
    <x v="1"/>
    <x v="1"/>
    <x v="2"/>
    <n v="3"/>
    <n v="90"/>
    <n v="0.08"/>
    <n v="248.4"/>
  </r>
  <r>
    <x v="1279"/>
    <x v="39"/>
    <x v="2"/>
    <x v="0"/>
    <x v="1"/>
    <x v="2"/>
    <x v="4"/>
    <x v="4"/>
    <n v="5"/>
    <n v="750"/>
    <n v="0.03"/>
    <n v="3637.5"/>
  </r>
  <r>
    <x v="1280"/>
    <x v="231"/>
    <x v="4"/>
    <x v="3"/>
    <x v="1"/>
    <x v="0"/>
    <x v="10"/>
    <x v="12"/>
    <n v="3"/>
    <n v="36.86"/>
    <n v="0.08"/>
    <n v="101.73360000000001"/>
  </r>
  <r>
    <x v="1281"/>
    <x v="50"/>
    <x v="4"/>
    <x v="0"/>
    <x v="1"/>
    <x v="1"/>
    <x v="25"/>
    <x v="13"/>
    <n v="2"/>
    <n v="57"/>
    <n v="0.03"/>
    <n v="110.58"/>
  </r>
  <r>
    <x v="1282"/>
    <x v="187"/>
    <x v="0"/>
    <x v="1"/>
    <x v="1"/>
    <x v="2"/>
    <x v="27"/>
    <x v="5"/>
    <n v="3"/>
    <n v="183.6"/>
    <n v="0.05"/>
    <n v="523.25999999999988"/>
  </r>
  <r>
    <x v="1283"/>
    <x v="269"/>
    <x v="1"/>
    <x v="0"/>
    <x v="1"/>
    <x v="1"/>
    <x v="5"/>
    <x v="8"/>
    <n v="1"/>
    <n v="320"/>
    <n v="0.05"/>
    <n v="304"/>
  </r>
  <r>
    <x v="1284"/>
    <x v="29"/>
    <x v="4"/>
    <x v="0"/>
    <x v="0"/>
    <x v="0"/>
    <x v="0"/>
    <x v="13"/>
    <n v="1"/>
    <n v="15.6"/>
    <n v="0.08"/>
    <n v="14.352"/>
  </r>
  <r>
    <x v="1285"/>
    <x v="134"/>
    <x v="1"/>
    <x v="1"/>
    <x v="1"/>
    <x v="0"/>
    <x v="10"/>
    <x v="9"/>
    <n v="2"/>
    <n v="40.28"/>
    <n v="0.1"/>
    <n v="72.504000000000005"/>
  </r>
  <r>
    <x v="1286"/>
    <x v="8"/>
    <x v="2"/>
    <x v="3"/>
    <x v="0"/>
    <x v="5"/>
    <x v="16"/>
    <x v="4"/>
    <n v="2"/>
    <n v="8.48"/>
    <n v="0.05"/>
    <n v="16.111999999999998"/>
  </r>
  <r>
    <x v="1287"/>
    <x v="303"/>
    <x v="0"/>
    <x v="2"/>
    <x v="1"/>
    <x v="3"/>
    <x v="15"/>
    <x v="0"/>
    <n v="1"/>
    <n v="3200"/>
    <n v="0.1"/>
    <n v="2880"/>
  </r>
  <r>
    <x v="1288"/>
    <x v="73"/>
    <x v="0"/>
    <x v="2"/>
    <x v="1"/>
    <x v="2"/>
    <x v="4"/>
    <x v="5"/>
    <n v="3"/>
    <n v="750"/>
    <n v="0.03"/>
    <n v="2182.5"/>
  </r>
  <r>
    <x v="1289"/>
    <x v="143"/>
    <x v="4"/>
    <x v="0"/>
    <x v="0"/>
    <x v="3"/>
    <x v="15"/>
    <x v="14"/>
    <n v="1"/>
    <n v="3392"/>
    <n v="0"/>
    <n v="3392"/>
  </r>
  <r>
    <x v="1290"/>
    <x v="207"/>
    <x v="0"/>
    <x v="1"/>
    <x v="0"/>
    <x v="0"/>
    <x v="22"/>
    <x v="0"/>
    <n v="4"/>
    <n v="63.05"/>
    <n v="0.1"/>
    <n v="226.98"/>
  </r>
  <r>
    <x v="1291"/>
    <x v="90"/>
    <x v="0"/>
    <x v="0"/>
    <x v="1"/>
    <x v="1"/>
    <x v="1"/>
    <x v="0"/>
    <n v="1"/>
    <n v="85.5"/>
    <n v="0.1"/>
    <n v="76.95"/>
  </r>
  <r>
    <x v="1292"/>
    <x v="218"/>
    <x v="1"/>
    <x v="0"/>
    <x v="1"/>
    <x v="1"/>
    <x v="8"/>
    <x v="8"/>
    <n v="3"/>
    <n v="450"/>
    <n v="0.1"/>
    <n v="1215"/>
  </r>
  <r>
    <x v="1293"/>
    <x v="112"/>
    <x v="2"/>
    <x v="1"/>
    <x v="0"/>
    <x v="4"/>
    <x v="19"/>
    <x v="3"/>
    <n v="2"/>
    <n v="591.6"/>
    <n v="0.1"/>
    <n v="1064.8800000000001"/>
  </r>
  <r>
    <x v="1294"/>
    <x v="27"/>
    <x v="2"/>
    <x v="0"/>
    <x v="1"/>
    <x v="2"/>
    <x v="2"/>
    <x v="10"/>
    <n v="3"/>
    <n v="20"/>
    <n v="0.05"/>
    <n v="57"/>
  </r>
  <r>
    <x v="1295"/>
    <x v="110"/>
    <x v="1"/>
    <x v="0"/>
    <x v="0"/>
    <x v="0"/>
    <x v="6"/>
    <x v="8"/>
    <n v="2"/>
    <n v="45"/>
    <n v="0.08"/>
    <n v="82.8"/>
  </r>
  <r>
    <x v="1296"/>
    <x v="236"/>
    <x v="4"/>
    <x v="0"/>
    <x v="0"/>
    <x v="5"/>
    <x v="18"/>
    <x v="14"/>
    <n v="4"/>
    <n v="12"/>
    <n v="0.08"/>
    <n v="44.160000000000004"/>
  </r>
  <r>
    <x v="1297"/>
    <x v="107"/>
    <x v="2"/>
    <x v="1"/>
    <x v="0"/>
    <x v="4"/>
    <x v="11"/>
    <x v="10"/>
    <n v="1"/>
    <n v="850"/>
    <n v="0"/>
    <n v="850"/>
  </r>
  <r>
    <x v="1298"/>
    <x v="9"/>
    <x v="3"/>
    <x v="0"/>
    <x v="1"/>
    <x v="3"/>
    <x v="9"/>
    <x v="6"/>
    <n v="4"/>
    <n v="1908"/>
    <n v="0.08"/>
    <n v="7021.4400000000005"/>
  </r>
  <r>
    <x v="1299"/>
    <x v="267"/>
    <x v="1"/>
    <x v="0"/>
    <x v="1"/>
    <x v="5"/>
    <x v="18"/>
    <x v="1"/>
    <n v="3"/>
    <n v="11.64"/>
    <n v="0.15"/>
    <n v="29.682000000000002"/>
  </r>
  <r>
    <x v="1300"/>
    <x v="153"/>
    <x v="2"/>
    <x v="0"/>
    <x v="0"/>
    <x v="4"/>
    <x v="11"/>
    <x v="10"/>
    <n v="1"/>
    <n v="824.5"/>
    <n v="0"/>
    <n v="824.5"/>
  </r>
  <r>
    <x v="1301"/>
    <x v="225"/>
    <x v="3"/>
    <x v="0"/>
    <x v="1"/>
    <x v="0"/>
    <x v="6"/>
    <x v="6"/>
    <n v="2"/>
    <n v="43.65"/>
    <n v="0.05"/>
    <n v="82.934999999999988"/>
  </r>
  <r>
    <x v="1302"/>
    <x v="91"/>
    <x v="0"/>
    <x v="2"/>
    <x v="0"/>
    <x v="2"/>
    <x v="27"/>
    <x v="0"/>
    <n v="2"/>
    <n v="180"/>
    <n v="0"/>
    <n v="360"/>
  </r>
  <r>
    <x v="1303"/>
    <x v="321"/>
    <x v="1"/>
    <x v="1"/>
    <x v="0"/>
    <x v="1"/>
    <x v="1"/>
    <x v="1"/>
    <n v="4"/>
    <n v="87.3"/>
    <n v="0.03"/>
    <n v="338.72399999999999"/>
  </r>
  <r>
    <x v="1304"/>
    <x v="134"/>
    <x v="2"/>
    <x v="1"/>
    <x v="1"/>
    <x v="3"/>
    <x v="15"/>
    <x v="3"/>
    <n v="1"/>
    <n v="3040"/>
    <n v="0.2"/>
    <n v="2432"/>
  </r>
  <r>
    <x v="1305"/>
    <x v="352"/>
    <x v="1"/>
    <x v="3"/>
    <x v="0"/>
    <x v="0"/>
    <x v="22"/>
    <x v="8"/>
    <n v="4"/>
    <n v="65"/>
    <n v="0.15"/>
    <n v="221"/>
  </r>
  <r>
    <x v="1306"/>
    <x v="353"/>
    <x v="3"/>
    <x v="1"/>
    <x v="1"/>
    <x v="4"/>
    <x v="11"/>
    <x v="11"/>
    <n v="1"/>
    <n v="807.5"/>
    <n v="0"/>
    <n v="807.5"/>
  </r>
  <r>
    <x v="1307"/>
    <x v="286"/>
    <x v="1"/>
    <x v="0"/>
    <x v="1"/>
    <x v="1"/>
    <x v="5"/>
    <x v="1"/>
    <n v="4"/>
    <n v="326.39999999999998"/>
    <n v="0.05"/>
    <n v="1240.32"/>
  </r>
  <r>
    <x v="1308"/>
    <x v="289"/>
    <x v="1"/>
    <x v="0"/>
    <x v="0"/>
    <x v="5"/>
    <x v="26"/>
    <x v="8"/>
    <n v="2"/>
    <n v="18.72"/>
    <n v="0.03"/>
    <n v="36.316799999999994"/>
  </r>
  <r>
    <x v="1309"/>
    <x v="318"/>
    <x v="4"/>
    <x v="0"/>
    <x v="1"/>
    <x v="1"/>
    <x v="5"/>
    <x v="12"/>
    <n v="2"/>
    <n v="304"/>
    <n v="0.15"/>
    <n v="516.79999999999995"/>
  </r>
  <r>
    <x v="1310"/>
    <x v="221"/>
    <x v="1"/>
    <x v="3"/>
    <x v="0"/>
    <x v="5"/>
    <x v="18"/>
    <x v="9"/>
    <n v="5"/>
    <n v="12"/>
    <n v="0.05"/>
    <n v="57"/>
  </r>
  <r>
    <x v="1311"/>
    <x v="25"/>
    <x v="1"/>
    <x v="1"/>
    <x v="1"/>
    <x v="3"/>
    <x v="21"/>
    <x v="9"/>
    <n v="2"/>
    <n v="3000"/>
    <n v="0.1"/>
    <n v="5400"/>
  </r>
  <r>
    <x v="1312"/>
    <x v="335"/>
    <x v="0"/>
    <x v="2"/>
    <x v="1"/>
    <x v="4"/>
    <x v="17"/>
    <x v="5"/>
    <n v="2"/>
    <n v="700"/>
    <n v="0.1"/>
    <n v="1260"/>
  </r>
  <r>
    <x v="1313"/>
    <x v="215"/>
    <x v="2"/>
    <x v="2"/>
    <x v="0"/>
    <x v="1"/>
    <x v="5"/>
    <x v="10"/>
    <n v="12"/>
    <n v="304"/>
    <n v="0.2"/>
    <n v="2918.4"/>
  </r>
  <r>
    <x v="1314"/>
    <x v="79"/>
    <x v="2"/>
    <x v="3"/>
    <x v="0"/>
    <x v="3"/>
    <x v="20"/>
    <x v="10"/>
    <n v="3"/>
    <n v="2425"/>
    <n v="0.03"/>
    <n v="7056.75"/>
  </r>
  <r>
    <x v="1315"/>
    <x v="233"/>
    <x v="2"/>
    <x v="3"/>
    <x v="1"/>
    <x v="0"/>
    <x v="14"/>
    <x v="3"/>
    <n v="2"/>
    <n v="53.35"/>
    <n v="0.05"/>
    <n v="101.36499999999999"/>
  </r>
  <r>
    <x v="1316"/>
    <x v="327"/>
    <x v="4"/>
    <x v="1"/>
    <x v="0"/>
    <x v="4"/>
    <x v="17"/>
    <x v="14"/>
    <n v="2"/>
    <n v="665"/>
    <n v="0.2"/>
    <n v="1064"/>
  </r>
  <r>
    <x v="1317"/>
    <x v="303"/>
    <x v="4"/>
    <x v="1"/>
    <x v="1"/>
    <x v="5"/>
    <x v="23"/>
    <x v="14"/>
    <n v="4"/>
    <n v="26"/>
    <n v="0.08"/>
    <n v="95.68"/>
  </r>
  <r>
    <x v="1318"/>
    <x v="279"/>
    <x v="1"/>
    <x v="0"/>
    <x v="0"/>
    <x v="4"/>
    <x v="19"/>
    <x v="1"/>
    <n v="1"/>
    <n v="614.79999999999995"/>
    <n v="0.03"/>
    <n v="596.35599999999999"/>
  </r>
  <r>
    <x v="1319"/>
    <x v="319"/>
    <x v="0"/>
    <x v="0"/>
    <x v="1"/>
    <x v="3"/>
    <x v="21"/>
    <x v="5"/>
    <n v="1"/>
    <n v="3180"/>
    <n v="0.03"/>
    <n v="3084.6"/>
  </r>
  <r>
    <x v="1320"/>
    <x v="33"/>
    <x v="1"/>
    <x v="0"/>
    <x v="1"/>
    <x v="4"/>
    <x v="19"/>
    <x v="9"/>
    <n v="1"/>
    <n v="614.79999999999995"/>
    <n v="0.05"/>
    <n v="584.05999999999995"/>
  </r>
  <r>
    <x v="1321"/>
    <x v="207"/>
    <x v="3"/>
    <x v="1"/>
    <x v="1"/>
    <x v="3"/>
    <x v="15"/>
    <x v="6"/>
    <n v="1"/>
    <n v="3392"/>
    <n v="0.05"/>
    <n v="3222.3999999999996"/>
  </r>
  <r>
    <x v="1322"/>
    <x v="327"/>
    <x v="4"/>
    <x v="0"/>
    <x v="0"/>
    <x v="5"/>
    <x v="18"/>
    <x v="12"/>
    <n v="2"/>
    <n v="12.72"/>
    <n v="0"/>
    <n v="25.44"/>
  </r>
  <r>
    <x v="1323"/>
    <x v="23"/>
    <x v="2"/>
    <x v="0"/>
    <x v="0"/>
    <x v="0"/>
    <x v="0"/>
    <x v="4"/>
    <n v="1"/>
    <n v="15.9"/>
    <n v="0.08"/>
    <n v="14.628"/>
  </r>
  <r>
    <x v="1324"/>
    <x v="348"/>
    <x v="2"/>
    <x v="0"/>
    <x v="1"/>
    <x v="2"/>
    <x v="3"/>
    <x v="3"/>
    <n v="3"/>
    <n v="296.8"/>
    <n v="0.15"/>
    <n v="756.84"/>
  </r>
  <r>
    <x v="1325"/>
    <x v="268"/>
    <x v="3"/>
    <x v="0"/>
    <x v="1"/>
    <x v="3"/>
    <x v="15"/>
    <x v="6"/>
    <n v="1"/>
    <n v="3200"/>
    <n v="0.08"/>
    <n v="2944"/>
  </r>
  <r>
    <x v="1326"/>
    <x v="295"/>
    <x v="3"/>
    <x v="2"/>
    <x v="1"/>
    <x v="4"/>
    <x v="11"/>
    <x v="7"/>
    <n v="1"/>
    <n v="850"/>
    <n v="0.03"/>
    <n v="824.5"/>
  </r>
  <r>
    <x v="1327"/>
    <x v="108"/>
    <x v="1"/>
    <x v="3"/>
    <x v="1"/>
    <x v="0"/>
    <x v="6"/>
    <x v="1"/>
    <n v="3"/>
    <n v="45"/>
    <n v="0"/>
    <n v="135"/>
  </r>
  <r>
    <x v="1328"/>
    <x v="318"/>
    <x v="4"/>
    <x v="2"/>
    <x v="1"/>
    <x v="3"/>
    <x v="21"/>
    <x v="12"/>
    <n v="1"/>
    <n v="2850"/>
    <n v="0.1"/>
    <n v="2565"/>
  </r>
  <r>
    <x v="1329"/>
    <x v="158"/>
    <x v="3"/>
    <x v="0"/>
    <x v="1"/>
    <x v="5"/>
    <x v="18"/>
    <x v="6"/>
    <n v="3"/>
    <n v="12"/>
    <n v="0.05"/>
    <n v="34.199999999999996"/>
  </r>
  <r>
    <x v="1330"/>
    <x v="354"/>
    <x v="1"/>
    <x v="1"/>
    <x v="1"/>
    <x v="0"/>
    <x v="0"/>
    <x v="1"/>
    <n v="5"/>
    <n v="15"/>
    <n v="0"/>
    <n v="75"/>
  </r>
  <r>
    <x v="1331"/>
    <x v="112"/>
    <x v="1"/>
    <x v="0"/>
    <x v="1"/>
    <x v="5"/>
    <x v="24"/>
    <x v="9"/>
    <n v="5"/>
    <n v="35"/>
    <n v="0.08"/>
    <n v="161"/>
  </r>
  <r>
    <x v="1332"/>
    <x v="294"/>
    <x v="3"/>
    <x v="0"/>
    <x v="1"/>
    <x v="2"/>
    <x v="27"/>
    <x v="7"/>
    <n v="3"/>
    <n v="190.8"/>
    <n v="0.15"/>
    <n v="486.54000000000008"/>
  </r>
  <r>
    <x v="1333"/>
    <x v="267"/>
    <x v="1"/>
    <x v="2"/>
    <x v="1"/>
    <x v="1"/>
    <x v="5"/>
    <x v="1"/>
    <n v="8"/>
    <n v="320"/>
    <n v="0.05"/>
    <n v="2432"/>
  </r>
  <r>
    <x v="1334"/>
    <x v="231"/>
    <x v="4"/>
    <x v="1"/>
    <x v="1"/>
    <x v="5"/>
    <x v="23"/>
    <x v="12"/>
    <n v="2"/>
    <n v="25.5"/>
    <n v="0.05"/>
    <n v="48.449999999999996"/>
  </r>
  <r>
    <x v="1335"/>
    <x v="148"/>
    <x v="4"/>
    <x v="3"/>
    <x v="1"/>
    <x v="5"/>
    <x v="26"/>
    <x v="12"/>
    <n v="2"/>
    <n v="19.079999999999998"/>
    <n v="0.15"/>
    <n v="32.435999999999993"/>
  </r>
  <r>
    <x v="1336"/>
    <x v="20"/>
    <x v="3"/>
    <x v="1"/>
    <x v="1"/>
    <x v="4"/>
    <x v="17"/>
    <x v="11"/>
    <n v="1"/>
    <n v="714"/>
    <n v="0.05"/>
    <n v="678.3"/>
  </r>
  <r>
    <x v="1337"/>
    <x v="166"/>
    <x v="0"/>
    <x v="0"/>
    <x v="0"/>
    <x v="0"/>
    <x v="10"/>
    <x v="0"/>
    <n v="2"/>
    <n v="38"/>
    <n v="0.15"/>
    <n v="64.599999999999994"/>
  </r>
  <r>
    <x v="1338"/>
    <x v="289"/>
    <x v="3"/>
    <x v="0"/>
    <x v="0"/>
    <x v="1"/>
    <x v="25"/>
    <x v="6"/>
    <n v="3"/>
    <n v="60"/>
    <n v="0.08"/>
    <n v="165.6"/>
  </r>
  <r>
    <x v="1339"/>
    <x v="118"/>
    <x v="3"/>
    <x v="3"/>
    <x v="1"/>
    <x v="0"/>
    <x v="0"/>
    <x v="6"/>
    <n v="4"/>
    <n v="15.3"/>
    <n v="0.08"/>
    <n v="56.304000000000002"/>
  </r>
  <r>
    <x v="1340"/>
    <x v="297"/>
    <x v="1"/>
    <x v="0"/>
    <x v="1"/>
    <x v="0"/>
    <x v="22"/>
    <x v="9"/>
    <n v="3"/>
    <n v="65"/>
    <n v="0.1"/>
    <n v="175.5"/>
  </r>
  <r>
    <x v="1341"/>
    <x v="344"/>
    <x v="3"/>
    <x v="0"/>
    <x v="1"/>
    <x v="1"/>
    <x v="1"/>
    <x v="11"/>
    <n v="1"/>
    <n v="91.8"/>
    <n v="0.08"/>
    <n v="84.456000000000003"/>
  </r>
  <r>
    <x v="1342"/>
    <x v="354"/>
    <x v="3"/>
    <x v="3"/>
    <x v="0"/>
    <x v="0"/>
    <x v="10"/>
    <x v="7"/>
    <n v="2"/>
    <n v="40.28"/>
    <n v="0.2"/>
    <n v="64.448000000000008"/>
  </r>
  <r>
    <x v="1343"/>
    <x v="25"/>
    <x v="1"/>
    <x v="0"/>
    <x v="0"/>
    <x v="3"/>
    <x v="7"/>
    <x v="1"/>
    <n v="1"/>
    <n v="4074"/>
    <n v="0.08"/>
    <n v="3748.0800000000004"/>
  </r>
  <r>
    <x v="1344"/>
    <x v="255"/>
    <x v="4"/>
    <x v="3"/>
    <x v="0"/>
    <x v="5"/>
    <x v="24"/>
    <x v="13"/>
    <n v="3"/>
    <n v="33.950000000000003"/>
    <n v="0.05"/>
    <n v="96.757500000000007"/>
  </r>
  <r>
    <x v="1345"/>
    <x v="279"/>
    <x v="1"/>
    <x v="0"/>
    <x v="1"/>
    <x v="0"/>
    <x v="6"/>
    <x v="9"/>
    <n v="7"/>
    <n v="45.9"/>
    <n v="0.1"/>
    <n v="289.17"/>
  </r>
  <r>
    <x v="1346"/>
    <x v="275"/>
    <x v="2"/>
    <x v="1"/>
    <x v="1"/>
    <x v="2"/>
    <x v="2"/>
    <x v="3"/>
    <n v="1"/>
    <n v="20"/>
    <n v="0.08"/>
    <n v="18.400000000000002"/>
  </r>
  <r>
    <x v="1347"/>
    <x v="2"/>
    <x v="3"/>
    <x v="3"/>
    <x v="0"/>
    <x v="1"/>
    <x v="5"/>
    <x v="11"/>
    <n v="3"/>
    <n v="310.39999999999998"/>
    <n v="0.08"/>
    <n v="856.70399999999995"/>
  </r>
  <r>
    <x v="1348"/>
    <x v="49"/>
    <x v="2"/>
    <x v="3"/>
    <x v="0"/>
    <x v="4"/>
    <x v="11"/>
    <x v="10"/>
    <n v="4"/>
    <n v="850"/>
    <n v="0.05"/>
    <n v="3230"/>
  </r>
  <r>
    <x v="1349"/>
    <x v="135"/>
    <x v="1"/>
    <x v="3"/>
    <x v="1"/>
    <x v="3"/>
    <x v="20"/>
    <x v="9"/>
    <n v="2"/>
    <n v="2425"/>
    <n v="0.05"/>
    <n v="4607.5"/>
  </r>
  <r>
    <x v="1350"/>
    <x v="179"/>
    <x v="3"/>
    <x v="3"/>
    <x v="1"/>
    <x v="0"/>
    <x v="10"/>
    <x v="7"/>
    <n v="6"/>
    <n v="38"/>
    <n v="0.08"/>
    <n v="209.76000000000002"/>
  </r>
  <r>
    <x v="1351"/>
    <x v="303"/>
    <x v="1"/>
    <x v="1"/>
    <x v="1"/>
    <x v="1"/>
    <x v="25"/>
    <x v="8"/>
    <n v="4"/>
    <n v="60"/>
    <n v="0.08"/>
    <n v="220.8"/>
  </r>
  <r>
    <x v="1352"/>
    <x v="340"/>
    <x v="3"/>
    <x v="0"/>
    <x v="0"/>
    <x v="3"/>
    <x v="20"/>
    <x v="11"/>
    <n v="2"/>
    <n v="2500"/>
    <n v="0.03"/>
    <n v="4850"/>
  </r>
  <r>
    <x v="1353"/>
    <x v="279"/>
    <x v="3"/>
    <x v="0"/>
    <x v="1"/>
    <x v="4"/>
    <x v="19"/>
    <x v="6"/>
    <n v="2"/>
    <n v="603.20000000000005"/>
    <n v="0.05"/>
    <n v="1146.08"/>
  </r>
  <r>
    <x v="1354"/>
    <x v="132"/>
    <x v="1"/>
    <x v="1"/>
    <x v="1"/>
    <x v="3"/>
    <x v="9"/>
    <x v="1"/>
    <n v="3"/>
    <n v="1836"/>
    <n v="0.03"/>
    <n v="5342.76"/>
  </r>
  <r>
    <x v="1355"/>
    <x v="160"/>
    <x v="1"/>
    <x v="1"/>
    <x v="1"/>
    <x v="0"/>
    <x v="6"/>
    <x v="1"/>
    <n v="2"/>
    <n v="46.8"/>
    <n v="0.1"/>
    <n v="84.24"/>
  </r>
  <r>
    <x v="1356"/>
    <x v="340"/>
    <x v="2"/>
    <x v="2"/>
    <x v="0"/>
    <x v="0"/>
    <x v="10"/>
    <x v="3"/>
    <n v="4"/>
    <n v="40.28"/>
    <n v="0.03"/>
    <n v="156.28639999999999"/>
  </r>
  <r>
    <x v="1357"/>
    <x v="337"/>
    <x v="2"/>
    <x v="1"/>
    <x v="0"/>
    <x v="0"/>
    <x v="6"/>
    <x v="4"/>
    <n v="3"/>
    <n v="42.75"/>
    <n v="0.08"/>
    <n v="117.99000000000001"/>
  </r>
  <r>
    <x v="1358"/>
    <x v="157"/>
    <x v="1"/>
    <x v="1"/>
    <x v="0"/>
    <x v="0"/>
    <x v="22"/>
    <x v="1"/>
    <n v="1"/>
    <n v="63.05"/>
    <n v="0"/>
    <n v="63.05"/>
  </r>
  <r>
    <x v="1359"/>
    <x v="149"/>
    <x v="1"/>
    <x v="2"/>
    <x v="1"/>
    <x v="3"/>
    <x v="20"/>
    <x v="1"/>
    <n v="2"/>
    <n v="2500"/>
    <n v="0.05"/>
    <n v="4750"/>
  </r>
  <r>
    <x v="1360"/>
    <x v="302"/>
    <x v="3"/>
    <x v="1"/>
    <x v="1"/>
    <x v="3"/>
    <x v="20"/>
    <x v="6"/>
    <n v="1"/>
    <n v="2375"/>
    <n v="0.1"/>
    <n v="2137.5"/>
  </r>
  <r>
    <x v="1361"/>
    <x v="145"/>
    <x v="4"/>
    <x v="2"/>
    <x v="1"/>
    <x v="4"/>
    <x v="19"/>
    <x v="13"/>
    <n v="1"/>
    <n v="580"/>
    <n v="0.1"/>
    <n v="522"/>
  </r>
  <r>
    <x v="1362"/>
    <x v="271"/>
    <x v="2"/>
    <x v="0"/>
    <x v="1"/>
    <x v="4"/>
    <x v="17"/>
    <x v="4"/>
    <n v="3"/>
    <n v="728"/>
    <n v="0.05"/>
    <n v="2074.7999999999997"/>
  </r>
  <r>
    <x v="1363"/>
    <x v="125"/>
    <x v="3"/>
    <x v="1"/>
    <x v="1"/>
    <x v="3"/>
    <x v="9"/>
    <x v="6"/>
    <n v="1"/>
    <n v="1872"/>
    <n v="0.15"/>
    <n v="1591.2"/>
  </r>
  <r>
    <x v="1364"/>
    <x v="33"/>
    <x v="2"/>
    <x v="3"/>
    <x v="1"/>
    <x v="0"/>
    <x v="14"/>
    <x v="3"/>
    <n v="2"/>
    <n v="57.2"/>
    <n v="0.08"/>
    <n v="105.248"/>
  </r>
  <r>
    <x v="1365"/>
    <x v="149"/>
    <x v="2"/>
    <x v="1"/>
    <x v="1"/>
    <x v="0"/>
    <x v="12"/>
    <x v="10"/>
    <n v="3"/>
    <n v="80"/>
    <n v="0.03"/>
    <n v="232.79999999999998"/>
  </r>
  <r>
    <x v="1366"/>
    <x v="211"/>
    <x v="2"/>
    <x v="1"/>
    <x v="1"/>
    <x v="4"/>
    <x v="17"/>
    <x v="3"/>
    <n v="3"/>
    <n v="714"/>
    <n v="0.05"/>
    <n v="2034.8999999999999"/>
  </r>
  <r>
    <x v="1367"/>
    <x v="172"/>
    <x v="3"/>
    <x v="3"/>
    <x v="1"/>
    <x v="0"/>
    <x v="6"/>
    <x v="7"/>
    <n v="2"/>
    <n v="45.9"/>
    <n v="0.08"/>
    <n v="84.456000000000003"/>
  </r>
  <r>
    <x v="1368"/>
    <x v="111"/>
    <x v="1"/>
    <x v="0"/>
    <x v="1"/>
    <x v="4"/>
    <x v="17"/>
    <x v="8"/>
    <n v="1"/>
    <n v="679"/>
    <n v="0.05"/>
    <n v="645.04999999999995"/>
  </r>
  <r>
    <x v="1369"/>
    <x v="255"/>
    <x v="2"/>
    <x v="2"/>
    <x v="0"/>
    <x v="0"/>
    <x v="22"/>
    <x v="4"/>
    <n v="2"/>
    <n v="66.3"/>
    <n v="0.05"/>
    <n v="125.96999999999998"/>
  </r>
  <r>
    <x v="1370"/>
    <x v="98"/>
    <x v="4"/>
    <x v="0"/>
    <x v="1"/>
    <x v="4"/>
    <x v="17"/>
    <x v="12"/>
    <n v="1"/>
    <n v="742"/>
    <n v="0.08"/>
    <n v="682.64"/>
  </r>
  <r>
    <x v="1371"/>
    <x v="270"/>
    <x v="0"/>
    <x v="1"/>
    <x v="1"/>
    <x v="0"/>
    <x v="14"/>
    <x v="5"/>
    <n v="3"/>
    <n v="56.1"/>
    <n v="0.05"/>
    <n v="159.88499999999999"/>
  </r>
  <r>
    <x v="1372"/>
    <x v="113"/>
    <x v="2"/>
    <x v="3"/>
    <x v="0"/>
    <x v="3"/>
    <x v="7"/>
    <x v="10"/>
    <n v="1"/>
    <n v="4200"/>
    <n v="0.05"/>
    <n v="3990"/>
  </r>
  <r>
    <x v="1373"/>
    <x v="276"/>
    <x v="2"/>
    <x v="2"/>
    <x v="1"/>
    <x v="4"/>
    <x v="13"/>
    <x v="10"/>
    <n v="1"/>
    <n v="1500"/>
    <n v="0"/>
    <n v="1500"/>
  </r>
  <r>
    <x v="1374"/>
    <x v="122"/>
    <x v="3"/>
    <x v="0"/>
    <x v="1"/>
    <x v="0"/>
    <x v="0"/>
    <x v="11"/>
    <n v="1"/>
    <n v="15.9"/>
    <n v="0.08"/>
    <n v="14.628"/>
  </r>
  <r>
    <x v="1375"/>
    <x v="289"/>
    <x v="3"/>
    <x v="3"/>
    <x v="0"/>
    <x v="4"/>
    <x v="13"/>
    <x v="7"/>
    <n v="2"/>
    <n v="1530"/>
    <n v="0.1"/>
    <n v="2754"/>
  </r>
  <r>
    <x v="1376"/>
    <x v="34"/>
    <x v="4"/>
    <x v="1"/>
    <x v="1"/>
    <x v="3"/>
    <x v="15"/>
    <x v="12"/>
    <n v="1"/>
    <n v="3328"/>
    <n v="0.03"/>
    <n v="3228.16"/>
  </r>
  <r>
    <x v="1377"/>
    <x v="206"/>
    <x v="3"/>
    <x v="0"/>
    <x v="1"/>
    <x v="5"/>
    <x v="24"/>
    <x v="6"/>
    <n v="5"/>
    <n v="33.950000000000003"/>
    <n v="0.05"/>
    <n v="161.26249999999999"/>
  </r>
  <r>
    <x v="1378"/>
    <x v="265"/>
    <x v="1"/>
    <x v="0"/>
    <x v="0"/>
    <x v="4"/>
    <x v="13"/>
    <x v="9"/>
    <n v="2"/>
    <n v="1560"/>
    <n v="0.08"/>
    <n v="2870.4"/>
  </r>
  <r>
    <x v="1379"/>
    <x v="198"/>
    <x v="2"/>
    <x v="1"/>
    <x v="1"/>
    <x v="0"/>
    <x v="10"/>
    <x v="10"/>
    <n v="2"/>
    <n v="36.1"/>
    <n v="0.1"/>
    <n v="64.98"/>
  </r>
  <r>
    <x v="1380"/>
    <x v="231"/>
    <x v="4"/>
    <x v="0"/>
    <x v="0"/>
    <x v="4"/>
    <x v="17"/>
    <x v="13"/>
    <n v="2"/>
    <n v="728"/>
    <n v="0.08"/>
    <n v="1339.52"/>
  </r>
  <r>
    <x v="1381"/>
    <x v="213"/>
    <x v="3"/>
    <x v="0"/>
    <x v="1"/>
    <x v="4"/>
    <x v="19"/>
    <x v="6"/>
    <n v="1"/>
    <n v="562.6"/>
    <n v="0.1"/>
    <n v="506.34000000000003"/>
  </r>
  <r>
    <x v="1382"/>
    <x v="246"/>
    <x v="1"/>
    <x v="0"/>
    <x v="1"/>
    <x v="5"/>
    <x v="18"/>
    <x v="1"/>
    <n v="1"/>
    <n v="11.4"/>
    <n v="0"/>
    <n v="11.4"/>
  </r>
  <r>
    <x v="1383"/>
    <x v="45"/>
    <x v="4"/>
    <x v="2"/>
    <x v="1"/>
    <x v="3"/>
    <x v="21"/>
    <x v="14"/>
    <n v="1"/>
    <n v="2910"/>
    <n v="0.15"/>
    <n v="2473.5"/>
  </r>
  <r>
    <x v="1384"/>
    <x v="167"/>
    <x v="2"/>
    <x v="0"/>
    <x v="0"/>
    <x v="2"/>
    <x v="4"/>
    <x v="3"/>
    <n v="5"/>
    <n v="780"/>
    <n v="0.05"/>
    <n v="3705"/>
  </r>
  <r>
    <x v="1385"/>
    <x v="343"/>
    <x v="3"/>
    <x v="0"/>
    <x v="1"/>
    <x v="0"/>
    <x v="14"/>
    <x v="7"/>
    <n v="1"/>
    <n v="55"/>
    <n v="0.1"/>
    <n v="49.5"/>
  </r>
  <r>
    <x v="1386"/>
    <x v="274"/>
    <x v="2"/>
    <x v="0"/>
    <x v="1"/>
    <x v="3"/>
    <x v="20"/>
    <x v="4"/>
    <n v="2"/>
    <n v="2650"/>
    <n v="0.05"/>
    <n v="5035"/>
  </r>
  <r>
    <x v="1387"/>
    <x v="140"/>
    <x v="0"/>
    <x v="1"/>
    <x v="1"/>
    <x v="3"/>
    <x v="9"/>
    <x v="5"/>
    <n v="1"/>
    <n v="1836"/>
    <n v="0.05"/>
    <n v="1744.1999999999998"/>
  </r>
  <r>
    <x v="1388"/>
    <x v="37"/>
    <x v="2"/>
    <x v="3"/>
    <x v="0"/>
    <x v="2"/>
    <x v="4"/>
    <x v="3"/>
    <n v="4"/>
    <n v="750"/>
    <n v="0.05"/>
    <n v="2850"/>
  </r>
  <r>
    <x v="1389"/>
    <x v="208"/>
    <x v="2"/>
    <x v="1"/>
    <x v="1"/>
    <x v="2"/>
    <x v="2"/>
    <x v="3"/>
    <n v="6"/>
    <n v="20"/>
    <n v="0.08"/>
    <n v="110.4"/>
  </r>
  <r>
    <x v="1390"/>
    <x v="108"/>
    <x v="4"/>
    <x v="0"/>
    <x v="1"/>
    <x v="5"/>
    <x v="26"/>
    <x v="14"/>
    <n v="5"/>
    <n v="18"/>
    <n v="0.05"/>
    <n v="85.5"/>
  </r>
  <r>
    <x v="1391"/>
    <x v="43"/>
    <x v="4"/>
    <x v="0"/>
    <x v="0"/>
    <x v="2"/>
    <x v="27"/>
    <x v="12"/>
    <n v="7"/>
    <n v="183.6"/>
    <n v="0.08"/>
    <n v="1182.384"/>
  </r>
  <r>
    <x v="1392"/>
    <x v="160"/>
    <x v="3"/>
    <x v="3"/>
    <x v="1"/>
    <x v="4"/>
    <x v="13"/>
    <x v="7"/>
    <n v="1"/>
    <n v="1500"/>
    <n v="0.03"/>
    <n v="1455"/>
  </r>
  <r>
    <x v="1393"/>
    <x v="306"/>
    <x v="4"/>
    <x v="0"/>
    <x v="0"/>
    <x v="0"/>
    <x v="6"/>
    <x v="14"/>
    <n v="4"/>
    <n v="45.9"/>
    <n v="0.1"/>
    <n v="165.24"/>
  </r>
  <r>
    <x v="1394"/>
    <x v="72"/>
    <x v="1"/>
    <x v="3"/>
    <x v="1"/>
    <x v="0"/>
    <x v="10"/>
    <x v="8"/>
    <n v="3"/>
    <n v="38"/>
    <n v="0.15"/>
    <n v="96.899999999999991"/>
  </r>
  <r>
    <x v="1395"/>
    <x v="343"/>
    <x v="2"/>
    <x v="2"/>
    <x v="1"/>
    <x v="0"/>
    <x v="0"/>
    <x v="10"/>
    <n v="7"/>
    <n v="15"/>
    <n v="0.1"/>
    <n v="94.5"/>
  </r>
  <r>
    <x v="1396"/>
    <x v="252"/>
    <x v="4"/>
    <x v="1"/>
    <x v="1"/>
    <x v="4"/>
    <x v="17"/>
    <x v="13"/>
    <n v="4"/>
    <n v="742"/>
    <n v="0.08"/>
    <n v="2730.56"/>
  </r>
  <r>
    <x v="1397"/>
    <x v="61"/>
    <x v="1"/>
    <x v="1"/>
    <x v="0"/>
    <x v="1"/>
    <x v="8"/>
    <x v="9"/>
    <n v="3"/>
    <n v="450"/>
    <n v="0.1"/>
    <n v="1215"/>
  </r>
  <r>
    <x v="1398"/>
    <x v="262"/>
    <x v="2"/>
    <x v="0"/>
    <x v="1"/>
    <x v="0"/>
    <x v="6"/>
    <x v="3"/>
    <n v="1"/>
    <n v="46.8"/>
    <n v="0"/>
    <n v="46.8"/>
  </r>
  <r>
    <x v="1399"/>
    <x v="147"/>
    <x v="1"/>
    <x v="1"/>
    <x v="1"/>
    <x v="2"/>
    <x v="2"/>
    <x v="8"/>
    <n v="3"/>
    <n v="19"/>
    <n v="0.08"/>
    <n v="52.440000000000005"/>
  </r>
  <r>
    <x v="1400"/>
    <x v="339"/>
    <x v="0"/>
    <x v="3"/>
    <x v="1"/>
    <x v="3"/>
    <x v="9"/>
    <x v="5"/>
    <n v="1"/>
    <n v="1800"/>
    <n v="0.03"/>
    <n v="1746"/>
  </r>
  <r>
    <x v="1401"/>
    <x v="42"/>
    <x v="0"/>
    <x v="3"/>
    <x v="0"/>
    <x v="0"/>
    <x v="0"/>
    <x v="2"/>
    <n v="1"/>
    <n v="15"/>
    <n v="0.05"/>
    <n v="14.25"/>
  </r>
  <r>
    <x v="1402"/>
    <x v="321"/>
    <x v="1"/>
    <x v="2"/>
    <x v="1"/>
    <x v="5"/>
    <x v="24"/>
    <x v="8"/>
    <n v="15"/>
    <n v="35"/>
    <n v="0.1"/>
    <n v="472.5"/>
  </r>
  <r>
    <x v="1403"/>
    <x v="56"/>
    <x v="3"/>
    <x v="3"/>
    <x v="0"/>
    <x v="0"/>
    <x v="10"/>
    <x v="6"/>
    <n v="1"/>
    <n v="38"/>
    <n v="0.05"/>
    <n v="36.1"/>
  </r>
  <r>
    <x v="1404"/>
    <x v="27"/>
    <x v="0"/>
    <x v="1"/>
    <x v="0"/>
    <x v="1"/>
    <x v="25"/>
    <x v="0"/>
    <n v="2"/>
    <n v="58.2"/>
    <n v="0"/>
    <n v="116.4"/>
  </r>
  <r>
    <x v="1405"/>
    <x v="97"/>
    <x v="1"/>
    <x v="0"/>
    <x v="0"/>
    <x v="2"/>
    <x v="3"/>
    <x v="8"/>
    <n v="1"/>
    <n v="271.60000000000002"/>
    <n v="0.05"/>
    <n v="258.02"/>
  </r>
  <r>
    <x v="1406"/>
    <x v="81"/>
    <x v="2"/>
    <x v="3"/>
    <x v="1"/>
    <x v="3"/>
    <x v="9"/>
    <x v="4"/>
    <n v="2"/>
    <n v="1872"/>
    <n v="0.08"/>
    <n v="3444.48"/>
  </r>
  <r>
    <x v="1407"/>
    <x v="57"/>
    <x v="2"/>
    <x v="0"/>
    <x v="1"/>
    <x v="1"/>
    <x v="8"/>
    <x v="3"/>
    <n v="5"/>
    <n v="450"/>
    <n v="0.15"/>
    <n v="1912.5"/>
  </r>
  <r>
    <x v="1408"/>
    <x v="346"/>
    <x v="4"/>
    <x v="2"/>
    <x v="0"/>
    <x v="0"/>
    <x v="14"/>
    <x v="12"/>
    <n v="2"/>
    <n v="55"/>
    <n v="0.05"/>
    <n v="104.5"/>
  </r>
  <r>
    <x v="1409"/>
    <x v="282"/>
    <x v="4"/>
    <x v="2"/>
    <x v="0"/>
    <x v="3"/>
    <x v="7"/>
    <x v="12"/>
    <n v="1"/>
    <n v="4074"/>
    <n v="0.03"/>
    <n v="3951.7799999999997"/>
  </r>
  <r>
    <x v="1410"/>
    <x v="48"/>
    <x v="1"/>
    <x v="1"/>
    <x v="1"/>
    <x v="4"/>
    <x v="13"/>
    <x v="8"/>
    <n v="2"/>
    <n v="1455"/>
    <n v="0"/>
    <n v="2910"/>
  </r>
  <r>
    <x v="1411"/>
    <x v="247"/>
    <x v="1"/>
    <x v="1"/>
    <x v="0"/>
    <x v="0"/>
    <x v="10"/>
    <x v="1"/>
    <n v="4"/>
    <n v="38"/>
    <n v="0.1"/>
    <n v="136.80000000000001"/>
  </r>
  <r>
    <x v="1412"/>
    <x v="14"/>
    <x v="4"/>
    <x v="0"/>
    <x v="1"/>
    <x v="0"/>
    <x v="10"/>
    <x v="14"/>
    <n v="2"/>
    <n v="38"/>
    <n v="0"/>
    <n v="76"/>
  </r>
  <r>
    <x v="1413"/>
    <x v="323"/>
    <x v="2"/>
    <x v="0"/>
    <x v="1"/>
    <x v="4"/>
    <x v="19"/>
    <x v="3"/>
    <n v="1"/>
    <n v="591.6"/>
    <n v="0.2"/>
    <n v="473.28000000000003"/>
  </r>
  <r>
    <x v="1414"/>
    <x v="72"/>
    <x v="2"/>
    <x v="0"/>
    <x v="1"/>
    <x v="0"/>
    <x v="10"/>
    <x v="4"/>
    <n v="5"/>
    <n v="38"/>
    <n v="0.05"/>
    <n v="180.5"/>
  </r>
  <r>
    <x v="1415"/>
    <x v="13"/>
    <x v="3"/>
    <x v="1"/>
    <x v="1"/>
    <x v="1"/>
    <x v="25"/>
    <x v="6"/>
    <n v="1"/>
    <n v="60"/>
    <n v="0.08"/>
    <n v="55.2"/>
  </r>
  <r>
    <x v="1416"/>
    <x v="216"/>
    <x v="1"/>
    <x v="2"/>
    <x v="0"/>
    <x v="0"/>
    <x v="6"/>
    <x v="1"/>
    <n v="13"/>
    <n v="43.65"/>
    <n v="0.08"/>
    <n v="522.05399999999997"/>
  </r>
  <r>
    <x v="1417"/>
    <x v="73"/>
    <x v="1"/>
    <x v="0"/>
    <x v="1"/>
    <x v="0"/>
    <x v="12"/>
    <x v="8"/>
    <n v="1"/>
    <n v="80"/>
    <n v="0.03"/>
    <n v="77.599999999999994"/>
  </r>
  <r>
    <x v="1418"/>
    <x v="331"/>
    <x v="3"/>
    <x v="1"/>
    <x v="0"/>
    <x v="0"/>
    <x v="0"/>
    <x v="7"/>
    <n v="1"/>
    <n v="15"/>
    <n v="0.2"/>
    <n v="12"/>
  </r>
  <r>
    <x v="1419"/>
    <x v="310"/>
    <x v="2"/>
    <x v="1"/>
    <x v="0"/>
    <x v="5"/>
    <x v="18"/>
    <x v="10"/>
    <n v="3"/>
    <n v="12.72"/>
    <n v="0"/>
    <n v="38.160000000000004"/>
  </r>
  <r>
    <x v="1420"/>
    <x v="173"/>
    <x v="2"/>
    <x v="1"/>
    <x v="0"/>
    <x v="3"/>
    <x v="21"/>
    <x v="10"/>
    <n v="3"/>
    <n v="3120"/>
    <n v="0.03"/>
    <n v="9079.1999999999989"/>
  </r>
  <r>
    <x v="1421"/>
    <x v="96"/>
    <x v="2"/>
    <x v="1"/>
    <x v="1"/>
    <x v="4"/>
    <x v="19"/>
    <x v="4"/>
    <n v="2"/>
    <n v="603.20000000000005"/>
    <n v="0.1"/>
    <n v="1085.7600000000002"/>
  </r>
  <r>
    <x v="1422"/>
    <x v="63"/>
    <x v="3"/>
    <x v="1"/>
    <x v="1"/>
    <x v="3"/>
    <x v="15"/>
    <x v="7"/>
    <n v="4"/>
    <n v="3200"/>
    <n v="0.1"/>
    <n v="11520"/>
  </r>
  <r>
    <x v="1423"/>
    <x v="271"/>
    <x v="2"/>
    <x v="0"/>
    <x v="1"/>
    <x v="4"/>
    <x v="11"/>
    <x v="10"/>
    <n v="3"/>
    <n v="824.5"/>
    <n v="0"/>
    <n v="2473.5"/>
  </r>
  <r>
    <x v="1424"/>
    <x v="84"/>
    <x v="2"/>
    <x v="2"/>
    <x v="1"/>
    <x v="2"/>
    <x v="2"/>
    <x v="3"/>
    <n v="6"/>
    <n v="20.8"/>
    <n v="0.08"/>
    <n v="114.81600000000002"/>
  </r>
  <r>
    <x v="1425"/>
    <x v="97"/>
    <x v="3"/>
    <x v="0"/>
    <x v="1"/>
    <x v="0"/>
    <x v="0"/>
    <x v="11"/>
    <n v="2"/>
    <n v="15"/>
    <n v="0.2"/>
    <n v="24"/>
  </r>
  <r>
    <x v="1426"/>
    <x v="46"/>
    <x v="1"/>
    <x v="0"/>
    <x v="1"/>
    <x v="5"/>
    <x v="26"/>
    <x v="9"/>
    <n v="1"/>
    <n v="18"/>
    <n v="0"/>
    <n v="18"/>
  </r>
  <r>
    <x v="1427"/>
    <x v="60"/>
    <x v="2"/>
    <x v="2"/>
    <x v="1"/>
    <x v="5"/>
    <x v="23"/>
    <x v="3"/>
    <n v="5"/>
    <n v="26.5"/>
    <n v="0.1"/>
    <n v="119.25"/>
  </r>
  <r>
    <x v="1428"/>
    <x v="160"/>
    <x v="4"/>
    <x v="1"/>
    <x v="1"/>
    <x v="0"/>
    <x v="22"/>
    <x v="13"/>
    <n v="6"/>
    <n v="68.900000000000006"/>
    <n v="0"/>
    <n v="413.40000000000003"/>
  </r>
  <r>
    <x v="1429"/>
    <x v="207"/>
    <x v="2"/>
    <x v="3"/>
    <x v="1"/>
    <x v="2"/>
    <x v="3"/>
    <x v="4"/>
    <n v="4"/>
    <n v="280"/>
    <n v="0.08"/>
    <n v="1030.4000000000001"/>
  </r>
  <r>
    <x v="1430"/>
    <x v="121"/>
    <x v="0"/>
    <x v="2"/>
    <x v="1"/>
    <x v="0"/>
    <x v="12"/>
    <x v="0"/>
    <n v="5"/>
    <n v="77.599999999999994"/>
    <n v="0.05"/>
    <n v="368.59999999999997"/>
  </r>
  <r>
    <x v="1431"/>
    <x v="178"/>
    <x v="3"/>
    <x v="3"/>
    <x v="1"/>
    <x v="2"/>
    <x v="4"/>
    <x v="6"/>
    <n v="7"/>
    <n v="795"/>
    <n v="0"/>
    <n v="5565"/>
  </r>
  <r>
    <x v="1432"/>
    <x v="323"/>
    <x v="0"/>
    <x v="1"/>
    <x v="0"/>
    <x v="4"/>
    <x v="11"/>
    <x v="2"/>
    <n v="2"/>
    <n v="824.5"/>
    <n v="0.08"/>
    <n v="1517.0800000000002"/>
  </r>
  <r>
    <x v="1433"/>
    <x v="19"/>
    <x v="4"/>
    <x v="0"/>
    <x v="1"/>
    <x v="5"/>
    <x v="16"/>
    <x v="13"/>
    <n v="1"/>
    <n v="8.16"/>
    <n v="0.05"/>
    <n v="7.7519999999999998"/>
  </r>
  <r>
    <x v="1434"/>
    <x v="7"/>
    <x v="2"/>
    <x v="0"/>
    <x v="1"/>
    <x v="0"/>
    <x v="10"/>
    <x v="10"/>
    <n v="1"/>
    <n v="40.28"/>
    <n v="0.2"/>
    <n v="32.224000000000004"/>
  </r>
  <r>
    <x v="1435"/>
    <x v="10"/>
    <x v="1"/>
    <x v="0"/>
    <x v="1"/>
    <x v="0"/>
    <x v="14"/>
    <x v="1"/>
    <n v="3"/>
    <n v="57.2"/>
    <n v="0.1"/>
    <n v="154.44000000000003"/>
  </r>
  <r>
    <x v="1436"/>
    <x v="161"/>
    <x v="1"/>
    <x v="0"/>
    <x v="1"/>
    <x v="0"/>
    <x v="6"/>
    <x v="9"/>
    <n v="2"/>
    <n v="42.75"/>
    <n v="0.15"/>
    <n v="72.674999999999997"/>
  </r>
  <r>
    <x v="1437"/>
    <x v="128"/>
    <x v="0"/>
    <x v="3"/>
    <x v="1"/>
    <x v="0"/>
    <x v="22"/>
    <x v="5"/>
    <n v="1"/>
    <n v="63.05"/>
    <n v="0.05"/>
    <n v="59.897499999999994"/>
  </r>
  <r>
    <x v="1438"/>
    <x v="261"/>
    <x v="3"/>
    <x v="0"/>
    <x v="1"/>
    <x v="0"/>
    <x v="22"/>
    <x v="6"/>
    <n v="6"/>
    <n v="61.75"/>
    <n v="0.05"/>
    <n v="351.97499999999997"/>
  </r>
  <r>
    <x v="1439"/>
    <x v="118"/>
    <x v="4"/>
    <x v="0"/>
    <x v="1"/>
    <x v="2"/>
    <x v="2"/>
    <x v="14"/>
    <n v="2"/>
    <n v="19"/>
    <n v="0.05"/>
    <n v="36.1"/>
  </r>
  <r>
    <x v="1440"/>
    <x v="291"/>
    <x v="0"/>
    <x v="0"/>
    <x v="0"/>
    <x v="1"/>
    <x v="8"/>
    <x v="0"/>
    <n v="1"/>
    <n v="450"/>
    <n v="0.1"/>
    <n v="405"/>
  </r>
  <r>
    <x v="1441"/>
    <x v="270"/>
    <x v="2"/>
    <x v="3"/>
    <x v="0"/>
    <x v="0"/>
    <x v="6"/>
    <x v="10"/>
    <n v="1"/>
    <n v="47.7"/>
    <n v="0.03"/>
    <n v="46.268999999999998"/>
  </r>
  <r>
    <x v="1442"/>
    <x v="270"/>
    <x v="2"/>
    <x v="1"/>
    <x v="1"/>
    <x v="3"/>
    <x v="7"/>
    <x v="10"/>
    <n v="1"/>
    <n v="4200"/>
    <n v="0.1"/>
    <n v="3780"/>
  </r>
  <r>
    <x v="1443"/>
    <x v="231"/>
    <x v="2"/>
    <x v="0"/>
    <x v="0"/>
    <x v="5"/>
    <x v="26"/>
    <x v="10"/>
    <n v="1"/>
    <n v="17.46"/>
    <n v="0.03"/>
    <n v="16.936199999999999"/>
  </r>
  <r>
    <x v="1444"/>
    <x v="255"/>
    <x v="1"/>
    <x v="2"/>
    <x v="0"/>
    <x v="1"/>
    <x v="25"/>
    <x v="8"/>
    <n v="4"/>
    <n v="63.6"/>
    <n v="0.2"/>
    <n v="203.52"/>
  </r>
  <r>
    <x v="1445"/>
    <x v="281"/>
    <x v="3"/>
    <x v="1"/>
    <x v="1"/>
    <x v="5"/>
    <x v="24"/>
    <x v="7"/>
    <n v="2"/>
    <n v="35.700000000000003"/>
    <n v="0.03"/>
    <n v="69.25800000000001"/>
  </r>
  <r>
    <x v="1446"/>
    <x v="145"/>
    <x v="2"/>
    <x v="1"/>
    <x v="1"/>
    <x v="4"/>
    <x v="19"/>
    <x v="10"/>
    <n v="3"/>
    <n v="562.6"/>
    <n v="0.03"/>
    <n v="1637.1660000000002"/>
  </r>
  <r>
    <x v="1447"/>
    <x v="133"/>
    <x v="1"/>
    <x v="3"/>
    <x v="1"/>
    <x v="3"/>
    <x v="21"/>
    <x v="1"/>
    <n v="1"/>
    <n v="3000"/>
    <n v="0.03"/>
    <n v="2910"/>
  </r>
  <r>
    <x v="1448"/>
    <x v="265"/>
    <x v="3"/>
    <x v="1"/>
    <x v="1"/>
    <x v="5"/>
    <x v="18"/>
    <x v="11"/>
    <n v="2"/>
    <n v="11.64"/>
    <n v="0.08"/>
    <n v="21.417600000000004"/>
  </r>
  <r>
    <x v="1449"/>
    <x v="68"/>
    <x v="2"/>
    <x v="0"/>
    <x v="1"/>
    <x v="5"/>
    <x v="18"/>
    <x v="4"/>
    <n v="5"/>
    <n v="12"/>
    <n v="0.03"/>
    <n v="58.199999999999996"/>
  </r>
  <r>
    <x v="1450"/>
    <x v="24"/>
    <x v="0"/>
    <x v="0"/>
    <x v="1"/>
    <x v="4"/>
    <x v="13"/>
    <x v="2"/>
    <n v="1"/>
    <n v="1590"/>
    <n v="0.03"/>
    <n v="1542.3"/>
  </r>
  <r>
    <x v="1451"/>
    <x v="350"/>
    <x v="2"/>
    <x v="0"/>
    <x v="1"/>
    <x v="0"/>
    <x v="0"/>
    <x v="4"/>
    <n v="1"/>
    <n v="14.25"/>
    <n v="0"/>
    <n v="14.25"/>
  </r>
  <r>
    <x v="1452"/>
    <x v="297"/>
    <x v="2"/>
    <x v="2"/>
    <x v="1"/>
    <x v="5"/>
    <x v="26"/>
    <x v="4"/>
    <n v="2"/>
    <n v="18.36"/>
    <n v="0.1"/>
    <n v="33.048000000000002"/>
  </r>
  <r>
    <x v="1453"/>
    <x v="56"/>
    <x v="3"/>
    <x v="0"/>
    <x v="1"/>
    <x v="1"/>
    <x v="25"/>
    <x v="6"/>
    <n v="2"/>
    <n v="60"/>
    <n v="0"/>
    <n v="120"/>
  </r>
  <r>
    <x v="1454"/>
    <x v="355"/>
    <x v="1"/>
    <x v="0"/>
    <x v="1"/>
    <x v="1"/>
    <x v="5"/>
    <x v="8"/>
    <n v="5"/>
    <n v="320"/>
    <n v="0.03"/>
    <n v="1552"/>
  </r>
  <r>
    <x v="1455"/>
    <x v="292"/>
    <x v="4"/>
    <x v="0"/>
    <x v="1"/>
    <x v="0"/>
    <x v="12"/>
    <x v="13"/>
    <n v="1"/>
    <n v="76"/>
    <n v="0.03"/>
    <n v="73.72"/>
  </r>
  <r>
    <x v="1456"/>
    <x v="140"/>
    <x v="4"/>
    <x v="0"/>
    <x v="1"/>
    <x v="4"/>
    <x v="17"/>
    <x v="13"/>
    <n v="2"/>
    <n v="728"/>
    <n v="0.03"/>
    <n v="1412.32"/>
  </r>
  <r>
    <x v="1457"/>
    <x v="25"/>
    <x v="2"/>
    <x v="0"/>
    <x v="1"/>
    <x v="3"/>
    <x v="20"/>
    <x v="10"/>
    <n v="2"/>
    <n v="2600"/>
    <n v="0.08"/>
    <n v="4784"/>
  </r>
  <r>
    <x v="1458"/>
    <x v="127"/>
    <x v="4"/>
    <x v="0"/>
    <x v="1"/>
    <x v="1"/>
    <x v="1"/>
    <x v="12"/>
    <n v="4"/>
    <n v="91.8"/>
    <n v="0"/>
    <n v="367.2"/>
  </r>
  <r>
    <x v="1459"/>
    <x v="243"/>
    <x v="3"/>
    <x v="3"/>
    <x v="0"/>
    <x v="0"/>
    <x v="10"/>
    <x v="11"/>
    <n v="6"/>
    <n v="36.1"/>
    <n v="0.15"/>
    <n v="184.11"/>
  </r>
  <r>
    <x v="1460"/>
    <x v="49"/>
    <x v="3"/>
    <x v="3"/>
    <x v="1"/>
    <x v="0"/>
    <x v="0"/>
    <x v="7"/>
    <n v="7"/>
    <n v="15"/>
    <n v="0.1"/>
    <n v="94.5"/>
  </r>
  <r>
    <x v="1461"/>
    <x v="267"/>
    <x v="3"/>
    <x v="0"/>
    <x v="0"/>
    <x v="1"/>
    <x v="5"/>
    <x v="7"/>
    <n v="2"/>
    <n v="310.39999999999998"/>
    <n v="0.05"/>
    <n v="589.75999999999988"/>
  </r>
  <r>
    <x v="1462"/>
    <x v="197"/>
    <x v="4"/>
    <x v="2"/>
    <x v="1"/>
    <x v="4"/>
    <x v="13"/>
    <x v="14"/>
    <n v="1"/>
    <n v="1560"/>
    <n v="0"/>
    <n v="1560"/>
  </r>
  <r>
    <x v="1463"/>
    <x v="163"/>
    <x v="4"/>
    <x v="2"/>
    <x v="1"/>
    <x v="3"/>
    <x v="9"/>
    <x v="14"/>
    <n v="1"/>
    <n v="1800"/>
    <n v="0.15"/>
    <n v="1530"/>
  </r>
  <r>
    <x v="1464"/>
    <x v="90"/>
    <x v="4"/>
    <x v="0"/>
    <x v="1"/>
    <x v="1"/>
    <x v="8"/>
    <x v="12"/>
    <n v="2"/>
    <n v="450"/>
    <n v="0.03"/>
    <n v="873"/>
  </r>
  <r>
    <x v="1465"/>
    <x v="70"/>
    <x v="0"/>
    <x v="0"/>
    <x v="1"/>
    <x v="2"/>
    <x v="3"/>
    <x v="2"/>
    <n v="2"/>
    <n v="271.60000000000002"/>
    <n v="0.03"/>
    <n v="526.904"/>
  </r>
  <r>
    <x v="1466"/>
    <x v="25"/>
    <x v="1"/>
    <x v="3"/>
    <x v="1"/>
    <x v="5"/>
    <x v="18"/>
    <x v="8"/>
    <n v="2"/>
    <n v="11.64"/>
    <n v="0.08"/>
    <n v="21.417600000000004"/>
  </r>
  <r>
    <x v="1467"/>
    <x v="27"/>
    <x v="3"/>
    <x v="0"/>
    <x v="1"/>
    <x v="4"/>
    <x v="19"/>
    <x v="6"/>
    <n v="1"/>
    <n v="591.6"/>
    <n v="0.08"/>
    <n v="544.27200000000005"/>
  </r>
  <r>
    <x v="1468"/>
    <x v="82"/>
    <x v="2"/>
    <x v="3"/>
    <x v="0"/>
    <x v="1"/>
    <x v="25"/>
    <x v="3"/>
    <n v="5"/>
    <n v="60"/>
    <n v="0.05"/>
    <n v="285"/>
  </r>
  <r>
    <x v="1469"/>
    <x v="49"/>
    <x v="4"/>
    <x v="0"/>
    <x v="0"/>
    <x v="0"/>
    <x v="6"/>
    <x v="13"/>
    <n v="3"/>
    <n v="47.7"/>
    <n v="0.1"/>
    <n v="128.79000000000002"/>
  </r>
  <r>
    <x v="1470"/>
    <x v="166"/>
    <x v="3"/>
    <x v="0"/>
    <x v="0"/>
    <x v="1"/>
    <x v="1"/>
    <x v="6"/>
    <n v="1"/>
    <n v="90"/>
    <n v="0.05"/>
    <n v="85.5"/>
  </r>
  <r>
    <x v="1471"/>
    <x v="165"/>
    <x v="3"/>
    <x v="2"/>
    <x v="1"/>
    <x v="2"/>
    <x v="27"/>
    <x v="7"/>
    <n v="15"/>
    <n v="183.6"/>
    <n v="0"/>
    <n v="2754"/>
  </r>
  <r>
    <x v="1472"/>
    <x v="110"/>
    <x v="1"/>
    <x v="3"/>
    <x v="1"/>
    <x v="0"/>
    <x v="22"/>
    <x v="1"/>
    <n v="5"/>
    <n v="65"/>
    <n v="0.2"/>
    <n v="260"/>
  </r>
  <r>
    <x v="1473"/>
    <x v="22"/>
    <x v="0"/>
    <x v="0"/>
    <x v="0"/>
    <x v="4"/>
    <x v="19"/>
    <x v="5"/>
    <n v="2"/>
    <n v="580"/>
    <n v="0.03"/>
    <n v="1125.2"/>
  </r>
  <r>
    <x v="1474"/>
    <x v="26"/>
    <x v="0"/>
    <x v="3"/>
    <x v="1"/>
    <x v="2"/>
    <x v="27"/>
    <x v="2"/>
    <n v="6"/>
    <n v="171"/>
    <n v="0.1"/>
    <n v="923.4"/>
  </r>
  <r>
    <x v="1475"/>
    <x v="69"/>
    <x v="4"/>
    <x v="3"/>
    <x v="0"/>
    <x v="1"/>
    <x v="8"/>
    <x v="13"/>
    <n v="1"/>
    <n v="450"/>
    <n v="0.05"/>
    <n v="427.5"/>
  </r>
  <r>
    <x v="1476"/>
    <x v="286"/>
    <x v="4"/>
    <x v="0"/>
    <x v="0"/>
    <x v="2"/>
    <x v="4"/>
    <x v="13"/>
    <n v="5"/>
    <n v="750"/>
    <n v="0.03"/>
    <n v="3637.5"/>
  </r>
  <r>
    <x v="1477"/>
    <x v="171"/>
    <x v="2"/>
    <x v="0"/>
    <x v="0"/>
    <x v="3"/>
    <x v="15"/>
    <x v="4"/>
    <n v="1"/>
    <n v="3104"/>
    <n v="0"/>
    <n v="3104"/>
  </r>
  <r>
    <x v="1478"/>
    <x v="287"/>
    <x v="2"/>
    <x v="1"/>
    <x v="1"/>
    <x v="0"/>
    <x v="10"/>
    <x v="3"/>
    <n v="4"/>
    <n v="36.1"/>
    <n v="0.05"/>
    <n v="137.18"/>
  </r>
  <r>
    <x v="1479"/>
    <x v="83"/>
    <x v="1"/>
    <x v="2"/>
    <x v="0"/>
    <x v="1"/>
    <x v="8"/>
    <x v="1"/>
    <n v="6"/>
    <n v="450"/>
    <n v="0.15"/>
    <n v="2295"/>
  </r>
  <r>
    <x v="1480"/>
    <x v="89"/>
    <x v="3"/>
    <x v="1"/>
    <x v="0"/>
    <x v="3"/>
    <x v="21"/>
    <x v="11"/>
    <n v="2"/>
    <n v="2910"/>
    <n v="0.15"/>
    <n v="4947"/>
  </r>
  <r>
    <x v="1481"/>
    <x v="142"/>
    <x v="2"/>
    <x v="3"/>
    <x v="0"/>
    <x v="2"/>
    <x v="4"/>
    <x v="3"/>
    <n v="6"/>
    <n v="750"/>
    <n v="0.05"/>
    <n v="4275"/>
  </r>
  <r>
    <x v="1482"/>
    <x v="301"/>
    <x v="1"/>
    <x v="0"/>
    <x v="1"/>
    <x v="4"/>
    <x v="11"/>
    <x v="9"/>
    <n v="5"/>
    <n v="850"/>
    <n v="0.1"/>
    <n v="3825"/>
  </r>
  <r>
    <x v="1483"/>
    <x v="78"/>
    <x v="2"/>
    <x v="0"/>
    <x v="1"/>
    <x v="1"/>
    <x v="1"/>
    <x v="4"/>
    <n v="2"/>
    <n v="90"/>
    <n v="0.03"/>
    <n v="174.6"/>
  </r>
  <r>
    <x v="1484"/>
    <x v="225"/>
    <x v="3"/>
    <x v="0"/>
    <x v="0"/>
    <x v="0"/>
    <x v="10"/>
    <x v="11"/>
    <n v="1"/>
    <n v="36.86"/>
    <n v="0.1"/>
    <n v="33.173999999999999"/>
  </r>
  <r>
    <x v="1485"/>
    <x v="0"/>
    <x v="1"/>
    <x v="0"/>
    <x v="1"/>
    <x v="4"/>
    <x v="19"/>
    <x v="1"/>
    <n v="1"/>
    <n v="580"/>
    <n v="0.03"/>
    <n v="562.6"/>
  </r>
  <r>
    <x v="1486"/>
    <x v="106"/>
    <x v="3"/>
    <x v="1"/>
    <x v="0"/>
    <x v="5"/>
    <x v="16"/>
    <x v="11"/>
    <n v="4"/>
    <n v="8.32"/>
    <n v="0.05"/>
    <n v="31.616"/>
  </r>
  <r>
    <x v="1487"/>
    <x v="107"/>
    <x v="4"/>
    <x v="1"/>
    <x v="1"/>
    <x v="1"/>
    <x v="1"/>
    <x v="12"/>
    <n v="6"/>
    <n v="87.3"/>
    <n v="0.05"/>
    <n v="497.60999999999996"/>
  </r>
  <r>
    <x v="1488"/>
    <x v="192"/>
    <x v="4"/>
    <x v="3"/>
    <x v="0"/>
    <x v="0"/>
    <x v="6"/>
    <x v="14"/>
    <n v="1"/>
    <n v="45"/>
    <n v="0.08"/>
    <n v="41.4"/>
  </r>
  <r>
    <x v="1489"/>
    <x v="3"/>
    <x v="3"/>
    <x v="0"/>
    <x v="0"/>
    <x v="0"/>
    <x v="22"/>
    <x v="11"/>
    <n v="2"/>
    <n v="65"/>
    <n v="0"/>
    <n v="130"/>
  </r>
  <r>
    <x v="1490"/>
    <x v="120"/>
    <x v="3"/>
    <x v="0"/>
    <x v="1"/>
    <x v="0"/>
    <x v="12"/>
    <x v="11"/>
    <n v="1"/>
    <n v="84.8"/>
    <n v="0.1"/>
    <n v="76.319999999999993"/>
  </r>
  <r>
    <x v="1491"/>
    <x v="118"/>
    <x v="2"/>
    <x v="1"/>
    <x v="1"/>
    <x v="3"/>
    <x v="20"/>
    <x v="3"/>
    <n v="1"/>
    <n v="2500"/>
    <n v="0.08"/>
    <n v="2300"/>
  </r>
  <r>
    <x v="1492"/>
    <x v="39"/>
    <x v="3"/>
    <x v="0"/>
    <x v="1"/>
    <x v="1"/>
    <x v="25"/>
    <x v="7"/>
    <n v="6"/>
    <n v="57"/>
    <n v="0.2"/>
    <n v="273.60000000000002"/>
  </r>
  <r>
    <x v="1493"/>
    <x v="24"/>
    <x v="3"/>
    <x v="1"/>
    <x v="1"/>
    <x v="0"/>
    <x v="22"/>
    <x v="7"/>
    <n v="3"/>
    <n v="67.599999999999994"/>
    <n v="0.05"/>
    <n v="192.65999999999997"/>
  </r>
  <r>
    <x v="1494"/>
    <x v="35"/>
    <x v="4"/>
    <x v="2"/>
    <x v="1"/>
    <x v="3"/>
    <x v="7"/>
    <x v="12"/>
    <n v="3"/>
    <n v="4074"/>
    <n v="0.03"/>
    <n v="11855.34"/>
  </r>
  <r>
    <x v="1495"/>
    <x v="310"/>
    <x v="2"/>
    <x v="3"/>
    <x v="1"/>
    <x v="1"/>
    <x v="25"/>
    <x v="3"/>
    <n v="8"/>
    <n v="61.2"/>
    <n v="0.1"/>
    <n v="440.64000000000004"/>
  </r>
  <r>
    <x v="1496"/>
    <x v="110"/>
    <x v="4"/>
    <x v="1"/>
    <x v="0"/>
    <x v="5"/>
    <x v="24"/>
    <x v="13"/>
    <n v="3"/>
    <n v="35"/>
    <n v="0"/>
    <n v="105"/>
  </r>
  <r>
    <x v="1497"/>
    <x v="209"/>
    <x v="1"/>
    <x v="0"/>
    <x v="0"/>
    <x v="5"/>
    <x v="26"/>
    <x v="1"/>
    <n v="6"/>
    <n v="18.72"/>
    <n v="0.08"/>
    <n v="103.3344"/>
  </r>
  <r>
    <x v="1498"/>
    <x v="103"/>
    <x v="4"/>
    <x v="0"/>
    <x v="0"/>
    <x v="0"/>
    <x v="12"/>
    <x v="13"/>
    <n v="5"/>
    <n v="81.599999999999994"/>
    <n v="0.1"/>
    <n v="367.2"/>
  </r>
  <r>
    <x v="1499"/>
    <x v="21"/>
    <x v="4"/>
    <x v="0"/>
    <x v="1"/>
    <x v="0"/>
    <x v="0"/>
    <x v="14"/>
    <n v="5"/>
    <n v="14.55"/>
    <n v="0.03"/>
    <n v="70.567499999999995"/>
  </r>
  <r>
    <x v="1500"/>
    <x v="144"/>
    <x v="3"/>
    <x v="1"/>
    <x v="1"/>
    <x v="2"/>
    <x v="27"/>
    <x v="7"/>
    <n v="1"/>
    <n v="180"/>
    <n v="0.08"/>
    <n v="165.6"/>
  </r>
  <r>
    <x v="1501"/>
    <x v="252"/>
    <x v="3"/>
    <x v="1"/>
    <x v="1"/>
    <x v="3"/>
    <x v="15"/>
    <x v="11"/>
    <n v="2"/>
    <n v="3392"/>
    <n v="0.08"/>
    <n v="6241.2800000000007"/>
  </r>
  <r>
    <x v="1502"/>
    <x v="203"/>
    <x v="2"/>
    <x v="0"/>
    <x v="1"/>
    <x v="1"/>
    <x v="1"/>
    <x v="10"/>
    <n v="6"/>
    <n v="95.4"/>
    <n v="0.15"/>
    <n v="486.54000000000008"/>
  </r>
  <r>
    <x v="1503"/>
    <x v="169"/>
    <x v="1"/>
    <x v="2"/>
    <x v="0"/>
    <x v="4"/>
    <x v="13"/>
    <x v="9"/>
    <n v="5"/>
    <n v="1455"/>
    <n v="0.03"/>
    <n v="7056.75"/>
  </r>
  <r>
    <x v="1504"/>
    <x v="337"/>
    <x v="2"/>
    <x v="3"/>
    <x v="0"/>
    <x v="2"/>
    <x v="4"/>
    <x v="3"/>
    <n v="6"/>
    <n v="765"/>
    <n v="0.05"/>
    <n v="4360.5"/>
  </r>
  <r>
    <x v="1505"/>
    <x v="345"/>
    <x v="1"/>
    <x v="0"/>
    <x v="1"/>
    <x v="2"/>
    <x v="3"/>
    <x v="1"/>
    <n v="3"/>
    <n v="271.60000000000002"/>
    <n v="0"/>
    <n v="814.80000000000007"/>
  </r>
  <r>
    <x v="1506"/>
    <x v="246"/>
    <x v="2"/>
    <x v="1"/>
    <x v="1"/>
    <x v="0"/>
    <x v="14"/>
    <x v="3"/>
    <n v="2"/>
    <n v="56.1"/>
    <n v="0.03"/>
    <n v="108.834"/>
  </r>
  <r>
    <x v="1507"/>
    <x v="204"/>
    <x v="1"/>
    <x v="0"/>
    <x v="1"/>
    <x v="1"/>
    <x v="5"/>
    <x v="9"/>
    <n v="1"/>
    <n v="326.39999999999998"/>
    <n v="0.15"/>
    <n v="277.44"/>
  </r>
  <r>
    <x v="1508"/>
    <x v="27"/>
    <x v="2"/>
    <x v="0"/>
    <x v="1"/>
    <x v="0"/>
    <x v="22"/>
    <x v="4"/>
    <n v="5"/>
    <n v="65"/>
    <n v="0.05"/>
    <n v="308.75"/>
  </r>
  <r>
    <x v="1509"/>
    <x v="24"/>
    <x v="3"/>
    <x v="2"/>
    <x v="1"/>
    <x v="4"/>
    <x v="11"/>
    <x v="6"/>
    <n v="1"/>
    <n v="824.5"/>
    <n v="0.03"/>
    <n v="799.76499999999999"/>
  </r>
  <r>
    <x v="1510"/>
    <x v="23"/>
    <x v="3"/>
    <x v="1"/>
    <x v="0"/>
    <x v="1"/>
    <x v="25"/>
    <x v="7"/>
    <n v="1"/>
    <n v="62.4"/>
    <n v="0.08"/>
    <n v="57.408000000000001"/>
  </r>
  <r>
    <x v="1511"/>
    <x v="196"/>
    <x v="0"/>
    <x v="1"/>
    <x v="0"/>
    <x v="4"/>
    <x v="11"/>
    <x v="0"/>
    <n v="3"/>
    <n v="850"/>
    <n v="0.15"/>
    <n v="2167.5"/>
  </r>
  <r>
    <x v="1512"/>
    <x v="335"/>
    <x v="4"/>
    <x v="0"/>
    <x v="1"/>
    <x v="4"/>
    <x v="19"/>
    <x v="12"/>
    <n v="3"/>
    <n v="614.79999999999995"/>
    <n v="0.08"/>
    <n v="1696.848"/>
  </r>
  <r>
    <x v="1513"/>
    <x v="207"/>
    <x v="0"/>
    <x v="3"/>
    <x v="1"/>
    <x v="1"/>
    <x v="1"/>
    <x v="0"/>
    <n v="1"/>
    <n v="95.4"/>
    <n v="0.05"/>
    <n v="90.63"/>
  </r>
  <r>
    <x v="1514"/>
    <x v="29"/>
    <x v="4"/>
    <x v="0"/>
    <x v="1"/>
    <x v="0"/>
    <x v="22"/>
    <x v="12"/>
    <n v="1"/>
    <n v="65"/>
    <n v="0.05"/>
    <n v="61.75"/>
  </r>
  <r>
    <x v="1515"/>
    <x v="356"/>
    <x v="0"/>
    <x v="2"/>
    <x v="0"/>
    <x v="3"/>
    <x v="7"/>
    <x v="0"/>
    <n v="1"/>
    <n v="4074"/>
    <n v="0.05"/>
    <n v="3870.2999999999997"/>
  </r>
  <r>
    <x v="1516"/>
    <x v="302"/>
    <x v="0"/>
    <x v="3"/>
    <x v="0"/>
    <x v="1"/>
    <x v="25"/>
    <x v="0"/>
    <n v="7"/>
    <n v="62.4"/>
    <n v="0.1"/>
    <n v="393.12"/>
  </r>
  <r>
    <x v="1517"/>
    <x v="20"/>
    <x v="0"/>
    <x v="0"/>
    <x v="1"/>
    <x v="1"/>
    <x v="25"/>
    <x v="0"/>
    <n v="7"/>
    <n v="57"/>
    <n v="0"/>
    <n v="399"/>
  </r>
  <r>
    <x v="1518"/>
    <x v="196"/>
    <x v="2"/>
    <x v="1"/>
    <x v="1"/>
    <x v="1"/>
    <x v="1"/>
    <x v="10"/>
    <n v="3"/>
    <n v="90"/>
    <n v="0.05"/>
    <n v="256.5"/>
  </r>
  <r>
    <x v="1519"/>
    <x v="213"/>
    <x v="4"/>
    <x v="2"/>
    <x v="1"/>
    <x v="1"/>
    <x v="8"/>
    <x v="12"/>
    <n v="5"/>
    <n v="450"/>
    <n v="0.08"/>
    <n v="2070"/>
  </r>
  <r>
    <x v="1520"/>
    <x v="40"/>
    <x v="0"/>
    <x v="0"/>
    <x v="1"/>
    <x v="0"/>
    <x v="22"/>
    <x v="2"/>
    <n v="6"/>
    <n v="65"/>
    <n v="0.08"/>
    <n v="358.8"/>
  </r>
  <r>
    <x v="1521"/>
    <x v="120"/>
    <x v="0"/>
    <x v="2"/>
    <x v="0"/>
    <x v="4"/>
    <x v="13"/>
    <x v="0"/>
    <n v="3"/>
    <n v="1560"/>
    <n v="0.2"/>
    <n v="3744"/>
  </r>
  <r>
    <x v="1522"/>
    <x v="244"/>
    <x v="3"/>
    <x v="1"/>
    <x v="1"/>
    <x v="3"/>
    <x v="20"/>
    <x v="6"/>
    <n v="1"/>
    <n v="2600"/>
    <n v="0.08"/>
    <n v="2392"/>
  </r>
  <r>
    <x v="1523"/>
    <x v="177"/>
    <x v="4"/>
    <x v="1"/>
    <x v="1"/>
    <x v="5"/>
    <x v="16"/>
    <x v="12"/>
    <n v="4"/>
    <n v="8.16"/>
    <n v="0"/>
    <n v="32.64"/>
  </r>
  <r>
    <x v="1524"/>
    <x v="344"/>
    <x v="3"/>
    <x v="0"/>
    <x v="1"/>
    <x v="5"/>
    <x v="24"/>
    <x v="7"/>
    <n v="2"/>
    <n v="36.4"/>
    <n v="0.08"/>
    <n v="66.975999999999999"/>
  </r>
  <r>
    <x v="1525"/>
    <x v="117"/>
    <x v="2"/>
    <x v="0"/>
    <x v="0"/>
    <x v="4"/>
    <x v="13"/>
    <x v="4"/>
    <n v="1"/>
    <n v="1530"/>
    <n v="0.05"/>
    <n v="1453.5"/>
  </r>
  <r>
    <x v="1526"/>
    <x v="328"/>
    <x v="4"/>
    <x v="0"/>
    <x v="1"/>
    <x v="1"/>
    <x v="5"/>
    <x v="12"/>
    <n v="3"/>
    <n v="320"/>
    <n v="0.03"/>
    <n v="931.19999999999993"/>
  </r>
  <r>
    <x v="1527"/>
    <x v="43"/>
    <x v="4"/>
    <x v="1"/>
    <x v="1"/>
    <x v="5"/>
    <x v="18"/>
    <x v="13"/>
    <n v="2"/>
    <n v="11.64"/>
    <n v="0"/>
    <n v="23.28"/>
  </r>
  <r>
    <x v="1528"/>
    <x v="62"/>
    <x v="4"/>
    <x v="1"/>
    <x v="0"/>
    <x v="2"/>
    <x v="27"/>
    <x v="13"/>
    <n v="6"/>
    <n v="180"/>
    <n v="0.03"/>
    <n v="1047.5999999999999"/>
  </r>
  <r>
    <x v="1529"/>
    <x v="357"/>
    <x v="4"/>
    <x v="1"/>
    <x v="1"/>
    <x v="3"/>
    <x v="21"/>
    <x v="12"/>
    <n v="1"/>
    <n v="3060"/>
    <n v="0.15"/>
    <n v="2601"/>
  </r>
  <r>
    <x v="1530"/>
    <x v="332"/>
    <x v="4"/>
    <x v="0"/>
    <x v="1"/>
    <x v="4"/>
    <x v="13"/>
    <x v="13"/>
    <n v="4"/>
    <n v="1560"/>
    <n v="0.05"/>
    <n v="5928"/>
  </r>
  <r>
    <x v="1531"/>
    <x v="54"/>
    <x v="1"/>
    <x v="2"/>
    <x v="1"/>
    <x v="3"/>
    <x v="20"/>
    <x v="8"/>
    <n v="1"/>
    <n v="2500"/>
    <n v="0"/>
    <n v="2500"/>
  </r>
  <r>
    <x v="1532"/>
    <x v="145"/>
    <x v="1"/>
    <x v="3"/>
    <x v="0"/>
    <x v="4"/>
    <x v="17"/>
    <x v="8"/>
    <n v="1"/>
    <n v="700"/>
    <n v="0.08"/>
    <n v="644"/>
  </r>
  <r>
    <x v="1533"/>
    <x v="249"/>
    <x v="4"/>
    <x v="0"/>
    <x v="1"/>
    <x v="0"/>
    <x v="10"/>
    <x v="14"/>
    <n v="2"/>
    <n v="36.86"/>
    <n v="0.05"/>
    <n v="70.033999999999992"/>
  </r>
  <r>
    <x v="1534"/>
    <x v="33"/>
    <x v="2"/>
    <x v="2"/>
    <x v="1"/>
    <x v="2"/>
    <x v="27"/>
    <x v="10"/>
    <n v="9"/>
    <n v="190.8"/>
    <n v="0.2"/>
    <n v="1373.7600000000002"/>
  </r>
  <r>
    <x v="1535"/>
    <x v="75"/>
    <x v="1"/>
    <x v="0"/>
    <x v="0"/>
    <x v="1"/>
    <x v="5"/>
    <x v="1"/>
    <n v="2"/>
    <n v="310.39999999999998"/>
    <n v="0.08"/>
    <n v="571.13599999999997"/>
  </r>
  <r>
    <x v="1536"/>
    <x v="151"/>
    <x v="2"/>
    <x v="1"/>
    <x v="1"/>
    <x v="2"/>
    <x v="27"/>
    <x v="3"/>
    <n v="3"/>
    <n v="171"/>
    <n v="0.1"/>
    <n v="461.7"/>
  </r>
  <r>
    <x v="1537"/>
    <x v="151"/>
    <x v="2"/>
    <x v="3"/>
    <x v="1"/>
    <x v="5"/>
    <x v="24"/>
    <x v="3"/>
    <n v="1"/>
    <n v="36.4"/>
    <n v="0.03"/>
    <n v="35.308"/>
  </r>
  <r>
    <x v="1538"/>
    <x v="169"/>
    <x v="3"/>
    <x v="1"/>
    <x v="0"/>
    <x v="3"/>
    <x v="21"/>
    <x v="11"/>
    <n v="2"/>
    <n v="3120"/>
    <n v="0.05"/>
    <n v="5928"/>
  </r>
  <r>
    <x v="1539"/>
    <x v="14"/>
    <x v="2"/>
    <x v="1"/>
    <x v="0"/>
    <x v="3"/>
    <x v="9"/>
    <x v="3"/>
    <n v="2"/>
    <n v="1836"/>
    <n v="0.03"/>
    <n v="3561.8399999999997"/>
  </r>
  <r>
    <x v="1540"/>
    <x v="7"/>
    <x v="3"/>
    <x v="3"/>
    <x v="0"/>
    <x v="4"/>
    <x v="13"/>
    <x v="11"/>
    <n v="4"/>
    <n v="1455"/>
    <n v="0.15"/>
    <n v="4947"/>
  </r>
  <r>
    <x v="1541"/>
    <x v="154"/>
    <x v="2"/>
    <x v="3"/>
    <x v="1"/>
    <x v="0"/>
    <x v="10"/>
    <x v="10"/>
    <n v="3"/>
    <n v="38.76"/>
    <n v="0.1"/>
    <n v="104.652"/>
  </r>
  <r>
    <x v="1542"/>
    <x v="212"/>
    <x v="2"/>
    <x v="3"/>
    <x v="1"/>
    <x v="5"/>
    <x v="24"/>
    <x v="3"/>
    <n v="1"/>
    <n v="35.700000000000003"/>
    <n v="0"/>
    <n v="35.700000000000003"/>
  </r>
  <r>
    <x v="1543"/>
    <x v="15"/>
    <x v="2"/>
    <x v="1"/>
    <x v="1"/>
    <x v="0"/>
    <x v="6"/>
    <x v="4"/>
    <n v="2"/>
    <n v="45"/>
    <n v="0.15"/>
    <n v="76.5"/>
  </r>
  <r>
    <x v="1544"/>
    <x v="173"/>
    <x v="1"/>
    <x v="3"/>
    <x v="1"/>
    <x v="4"/>
    <x v="11"/>
    <x v="9"/>
    <n v="1"/>
    <n v="884"/>
    <n v="0.08"/>
    <n v="813.28000000000009"/>
  </r>
  <r>
    <x v="1545"/>
    <x v="339"/>
    <x v="0"/>
    <x v="0"/>
    <x v="0"/>
    <x v="3"/>
    <x v="21"/>
    <x v="0"/>
    <n v="3"/>
    <n v="3000"/>
    <n v="0.03"/>
    <n v="8730"/>
  </r>
  <r>
    <x v="1546"/>
    <x v="222"/>
    <x v="3"/>
    <x v="2"/>
    <x v="1"/>
    <x v="3"/>
    <x v="20"/>
    <x v="7"/>
    <n v="2"/>
    <n v="2500"/>
    <n v="0.03"/>
    <n v="4850"/>
  </r>
  <r>
    <x v="1547"/>
    <x v="259"/>
    <x v="0"/>
    <x v="1"/>
    <x v="1"/>
    <x v="0"/>
    <x v="0"/>
    <x v="2"/>
    <n v="6"/>
    <n v="14.25"/>
    <n v="0.05"/>
    <n v="81.224999999999994"/>
  </r>
  <r>
    <x v="1548"/>
    <x v="94"/>
    <x v="2"/>
    <x v="1"/>
    <x v="0"/>
    <x v="4"/>
    <x v="17"/>
    <x v="3"/>
    <n v="2"/>
    <n v="728"/>
    <n v="0"/>
    <n v="1456"/>
  </r>
  <r>
    <x v="1549"/>
    <x v="9"/>
    <x v="3"/>
    <x v="1"/>
    <x v="0"/>
    <x v="5"/>
    <x v="24"/>
    <x v="7"/>
    <n v="2"/>
    <n v="35"/>
    <n v="0.03"/>
    <n v="67.899999999999991"/>
  </r>
  <r>
    <x v="1550"/>
    <x v="141"/>
    <x v="2"/>
    <x v="0"/>
    <x v="1"/>
    <x v="5"/>
    <x v="26"/>
    <x v="4"/>
    <n v="6"/>
    <n v="18.72"/>
    <n v="0.08"/>
    <n v="103.3344"/>
  </r>
  <r>
    <x v="1551"/>
    <x v="55"/>
    <x v="1"/>
    <x v="0"/>
    <x v="1"/>
    <x v="0"/>
    <x v="14"/>
    <x v="1"/>
    <n v="1"/>
    <n v="55"/>
    <n v="0.08"/>
    <n v="50.6"/>
  </r>
  <r>
    <x v="1552"/>
    <x v="123"/>
    <x v="0"/>
    <x v="3"/>
    <x v="1"/>
    <x v="2"/>
    <x v="3"/>
    <x v="5"/>
    <n v="1"/>
    <n v="285.60000000000002"/>
    <n v="0.03"/>
    <n v="277.03200000000004"/>
  </r>
  <r>
    <x v="1553"/>
    <x v="254"/>
    <x v="0"/>
    <x v="3"/>
    <x v="1"/>
    <x v="1"/>
    <x v="25"/>
    <x v="5"/>
    <n v="3"/>
    <n v="58.2"/>
    <n v="0.05"/>
    <n v="165.87"/>
  </r>
  <r>
    <x v="1554"/>
    <x v="211"/>
    <x v="2"/>
    <x v="2"/>
    <x v="1"/>
    <x v="3"/>
    <x v="21"/>
    <x v="3"/>
    <n v="1"/>
    <n v="3000"/>
    <n v="0.2"/>
    <n v="2400"/>
  </r>
  <r>
    <x v="1555"/>
    <x v="286"/>
    <x v="0"/>
    <x v="1"/>
    <x v="1"/>
    <x v="4"/>
    <x v="11"/>
    <x v="5"/>
    <n v="1"/>
    <n v="884"/>
    <n v="0.2"/>
    <n v="707.2"/>
  </r>
  <r>
    <x v="1556"/>
    <x v="309"/>
    <x v="4"/>
    <x v="3"/>
    <x v="1"/>
    <x v="1"/>
    <x v="8"/>
    <x v="12"/>
    <n v="6"/>
    <n v="450"/>
    <n v="0.08"/>
    <n v="2484"/>
  </r>
  <r>
    <x v="1557"/>
    <x v="144"/>
    <x v="1"/>
    <x v="1"/>
    <x v="0"/>
    <x v="3"/>
    <x v="21"/>
    <x v="8"/>
    <n v="2"/>
    <n v="3180"/>
    <n v="0.2"/>
    <n v="5088"/>
  </r>
  <r>
    <x v="1558"/>
    <x v="312"/>
    <x v="0"/>
    <x v="3"/>
    <x v="0"/>
    <x v="2"/>
    <x v="4"/>
    <x v="0"/>
    <n v="1"/>
    <n v="750"/>
    <n v="0.15"/>
    <n v="637.5"/>
  </r>
  <r>
    <x v="1559"/>
    <x v="80"/>
    <x v="4"/>
    <x v="2"/>
    <x v="1"/>
    <x v="4"/>
    <x v="11"/>
    <x v="12"/>
    <n v="3"/>
    <n v="807.5"/>
    <n v="0.05"/>
    <n v="2301.375"/>
  </r>
  <r>
    <x v="1560"/>
    <x v="222"/>
    <x v="3"/>
    <x v="3"/>
    <x v="1"/>
    <x v="4"/>
    <x v="17"/>
    <x v="7"/>
    <n v="2"/>
    <n v="714"/>
    <n v="0.1"/>
    <n v="1285.2"/>
  </r>
  <r>
    <x v="1561"/>
    <x v="28"/>
    <x v="0"/>
    <x v="0"/>
    <x v="0"/>
    <x v="4"/>
    <x v="19"/>
    <x v="2"/>
    <n v="1"/>
    <n v="551"/>
    <n v="0"/>
    <n v="551"/>
  </r>
  <r>
    <x v="1562"/>
    <x v="217"/>
    <x v="0"/>
    <x v="3"/>
    <x v="1"/>
    <x v="1"/>
    <x v="8"/>
    <x v="0"/>
    <n v="1"/>
    <n v="477"/>
    <n v="0.15"/>
    <n v="405.45"/>
  </r>
  <r>
    <x v="1563"/>
    <x v="89"/>
    <x v="0"/>
    <x v="3"/>
    <x v="1"/>
    <x v="0"/>
    <x v="22"/>
    <x v="5"/>
    <n v="4"/>
    <n v="65"/>
    <n v="0.1"/>
    <n v="234"/>
  </r>
  <r>
    <x v="1564"/>
    <x v="178"/>
    <x v="2"/>
    <x v="0"/>
    <x v="1"/>
    <x v="1"/>
    <x v="5"/>
    <x v="10"/>
    <n v="3"/>
    <n v="304"/>
    <n v="0.03"/>
    <n v="884.64"/>
  </r>
  <r>
    <x v="1565"/>
    <x v="358"/>
    <x v="2"/>
    <x v="2"/>
    <x v="1"/>
    <x v="4"/>
    <x v="19"/>
    <x v="4"/>
    <n v="1"/>
    <n v="580"/>
    <n v="0.08"/>
    <n v="533.6"/>
  </r>
  <r>
    <x v="1566"/>
    <x v="108"/>
    <x v="2"/>
    <x v="3"/>
    <x v="1"/>
    <x v="2"/>
    <x v="27"/>
    <x v="10"/>
    <n v="4"/>
    <n v="190.8"/>
    <n v="0.03"/>
    <n v="740.30399999999997"/>
  </r>
  <r>
    <x v="1567"/>
    <x v="299"/>
    <x v="0"/>
    <x v="0"/>
    <x v="1"/>
    <x v="0"/>
    <x v="22"/>
    <x v="2"/>
    <n v="1"/>
    <n v="61.75"/>
    <n v="0.08"/>
    <n v="56.81"/>
  </r>
  <r>
    <x v="1568"/>
    <x v="263"/>
    <x v="0"/>
    <x v="3"/>
    <x v="1"/>
    <x v="2"/>
    <x v="4"/>
    <x v="2"/>
    <n v="1"/>
    <n v="750"/>
    <n v="0.08"/>
    <n v="690"/>
  </r>
  <r>
    <x v="1569"/>
    <x v="97"/>
    <x v="1"/>
    <x v="2"/>
    <x v="1"/>
    <x v="2"/>
    <x v="2"/>
    <x v="1"/>
    <n v="4"/>
    <n v="19.399999999999999"/>
    <n v="0.15"/>
    <n v="65.959999999999994"/>
  </r>
  <r>
    <x v="1570"/>
    <x v="272"/>
    <x v="2"/>
    <x v="1"/>
    <x v="1"/>
    <x v="4"/>
    <x v="13"/>
    <x v="10"/>
    <n v="2"/>
    <n v="1425"/>
    <n v="0.03"/>
    <n v="2764.5"/>
  </r>
  <r>
    <x v="1571"/>
    <x v="349"/>
    <x v="4"/>
    <x v="0"/>
    <x v="1"/>
    <x v="0"/>
    <x v="10"/>
    <x v="13"/>
    <n v="4"/>
    <n v="38.76"/>
    <n v="0.1"/>
    <n v="139.536"/>
  </r>
  <r>
    <x v="1572"/>
    <x v="93"/>
    <x v="0"/>
    <x v="3"/>
    <x v="0"/>
    <x v="1"/>
    <x v="25"/>
    <x v="0"/>
    <n v="4"/>
    <n v="60"/>
    <n v="0.1"/>
    <n v="216"/>
  </r>
  <r>
    <x v="1573"/>
    <x v="77"/>
    <x v="3"/>
    <x v="0"/>
    <x v="0"/>
    <x v="3"/>
    <x v="9"/>
    <x v="6"/>
    <n v="1"/>
    <n v="1836"/>
    <n v="0.03"/>
    <n v="1780.9199999999998"/>
  </r>
  <r>
    <x v="1574"/>
    <x v="307"/>
    <x v="4"/>
    <x v="0"/>
    <x v="1"/>
    <x v="0"/>
    <x v="22"/>
    <x v="14"/>
    <n v="6"/>
    <n v="68.900000000000006"/>
    <n v="0.05"/>
    <n v="392.73"/>
  </r>
  <r>
    <x v="1575"/>
    <x v="358"/>
    <x v="2"/>
    <x v="1"/>
    <x v="0"/>
    <x v="4"/>
    <x v="19"/>
    <x v="3"/>
    <n v="2"/>
    <n v="614.79999999999995"/>
    <n v="0.15"/>
    <n v="1045.1599999999999"/>
  </r>
  <r>
    <x v="1576"/>
    <x v="328"/>
    <x v="2"/>
    <x v="0"/>
    <x v="0"/>
    <x v="0"/>
    <x v="0"/>
    <x v="10"/>
    <n v="2"/>
    <n v="14.55"/>
    <n v="0.05"/>
    <n v="27.645"/>
  </r>
  <r>
    <x v="1577"/>
    <x v="107"/>
    <x v="0"/>
    <x v="0"/>
    <x v="1"/>
    <x v="5"/>
    <x v="23"/>
    <x v="2"/>
    <n v="1"/>
    <n v="25"/>
    <n v="0"/>
    <n v="25"/>
  </r>
  <r>
    <x v="1578"/>
    <x v="64"/>
    <x v="3"/>
    <x v="1"/>
    <x v="1"/>
    <x v="4"/>
    <x v="17"/>
    <x v="7"/>
    <n v="2"/>
    <n v="700"/>
    <n v="0.08"/>
    <n v="1288"/>
  </r>
  <r>
    <x v="1579"/>
    <x v="28"/>
    <x v="4"/>
    <x v="1"/>
    <x v="0"/>
    <x v="3"/>
    <x v="7"/>
    <x v="14"/>
    <n v="1"/>
    <n v="4074"/>
    <n v="0.1"/>
    <n v="3666.6"/>
  </r>
  <r>
    <x v="1580"/>
    <x v="67"/>
    <x v="2"/>
    <x v="0"/>
    <x v="0"/>
    <x v="1"/>
    <x v="8"/>
    <x v="4"/>
    <n v="1"/>
    <n v="427.5"/>
    <n v="0.15"/>
    <n v="363.375"/>
  </r>
  <r>
    <x v="1581"/>
    <x v="291"/>
    <x v="2"/>
    <x v="1"/>
    <x v="0"/>
    <x v="2"/>
    <x v="27"/>
    <x v="10"/>
    <n v="2"/>
    <n v="180"/>
    <n v="0"/>
    <n v="360"/>
  </r>
  <r>
    <x v="1582"/>
    <x v="222"/>
    <x v="0"/>
    <x v="0"/>
    <x v="0"/>
    <x v="4"/>
    <x v="19"/>
    <x v="0"/>
    <n v="2"/>
    <n v="591.6"/>
    <n v="0.05"/>
    <n v="1124.04"/>
  </r>
  <r>
    <x v="1583"/>
    <x v="310"/>
    <x v="1"/>
    <x v="0"/>
    <x v="1"/>
    <x v="0"/>
    <x v="6"/>
    <x v="8"/>
    <n v="5"/>
    <n v="42.75"/>
    <n v="0.03"/>
    <n v="207.33750000000001"/>
  </r>
  <r>
    <x v="1584"/>
    <x v="267"/>
    <x v="4"/>
    <x v="3"/>
    <x v="0"/>
    <x v="1"/>
    <x v="8"/>
    <x v="12"/>
    <n v="3"/>
    <n v="427.5"/>
    <n v="0.05"/>
    <n v="1218.375"/>
  </r>
  <r>
    <x v="1585"/>
    <x v="107"/>
    <x v="4"/>
    <x v="1"/>
    <x v="1"/>
    <x v="3"/>
    <x v="15"/>
    <x v="13"/>
    <n v="1"/>
    <n v="3200"/>
    <n v="0"/>
    <n v="3200"/>
  </r>
  <r>
    <x v="1586"/>
    <x v="242"/>
    <x v="3"/>
    <x v="0"/>
    <x v="1"/>
    <x v="5"/>
    <x v="26"/>
    <x v="11"/>
    <n v="5"/>
    <n v="18"/>
    <n v="0.15"/>
    <n v="76.5"/>
  </r>
  <r>
    <x v="1587"/>
    <x v="111"/>
    <x v="4"/>
    <x v="0"/>
    <x v="0"/>
    <x v="0"/>
    <x v="14"/>
    <x v="14"/>
    <n v="1"/>
    <n v="52.25"/>
    <n v="0.2"/>
    <n v="41.800000000000004"/>
  </r>
  <r>
    <x v="1588"/>
    <x v="67"/>
    <x v="4"/>
    <x v="0"/>
    <x v="1"/>
    <x v="1"/>
    <x v="8"/>
    <x v="14"/>
    <n v="2"/>
    <n v="427.5"/>
    <n v="0.08"/>
    <n v="786.6"/>
  </r>
  <r>
    <x v="1589"/>
    <x v="128"/>
    <x v="2"/>
    <x v="2"/>
    <x v="0"/>
    <x v="3"/>
    <x v="21"/>
    <x v="4"/>
    <n v="2"/>
    <n v="2910"/>
    <n v="0.08"/>
    <n v="5354.4000000000005"/>
  </r>
  <r>
    <x v="1590"/>
    <x v="131"/>
    <x v="0"/>
    <x v="1"/>
    <x v="0"/>
    <x v="1"/>
    <x v="8"/>
    <x v="5"/>
    <n v="4"/>
    <n v="459"/>
    <n v="0"/>
    <n v="1836"/>
  </r>
  <r>
    <x v="1591"/>
    <x v="127"/>
    <x v="3"/>
    <x v="0"/>
    <x v="1"/>
    <x v="5"/>
    <x v="26"/>
    <x v="6"/>
    <n v="3"/>
    <n v="19.079999999999998"/>
    <n v="0.08"/>
    <n v="52.660799999999995"/>
  </r>
  <r>
    <x v="1592"/>
    <x v="253"/>
    <x v="0"/>
    <x v="3"/>
    <x v="1"/>
    <x v="4"/>
    <x v="13"/>
    <x v="0"/>
    <n v="1"/>
    <n v="1455"/>
    <n v="0.08"/>
    <n v="1338.6000000000001"/>
  </r>
  <r>
    <x v="1593"/>
    <x v="288"/>
    <x v="4"/>
    <x v="0"/>
    <x v="1"/>
    <x v="0"/>
    <x v="22"/>
    <x v="13"/>
    <n v="4"/>
    <n v="65"/>
    <n v="0.05"/>
    <n v="247"/>
  </r>
  <r>
    <x v="1594"/>
    <x v="243"/>
    <x v="1"/>
    <x v="1"/>
    <x v="0"/>
    <x v="4"/>
    <x v="19"/>
    <x v="9"/>
    <n v="3"/>
    <n v="614.79999999999995"/>
    <n v="0"/>
    <n v="1844.3999999999999"/>
  </r>
  <r>
    <x v="1595"/>
    <x v="246"/>
    <x v="3"/>
    <x v="3"/>
    <x v="0"/>
    <x v="0"/>
    <x v="6"/>
    <x v="6"/>
    <n v="5"/>
    <n v="47.7"/>
    <n v="0.08"/>
    <n v="219.42000000000002"/>
  </r>
  <r>
    <x v="1596"/>
    <x v="164"/>
    <x v="2"/>
    <x v="0"/>
    <x v="1"/>
    <x v="0"/>
    <x v="0"/>
    <x v="4"/>
    <n v="1"/>
    <n v="15"/>
    <n v="0.15"/>
    <n v="12.75"/>
  </r>
  <r>
    <x v="1597"/>
    <x v="242"/>
    <x v="2"/>
    <x v="0"/>
    <x v="1"/>
    <x v="1"/>
    <x v="1"/>
    <x v="3"/>
    <n v="6"/>
    <n v="90"/>
    <n v="0.03"/>
    <n v="523.79999999999995"/>
  </r>
  <r>
    <x v="1598"/>
    <x v="225"/>
    <x v="3"/>
    <x v="1"/>
    <x v="1"/>
    <x v="3"/>
    <x v="21"/>
    <x v="7"/>
    <n v="2"/>
    <n v="2850"/>
    <n v="0.15"/>
    <n v="4845"/>
  </r>
  <r>
    <x v="1599"/>
    <x v="283"/>
    <x v="4"/>
    <x v="1"/>
    <x v="0"/>
    <x v="0"/>
    <x v="10"/>
    <x v="12"/>
    <n v="3"/>
    <n v="38"/>
    <n v="0.08"/>
    <n v="104.88000000000001"/>
  </r>
  <r>
    <x v="1600"/>
    <x v="124"/>
    <x v="2"/>
    <x v="0"/>
    <x v="1"/>
    <x v="0"/>
    <x v="6"/>
    <x v="10"/>
    <n v="2"/>
    <n v="46.8"/>
    <n v="0.05"/>
    <n v="88.919999999999987"/>
  </r>
  <r>
    <x v="1601"/>
    <x v="209"/>
    <x v="3"/>
    <x v="1"/>
    <x v="0"/>
    <x v="4"/>
    <x v="19"/>
    <x v="11"/>
    <n v="4"/>
    <n v="562.6"/>
    <n v="0.08"/>
    <n v="2070.3680000000004"/>
  </r>
  <r>
    <x v="1602"/>
    <x v="208"/>
    <x v="4"/>
    <x v="0"/>
    <x v="1"/>
    <x v="4"/>
    <x v="11"/>
    <x v="12"/>
    <n v="2"/>
    <n v="901"/>
    <n v="0.05"/>
    <n v="1711.8999999999999"/>
  </r>
  <r>
    <x v="1603"/>
    <x v="267"/>
    <x v="0"/>
    <x v="0"/>
    <x v="0"/>
    <x v="3"/>
    <x v="15"/>
    <x v="5"/>
    <n v="3"/>
    <n v="3200"/>
    <n v="0.03"/>
    <n v="9312"/>
  </r>
  <r>
    <x v="1604"/>
    <x v="234"/>
    <x v="1"/>
    <x v="1"/>
    <x v="1"/>
    <x v="3"/>
    <x v="7"/>
    <x v="8"/>
    <n v="1"/>
    <n v="4200"/>
    <n v="0.15"/>
    <n v="3570"/>
  </r>
  <r>
    <x v="1605"/>
    <x v="22"/>
    <x v="0"/>
    <x v="0"/>
    <x v="1"/>
    <x v="4"/>
    <x v="17"/>
    <x v="5"/>
    <n v="1"/>
    <n v="700"/>
    <n v="0"/>
    <n v="700"/>
  </r>
  <r>
    <x v="1606"/>
    <x v="331"/>
    <x v="0"/>
    <x v="3"/>
    <x v="1"/>
    <x v="4"/>
    <x v="13"/>
    <x v="2"/>
    <n v="1"/>
    <n v="1560"/>
    <n v="0.08"/>
    <n v="1435.2"/>
  </r>
  <r>
    <x v="1607"/>
    <x v="142"/>
    <x v="2"/>
    <x v="1"/>
    <x v="0"/>
    <x v="0"/>
    <x v="10"/>
    <x v="4"/>
    <n v="5"/>
    <n v="38"/>
    <n v="0.03"/>
    <n v="184.29999999999998"/>
  </r>
  <r>
    <x v="1608"/>
    <x v="248"/>
    <x v="1"/>
    <x v="1"/>
    <x v="1"/>
    <x v="3"/>
    <x v="21"/>
    <x v="8"/>
    <n v="1"/>
    <n v="3120"/>
    <n v="0.05"/>
    <n v="2964"/>
  </r>
  <r>
    <x v="1609"/>
    <x v="165"/>
    <x v="2"/>
    <x v="0"/>
    <x v="1"/>
    <x v="2"/>
    <x v="27"/>
    <x v="10"/>
    <n v="2"/>
    <n v="174.6"/>
    <n v="0.08"/>
    <n v="321.26400000000001"/>
  </r>
  <r>
    <x v="1610"/>
    <x v="347"/>
    <x v="2"/>
    <x v="3"/>
    <x v="1"/>
    <x v="1"/>
    <x v="5"/>
    <x v="4"/>
    <n v="3"/>
    <n v="326.39999999999998"/>
    <n v="0.2"/>
    <n v="783.36"/>
  </r>
  <r>
    <x v="1611"/>
    <x v="145"/>
    <x v="3"/>
    <x v="2"/>
    <x v="0"/>
    <x v="3"/>
    <x v="7"/>
    <x v="6"/>
    <n v="1"/>
    <n v="3990"/>
    <n v="0.2"/>
    <n v="3192"/>
  </r>
  <r>
    <x v="1612"/>
    <x v="141"/>
    <x v="1"/>
    <x v="0"/>
    <x v="0"/>
    <x v="5"/>
    <x v="23"/>
    <x v="9"/>
    <n v="2"/>
    <n v="25"/>
    <n v="0.2"/>
    <n v="40"/>
  </r>
  <r>
    <x v="1613"/>
    <x v="336"/>
    <x v="2"/>
    <x v="0"/>
    <x v="0"/>
    <x v="0"/>
    <x v="22"/>
    <x v="3"/>
    <n v="2"/>
    <n v="65"/>
    <n v="0.08"/>
    <n v="119.60000000000001"/>
  </r>
  <r>
    <x v="1614"/>
    <x v="112"/>
    <x v="1"/>
    <x v="2"/>
    <x v="1"/>
    <x v="2"/>
    <x v="3"/>
    <x v="8"/>
    <n v="9"/>
    <n v="280"/>
    <n v="0.1"/>
    <n v="2268"/>
  </r>
  <r>
    <x v="1615"/>
    <x v="65"/>
    <x v="2"/>
    <x v="1"/>
    <x v="1"/>
    <x v="0"/>
    <x v="14"/>
    <x v="3"/>
    <n v="5"/>
    <n v="58.3"/>
    <n v="0"/>
    <n v="291.5"/>
  </r>
  <r>
    <x v="1616"/>
    <x v="128"/>
    <x v="4"/>
    <x v="3"/>
    <x v="0"/>
    <x v="0"/>
    <x v="10"/>
    <x v="14"/>
    <n v="6"/>
    <n v="38"/>
    <n v="0.08"/>
    <n v="209.76000000000002"/>
  </r>
  <r>
    <x v="1617"/>
    <x v="166"/>
    <x v="0"/>
    <x v="1"/>
    <x v="1"/>
    <x v="1"/>
    <x v="1"/>
    <x v="5"/>
    <n v="2"/>
    <n v="95.4"/>
    <n v="0.05"/>
    <n v="181.26"/>
  </r>
  <r>
    <x v="1618"/>
    <x v="216"/>
    <x v="3"/>
    <x v="0"/>
    <x v="1"/>
    <x v="2"/>
    <x v="3"/>
    <x v="7"/>
    <n v="1"/>
    <n v="271.60000000000002"/>
    <n v="0"/>
    <n v="271.60000000000002"/>
  </r>
  <r>
    <x v="1619"/>
    <x v="230"/>
    <x v="3"/>
    <x v="2"/>
    <x v="1"/>
    <x v="3"/>
    <x v="7"/>
    <x v="6"/>
    <n v="1"/>
    <n v="3990"/>
    <n v="0"/>
    <n v="3990"/>
  </r>
  <r>
    <x v="1620"/>
    <x v="179"/>
    <x v="2"/>
    <x v="3"/>
    <x v="1"/>
    <x v="5"/>
    <x v="26"/>
    <x v="4"/>
    <n v="2"/>
    <n v="18"/>
    <n v="0.05"/>
    <n v="34.199999999999996"/>
  </r>
  <r>
    <x v="1621"/>
    <x v="10"/>
    <x v="1"/>
    <x v="0"/>
    <x v="1"/>
    <x v="0"/>
    <x v="14"/>
    <x v="8"/>
    <n v="1"/>
    <n v="52.25"/>
    <n v="0.08"/>
    <n v="48.07"/>
  </r>
  <r>
    <x v="1622"/>
    <x v="3"/>
    <x v="2"/>
    <x v="1"/>
    <x v="1"/>
    <x v="0"/>
    <x v="10"/>
    <x v="3"/>
    <n v="8"/>
    <n v="39.520000000000003"/>
    <n v="0.08"/>
    <n v="290.86720000000003"/>
  </r>
  <r>
    <x v="1623"/>
    <x v="270"/>
    <x v="3"/>
    <x v="1"/>
    <x v="1"/>
    <x v="3"/>
    <x v="9"/>
    <x v="11"/>
    <n v="1"/>
    <n v="1872"/>
    <n v="0"/>
    <n v="1872"/>
  </r>
  <r>
    <x v="1624"/>
    <x v="309"/>
    <x v="4"/>
    <x v="2"/>
    <x v="0"/>
    <x v="2"/>
    <x v="27"/>
    <x v="13"/>
    <n v="10"/>
    <n v="180"/>
    <n v="0.2"/>
    <n v="1440"/>
  </r>
  <r>
    <x v="1625"/>
    <x v="181"/>
    <x v="1"/>
    <x v="1"/>
    <x v="0"/>
    <x v="5"/>
    <x v="24"/>
    <x v="8"/>
    <n v="5"/>
    <n v="36.4"/>
    <n v="0.08"/>
    <n v="167.44"/>
  </r>
  <r>
    <x v="1626"/>
    <x v="246"/>
    <x v="4"/>
    <x v="0"/>
    <x v="0"/>
    <x v="1"/>
    <x v="25"/>
    <x v="12"/>
    <n v="6"/>
    <n v="60"/>
    <n v="0"/>
    <n v="360"/>
  </r>
  <r>
    <x v="1627"/>
    <x v="152"/>
    <x v="2"/>
    <x v="0"/>
    <x v="0"/>
    <x v="2"/>
    <x v="27"/>
    <x v="4"/>
    <n v="7"/>
    <n v="187.2"/>
    <n v="0.08"/>
    <n v="1205.568"/>
  </r>
  <r>
    <x v="1628"/>
    <x v="134"/>
    <x v="2"/>
    <x v="0"/>
    <x v="0"/>
    <x v="0"/>
    <x v="6"/>
    <x v="10"/>
    <n v="2"/>
    <n v="45"/>
    <n v="0.2"/>
    <n v="72"/>
  </r>
  <r>
    <x v="1629"/>
    <x v="309"/>
    <x v="1"/>
    <x v="3"/>
    <x v="1"/>
    <x v="4"/>
    <x v="17"/>
    <x v="8"/>
    <n v="1"/>
    <n v="665"/>
    <n v="0.15"/>
    <n v="565.25"/>
  </r>
  <r>
    <x v="1630"/>
    <x v="38"/>
    <x v="1"/>
    <x v="3"/>
    <x v="1"/>
    <x v="4"/>
    <x v="11"/>
    <x v="8"/>
    <n v="3"/>
    <n v="850"/>
    <n v="0.03"/>
    <n v="2473.5"/>
  </r>
  <r>
    <x v="1631"/>
    <x v="202"/>
    <x v="1"/>
    <x v="2"/>
    <x v="0"/>
    <x v="5"/>
    <x v="26"/>
    <x v="9"/>
    <n v="15"/>
    <n v="18"/>
    <n v="0.08"/>
    <n v="248.4"/>
  </r>
  <r>
    <x v="1632"/>
    <x v="131"/>
    <x v="3"/>
    <x v="0"/>
    <x v="1"/>
    <x v="2"/>
    <x v="3"/>
    <x v="11"/>
    <n v="3"/>
    <n v="280"/>
    <n v="0.05"/>
    <n v="798"/>
  </r>
  <r>
    <x v="1633"/>
    <x v="296"/>
    <x v="4"/>
    <x v="1"/>
    <x v="1"/>
    <x v="5"/>
    <x v="23"/>
    <x v="12"/>
    <n v="3"/>
    <n v="26.5"/>
    <n v="0.2"/>
    <n v="63.6"/>
  </r>
  <r>
    <x v="1634"/>
    <x v="60"/>
    <x v="3"/>
    <x v="0"/>
    <x v="0"/>
    <x v="1"/>
    <x v="5"/>
    <x v="11"/>
    <n v="5"/>
    <n v="326.39999999999998"/>
    <n v="0.03"/>
    <n v="1583.04"/>
  </r>
  <r>
    <x v="1635"/>
    <x v="227"/>
    <x v="3"/>
    <x v="0"/>
    <x v="1"/>
    <x v="0"/>
    <x v="14"/>
    <x v="6"/>
    <n v="4"/>
    <n v="56.1"/>
    <n v="0.15"/>
    <n v="190.74"/>
  </r>
  <r>
    <x v="1636"/>
    <x v="308"/>
    <x v="2"/>
    <x v="2"/>
    <x v="1"/>
    <x v="5"/>
    <x v="16"/>
    <x v="10"/>
    <n v="9"/>
    <n v="8.48"/>
    <n v="0.08"/>
    <n v="70.214400000000012"/>
  </r>
  <r>
    <x v="1637"/>
    <x v="321"/>
    <x v="0"/>
    <x v="2"/>
    <x v="0"/>
    <x v="3"/>
    <x v="20"/>
    <x v="5"/>
    <n v="1"/>
    <n v="2650"/>
    <n v="0.05"/>
    <n v="2517.5"/>
  </r>
  <r>
    <x v="1638"/>
    <x v="277"/>
    <x v="2"/>
    <x v="0"/>
    <x v="1"/>
    <x v="1"/>
    <x v="8"/>
    <x v="10"/>
    <n v="3"/>
    <n v="436.5"/>
    <n v="0.05"/>
    <n v="1244.0249999999999"/>
  </r>
  <r>
    <x v="1639"/>
    <x v="11"/>
    <x v="4"/>
    <x v="1"/>
    <x v="0"/>
    <x v="1"/>
    <x v="5"/>
    <x v="13"/>
    <n v="4"/>
    <n v="326.39999999999998"/>
    <n v="0.08"/>
    <n v="1201.152"/>
  </r>
  <r>
    <x v="1640"/>
    <x v="150"/>
    <x v="2"/>
    <x v="3"/>
    <x v="1"/>
    <x v="0"/>
    <x v="0"/>
    <x v="3"/>
    <n v="3"/>
    <n v="14.55"/>
    <n v="0.1"/>
    <n v="39.285000000000004"/>
  </r>
  <r>
    <x v="1641"/>
    <x v="15"/>
    <x v="4"/>
    <x v="3"/>
    <x v="1"/>
    <x v="0"/>
    <x v="22"/>
    <x v="14"/>
    <n v="2"/>
    <n v="65"/>
    <n v="0.2"/>
    <n v="104"/>
  </r>
  <r>
    <x v="1642"/>
    <x v="75"/>
    <x v="2"/>
    <x v="1"/>
    <x v="1"/>
    <x v="5"/>
    <x v="23"/>
    <x v="4"/>
    <n v="3"/>
    <n v="26.5"/>
    <n v="0.03"/>
    <n v="77.114999999999995"/>
  </r>
  <r>
    <x v="1643"/>
    <x v="215"/>
    <x v="2"/>
    <x v="2"/>
    <x v="1"/>
    <x v="5"/>
    <x v="24"/>
    <x v="4"/>
    <n v="8"/>
    <n v="35"/>
    <n v="0.03"/>
    <n v="271.59999999999997"/>
  </r>
  <r>
    <x v="1644"/>
    <x v="15"/>
    <x v="1"/>
    <x v="0"/>
    <x v="1"/>
    <x v="3"/>
    <x v="21"/>
    <x v="1"/>
    <n v="4"/>
    <n v="3120"/>
    <n v="0.08"/>
    <n v="11481.6"/>
  </r>
  <r>
    <x v="1645"/>
    <x v="110"/>
    <x v="0"/>
    <x v="0"/>
    <x v="1"/>
    <x v="3"/>
    <x v="21"/>
    <x v="2"/>
    <n v="2"/>
    <n v="3000"/>
    <n v="0.03"/>
    <n v="5820"/>
  </r>
  <r>
    <x v="1646"/>
    <x v="26"/>
    <x v="4"/>
    <x v="0"/>
    <x v="0"/>
    <x v="1"/>
    <x v="1"/>
    <x v="13"/>
    <n v="1"/>
    <n v="90"/>
    <n v="0"/>
    <n v="90"/>
  </r>
  <r>
    <x v="1647"/>
    <x v="131"/>
    <x v="2"/>
    <x v="1"/>
    <x v="1"/>
    <x v="3"/>
    <x v="15"/>
    <x v="4"/>
    <n v="4"/>
    <n v="3200"/>
    <n v="0.2"/>
    <n v="10240"/>
  </r>
  <r>
    <x v="1648"/>
    <x v="248"/>
    <x v="4"/>
    <x v="3"/>
    <x v="1"/>
    <x v="4"/>
    <x v="11"/>
    <x v="13"/>
    <n v="2"/>
    <n v="807.5"/>
    <n v="0.08"/>
    <n v="1485.8"/>
  </r>
  <r>
    <x v="1649"/>
    <x v="255"/>
    <x v="2"/>
    <x v="0"/>
    <x v="0"/>
    <x v="0"/>
    <x v="6"/>
    <x v="3"/>
    <n v="1"/>
    <n v="42.75"/>
    <n v="0.05"/>
    <n v="40.612499999999997"/>
  </r>
  <r>
    <x v="1650"/>
    <x v="67"/>
    <x v="2"/>
    <x v="0"/>
    <x v="1"/>
    <x v="4"/>
    <x v="17"/>
    <x v="3"/>
    <n v="1"/>
    <n v="728"/>
    <n v="0.08"/>
    <n v="669.76"/>
  </r>
  <r>
    <x v="1651"/>
    <x v="356"/>
    <x v="3"/>
    <x v="0"/>
    <x v="1"/>
    <x v="0"/>
    <x v="12"/>
    <x v="7"/>
    <n v="6"/>
    <n v="80"/>
    <n v="0.08"/>
    <n v="441.6"/>
  </r>
  <r>
    <x v="1652"/>
    <x v="47"/>
    <x v="1"/>
    <x v="0"/>
    <x v="1"/>
    <x v="3"/>
    <x v="21"/>
    <x v="8"/>
    <n v="1"/>
    <n v="3000"/>
    <n v="0.05"/>
    <n v="2850"/>
  </r>
  <r>
    <x v="1653"/>
    <x v="219"/>
    <x v="3"/>
    <x v="0"/>
    <x v="0"/>
    <x v="1"/>
    <x v="8"/>
    <x v="6"/>
    <n v="5"/>
    <n v="477"/>
    <n v="0.03"/>
    <n v="2313.4499999999998"/>
  </r>
  <r>
    <x v="1654"/>
    <x v="258"/>
    <x v="3"/>
    <x v="3"/>
    <x v="1"/>
    <x v="1"/>
    <x v="1"/>
    <x v="6"/>
    <n v="2"/>
    <n v="87.3"/>
    <n v="0.15"/>
    <n v="148.41"/>
  </r>
  <r>
    <x v="1655"/>
    <x v="321"/>
    <x v="0"/>
    <x v="1"/>
    <x v="0"/>
    <x v="0"/>
    <x v="0"/>
    <x v="0"/>
    <n v="6"/>
    <n v="15.6"/>
    <n v="0.05"/>
    <n v="88.919999999999987"/>
  </r>
  <r>
    <x v="1656"/>
    <x v="159"/>
    <x v="3"/>
    <x v="3"/>
    <x v="0"/>
    <x v="0"/>
    <x v="14"/>
    <x v="7"/>
    <n v="1"/>
    <n v="56.1"/>
    <n v="0.08"/>
    <n v="51.612000000000002"/>
  </r>
  <r>
    <x v="1657"/>
    <x v="213"/>
    <x v="1"/>
    <x v="1"/>
    <x v="0"/>
    <x v="5"/>
    <x v="18"/>
    <x v="8"/>
    <n v="2"/>
    <n v="12.48"/>
    <n v="0"/>
    <n v="24.96"/>
  </r>
  <r>
    <x v="1658"/>
    <x v="157"/>
    <x v="0"/>
    <x v="1"/>
    <x v="1"/>
    <x v="3"/>
    <x v="7"/>
    <x v="5"/>
    <n v="1"/>
    <n v="3990"/>
    <n v="0.05"/>
    <n v="3790.5"/>
  </r>
  <r>
    <x v="1659"/>
    <x v="147"/>
    <x v="0"/>
    <x v="0"/>
    <x v="1"/>
    <x v="1"/>
    <x v="1"/>
    <x v="5"/>
    <n v="2"/>
    <n v="87.3"/>
    <n v="0.05"/>
    <n v="165.86999999999998"/>
  </r>
  <r>
    <x v="1660"/>
    <x v="234"/>
    <x v="1"/>
    <x v="0"/>
    <x v="1"/>
    <x v="3"/>
    <x v="21"/>
    <x v="1"/>
    <n v="1"/>
    <n v="3000"/>
    <n v="0.2"/>
    <n v="2400"/>
  </r>
  <r>
    <x v="1661"/>
    <x v="123"/>
    <x v="0"/>
    <x v="0"/>
    <x v="1"/>
    <x v="1"/>
    <x v="5"/>
    <x v="5"/>
    <n v="1"/>
    <n v="332.8"/>
    <n v="0.2"/>
    <n v="266.24"/>
  </r>
  <r>
    <x v="1662"/>
    <x v="110"/>
    <x v="3"/>
    <x v="3"/>
    <x v="1"/>
    <x v="0"/>
    <x v="6"/>
    <x v="6"/>
    <n v="2"/>
    <n v="47.7"/>
    <n v="0.08"/>
    <n v="87.768000000000015"/>
  </r>
  <r>
    <x v="1663"/>
    <x v="253"/>
    <x v="4"/>
    <x v="0"/>
    <x v="1"/>
    <x v="4"/>
    <x v="17"/>
    <x v="12"/>
    <n v="3"/>
    <n v="700"/>
    <n v="0.03"/>
    <n v="2037"/>
  </r>
  <r>
    <x v="1664"/>
    <x v="131"/>
    <x v="1"/>
    <x v="0"/>
    <x v="1"/>
    <x v="4"/>
    <x v="11"/>
    <x v="8"/>
    <n v="1"/>
    <n v="884"/>
    <n v="0.03"/>
    <n v="857.48"/>
  </r>
  <r>
    <x v="1665"/>
    <x v="141"/>
    <x v="1"/>
    <x v="0"/>
    <x v="0"/>
    <x v="1"/>
    <x v="25"/>
    <x v="8"/>
    <n v="2"/>
    <n v="61.2"/>
    <n v="0.03"/>
    <n v="118.72800000000001"/>
  </r>
  <r>
    <x v="1666"/>
    <x v="247"/>
    <x v="4"/>
    <x v="3"/>
    <x v="0"/>
    <x v="3"/>
    <x v="21"/>
    <x v="13"/>
    <n v="1"/>
    <n v="3000"/>
    <n v="0.08"/>
    <n v="2760"/>
  </r>
  <r>
    <x v="1667"/>
    <x v="202"/>
    <x v="1"/>
    <x v="0"/>
    <x v="1"/>
    <x v="2"/>
    <x v="3"/>
    <x v="8"/>
    <n v="3"/>
    <n v="271.60000000000002"/>
    <n v="0.05"/>
    <n v="774.06000000000006"/>
  </r>
  <r>
    <x v="1668"/>
    <x v="229"/>
    <x v="4"/>
    <x v="0"/>
    <x v="0"/>
    <x v="5"/>
    <x v="24"/>
    <x v="12"/>
    <n v="8"/>
    <n v="37.1"/>
    <n v="0.08"/>
    <n v="273.05600000000004"/>
  </r>
  <r>
    <x v="1669"/>
    <x v="96"/>
    <x v="0"/>
    <x v="2"/>
    <x v="0"/>
    <x v="3"/>
    <x v="21"/>
    <x v="2"/>
    <n v="1"/>
    <n v="3000"/>
    <n v="0.05"/>
    <n v="2850"/>
  </r>
  <r>
    <x v="1670"/>
    <x v="318"/>
    <x v="3"/>
    <x v="0"/>
    <x v="1"/>
    <x v="4"/>
    <x v="13"/>
    <x v="11"/>
    <n v="1"/>
    <n v="1425"/>
    <n v="0"/>
    <n v="1425"/>
  </r>
  <r>
    <x v="1671"/>
    <x v="282"/>
    <x v="0"/>
    <x v="3"/>
    <x v="0"/>
    <x v="1"/>
    <x v="8"/>
    <x v="0"/>
    <n v="5"/>
    <n v="450"/>
    <n v="0.15"/>
    <n v="1912.5"/>
  </r>
  <r>
    <x v="1672"/>
    <x v="279"/>
    <x v="2"/>
    <x v="0"/>
    <x v="0"/>
    <x v="5"/>
    <x v="24"/>
    <x v="3"/>
    <n v="7"/>
    <n v="35"/>
    <n v="0.15"/>
    <n v="208.25"/>
  </r>
  <r>
    <x v="1673"/>
    <x v="353"/>
    <x v="2"/>
    <x v="0"/>
    <x v="1"/>
    <x v="5"/>
    <x v="16"/>
    <x v="3"/>
    <n v="4"/>
    <n v="8.16"/>
    <n v="0"/>
    <n v="32.64"/>
  </r>
  <r>
    <x v="1674"/>
    <x v="76"/>
    <x v="3"/>
    <x v="2"/>
    <x v="1"/>
    <x v="4"/>
    <x v="13"/>
    <x v="7"/>
    <n v="2"/>
    <n v="1530"/>
    <n v="0.03"/>
    <n v="2968.2"/>
  </r>
  <r>
    <x v="1675"/>
    <x v="276"/>
    <x v="1"/>
    <x v="1"/>
    <x v="1"/>
    <x v="0"/>
    <x v="14"/>
    <x v="9"/>
    <n v="1"/>
    <n v="56.1"/>
    <n v="0.03"/>
    <n v="54.417000000000002"/>
  </r>
  <r>
    <x v="1676"/>
    <x v="311"/>
    <x v="3"/>
    <x v="0"/>
    <x v="1"/>
    <x v="1"/>
    <x v="5"/>
    <x v="7"/>
    <n v="1"/>
    <n v="339.2"/>
    <n v="0.03"/>
    <n v="329.024"/>
  </r>
  <r>
    <x v="1677"/>
    <x v="103"/>
    <x v="0"/>
    <x v="0"/>
    <x v="0"/>
    <x v="0"/>
    <x v="10"/>
    <x v="2"/>
    <n v="1"/>
    <n v="39.520000000000003"/>
    <n v="0"/>
    <n v="39.520000000000003"/>
  </r>
  <r>
    <x v="1678"/>
    <x v="33"/>
    <x v="3"/>
    <x v="2"/>
    <x v="1"/>
    <x v="4"/>
    <x v="11"/>
    <x v="7"/>
    <n v="3"/>
    <n v="867"/>
    <n v="0.03"/>
    <n v="2522.9699999999998"/>
  </r>
  <r>
    <x v="1679"/>
    <x v="86"/>
    <x v="4"/>
    <x v="1"/>
    <x v="0"/>
    <x v="4"/>
    <x v="11"/>
    <x v="14"/>
    <n v="5"/>
    <n v="850"/>
    <n v="0.2"/>
    <n v="3400"/>
  </r>
  <r>
    <x v="1680"/>
    <x v="325"/>
    <x v="2"/>
    <x v="0"/>
    <x v="0"/>
    <x v="5"/>
    <x v="26"/>
    <x v="10"/>
    <n v="2"/>
    <n v="18"/>
    <n v="0.03"/>
    <n v="34.92"/>
  </r>
  <r>
    <x v="1681"/>
    <x v="326"/>
    <x v="1"/>
    <x v="1"/>
    <x v="0"/>
    <x v="0"/>
    <x v="10"/>
    <x v="9"/>
    <n v="3"/>
    <n v="40.28"/>
    <n v="0.03"/>
    <n v="117.2148"/>
  </r>
  <r>
    <x v="1682"/>
    <x v="357"/>
    <x v="2"/>
    <x v="0"/>
    <x v="1"/>
    <x v="4"/>
    <x v="13"/>
    <x v="4"/>
    <n v="1"/>
    <n v="1530"/>
    <n v="0.08"/>
    <n v="1407.6000000000001"/>
  </r>
  <r>
    <x v="1683"/>
    <x v="303"/>
    <x v="0"/>
    <x v="1"/>
    <x v="1"/>
    <x v="0"/>
    <x v="6"/>
    <x v="2"/>
    <n v="2"/>
    <n v="43.65"/>
    <n v="0.05"/>
    <n v="82.934999999999988"/>
  </r>
  <r>
    <x v="1684"/>
    <x v="204"/>
    <x v="2"/>
    <x v="0"/>
    <x v="0"/>
    <x v="2"/>
    <x v="27"/>
    <x v="4"/>
    <n v="4"/>
    <n v="171"/>
    <n v="0"/>
    <n v="684"/>
  </r>
  <r>
    <x v="1685"/>
    <x v="197"/>
    <x v="0"/>
    <x v="3"/>
    <x v="0"/>
    <x v="5"/>
    <x v="24"/>
    <x v="0"/>
    <n v="4"/>
    <n v="33.950000000000003"/>
    <n v="0.2"/>
    <n v="108.64000000000001"/>
  </r>
  <r>
    <x v="1686"/>
    <x v="340"/>
    <x v="1"/>
    <x v="0"/>
    <x v="1"/>
    <x v="4"/>
    <x v="19"/>
    <x v="8"/>
    <n v="1"/>
    <n v="551"/>
    <n v="0.05"/>
    <n v="523.44999999999993"/>
  </r>
  <r>
    <x v="1687"/>
    <x v="13"/>
    <x v="4"/>
    <x v="0"/>
    <x v="1"/>
    <x v="2"/>
    <x v="2"/>
    <x v="14"/>
    <n v="2"/>
    <n v="20"/>
    <n v="0.15"/>
    <n v="34"/>
  </r>
  <r>
    <x v="1688"/>
    <x v="59"/>
    <x v="2"/>
    <x v="3"/>
    <x v="0"/>
    <x v="3"/>
    <x v="20"/>
    <x v="3"/>
    <n v="1"/>
    <n v="2500"/>
    <n v="0.08"/>
    <n v="2300"/>
  </r>
  <r>
    <x v="1689"/>
    <x v="208"/>
    <x v="0"/>
    <x v="2"/>
    <x v="1"/>
    <x v="1"/>
    <x v="8"/>
    <x v="5"/>
    <n v="2"/>
    <n v="427.5"/>
    <n v="0.05"/>
    <n v="812.25"/>
  </r>
  <r>
    <x v="1690"/>
    <x v="185"/>
    <x v="0"/>
    <x v="0"/>
    <x v="1"/>
    <x v="4"/>
    <x v="19"/>
    <x v="0"/>
    <n v="1"/>
    <n v="580"/>
    <n v="0.15"/>
    <n v="493"/>
  </r>
  <r>
    <x v="1691"/>
    <x v="15"/>
    <x v="1"/>
    <x v="3"/>
    <x v="0"/>
    <x v="0"/>
    <x v="10"/>
    <x v="9"/>
    <n v="7"/>
    <n v="36.86"/>
    <n v="0.2"/>
    <n v="206.416"/>
  </r>
  <r>
    <x v="1692"/>
    <x v="199"/>
    <x v="3"/>
    <x v="3"/>
    <x v="0"/>
    <x v="1"/>
    <x v="5"/>
    <x v="6"/>
    <n v="4"/>
    <n v="326.39999999999998"/>
    <n v="0.05"/>
    <n v="1240.32"/>
  </r>
  <r>
    <x v="1693"/>
    <x v="228"/>
    <x v="2"/>
    <x v="1"/>
    <x v="1"/>
    <x v="2"/>
    <x v="3"/>
    <x v="4"/>
    <n v="2"/>
    <n v="266"/>
    <n v="0.05"/>
    <n v="505.4"/>
  </r>
  <r>
    <x v="1694"/>
    <x v="139"/>
    <x v="4"/>
    <x v="1"/>
    <x v="0"/>
    <x v="5"/>
    <x v="18"/>
    <x v="13"/>
    <n v="3"/>
    <n v="12.72"/>
    <n v="0.08"/>
    <n v="35.107200000000006"/>
  </r>
  <r>
    <x v="1695"/>
    <x v="281"/>
    <x v="0"/>
    <x v="1"/>
    <x v="0"/>
    <x v="4"/>
    <x v="13"/>
    <x v="2"/>
    <n v="1"/>
    <n v="1500"/>
    <n v="0.03"/>
    <n v="1455"/>
  </r>
  <r>
    <x v="1696"/>
    <x v="309"/>
    <x v="3"/>
    <x v="0"/>
    <x v="0"/>
    <x v="0"/>
    <x v="10"/>
    <x v="11"/>
    <n v="1"/>
    <n v="36.1"/>
    <n v="0"/>
    <n v="36.1"/>
  </r>
  <r>
    <x v="1697"/>
    <x v="351"/>
    <x v="3"/>
    <x v="0"/>
    <x v="0"/>
    <x v="4"/>
    <x v="11"/>
    <x v="7"/>
    <n v="2"/>
    <n v="807.5"/>
    <n v="0.08"/>
    <n v="1485.8"/>
  </r>
  <r>
    <x v="1698"/>
    <x v="113"/>
    <x v="2"/>
    <x v="0"/>
    <x v="0"/>
    <x v="0"/>
    <x v="6"/>
    <x v="3"/>
    <n v="3"/>
    <n v="42.75"/>
    <n v="0.05"/>
    <n v="121.83749999999999"/>
  </r>
  <r>
    <x v="1699"/>
    <x v="73"/>
    <x v="4"/>
    <x v="0"/>
    <x v="1"/>
    <x v="4"/>
    <x v="17"/>
    <x v="13"/>
    <n v="1"/>
    <n v="700"/>
    <n v="0.03"/>
    <n v="679"/>
  </r>
  <r>
    <x v="1700"/>
    <x v="354"/>
    <x v="1"/>
    <x v="2"/>
    <x v="1"/>
    <x v="0"/>
    <x v="0"/>
    <x v="9"/>
    <n v="13"/>
    <n v="15.3"/>
    <n v="0.15"/>
    <n v="169.065"/>
  </r>
  <r>
    <x v="1701"/>
    <x v="216"/>
    <x v="3"/>
    <x v="1"/>
    <x v="1"/>
    <x v="4"/>
    <x v="11"/>
    <x v="11"/>
    <n v="1"/>
    <n v="824.5"/>
    <n v="0.1"/>
    <n v="742.05000000000007"/>
  </r>
  <r>
    <x v="1702"/>
    <x v="200"/>
    <x v="2"/>
    <x v="3"/>
    <x v="0"/>
    <x v="1"/>
    <x v="5"/>
    <x v="3"/>
    <n v="6"/>
    <n v="304"/>
    <n v="0.03"/>
    <n v="1769.28"/>
  </r>
  <r>
    <x v="1703"/>
    <x v="280"/>
    <x v="2"/>
    <x v="1"/>
    <x v="1"/>
    <x v="0"/>
    <x v="12"/>
    <x v="10"/>
    <n v="1"/>
    <n v="80"/>
    <n v="0.05"/>
    <n v="76"/>
  </r>
  <r>
    <x v="1704"/>
    <x v="145"/>
    <x v="2"/>
    <x v="2"/>
    <x v="1"/>
    <x v="3"/>
    <x v="7"/>
    <x v="4"/>
    <n v="1"/>
    <n v="4200"/>
    <n v="0.15"/>
    <n v="3570"/>
  </r>
  <r>
    <x v="1705"/>
    <x v="184"/>
    <x v="4"/>
    <x v="3"/>
    <x v="1"/>
    <x v="4"/>
    <x v="17"/>
    <x v="14"/>
    <n v="2"/>
    <n v="665"/>
    <n v="0.08"/>
    <n v="1223.6000000000001"/>
  </r>
  <r>
    <x v="1706"/>
    <x v="190"/>
    <x v="1"/>
    <x v="0"/>
    <x v="1"/>
    <x v="4"/>
    <x v="19"/>
    <x v="9"/>
    <n v="2"/>
    <n v="591.6"/>
    <n v="0.05"/>
    <n v="1124.04"/>
  </r>
  <r>
    <x v="1707"/>
    <x v="133"/>
    <x v="2"/>
    <x v="1"/>
    <x v="0"/>
    <x v="0"/>
    <x v="10"/>
    <x v="4"/>
    <n v="2"/>
    <n v="38"/>
    <n v="0.08"/>
    <n v="69.92"/>
  </r>
  <r>
    <x v="1708"/>
    <x v="241"/>
    <x v="2"/>
    <x v="3"/>
    <x v="1"/>
    <x v="0"/>
    <x v="12"/>
    <x v="3"/>
    <n v="6"/>
    <n v="84.8"/>
    <n v="0.15"/>
    <n v="432.47999999999996"/>
  </r>
  <r>
    <x v="1709"/>
    <x v="216"/>
    <x v="4"/>
    <x v="0"/>
    <x v="0"/>
    <x v="4"/>
    <x v="11"/>
    <x v="12"/>
    <n v="1"/>
    <n v="901"/>
    <n v="0"/>
    <n v="901"/>
  </r>
  <r>
    <x v="1710"/>
    <x v="349"/>
    <x v="1"/>
    <x v="1"/>
    <x v="1"/>
    <x v="3"/>
    <x v="20"/>
    <x v="9"/>
    <n v="1"/>
    <n v="2375"/>
    <n v="0.03"/>
    <n v="2303.75"/>
  </r>
  <r>
    <x v="1711"/>
    <x v="282"/>
    <x v="2"/>
    <x v="0"/>
    <x v="1"/>
    <x v="4"/>
    <x v="19"/>
    <x v="3"/>
    <n v="1"/>
    <n v="562.6"/>
    <n v="0.2"/>
    <n v="450.08000000000004"/>
  </r>
  <r>
    <x v="1712"/>
    <x v="4"/>
    <x v="2"/>
    <x v="0"/>
    <x v="0"/>
    <x v="1"/>
    <x v="8"/>
    <x v="10"/>
    <n v="1"/>
    <n v="450"/>
    <n v="0"/>
    <n v="450"/>
  </r>
  <r>
    <x v="1713"/>
    <x v="76"/>
    <x v="0"/>
    <x v="0"/>
    <x v="0"/>
    <x v="1"/>
    <x v="1"/>
    <x v="0"/>
    <n v="5"/>
    <n v="91.8"/>
    <n v="0"/>
    <n v="459"/>
  </r>
  <r>
    <x v="1714"/>
    <x v="76"/>
    <x v="2"/>
    <x v="3"/>
    <x v="1"/>
    <x v="4"/>
    <x v="17"/>
    <x v="3"/>
    <n v="3"/>
    <n v="714"/>
    <n v="0.05"/>
    <n v="2034.8999999999999"/>
  </r>
  <r>
    <x v="1715"/>
    <x v="35"/>
    <x v="3"/>
    <x v="0"/>
    <x v="1"/>
    <x v="4"/>
    <x v="17"/>
    <x v="7"/>
    <n v="1"/>
    <n v="742"/>
    <n v="0.05"/>
    <n v="704.9"/>
  </r>
  <r>
    <x v="1716"/>
    <x v="205"/>
    <x v="2"/>
    <x v="2"/>
    <x v="1"/>
    <x v="1"/>
    <x v="8"/>
    <x v="4"/>
    <n v="9"/>
    <n v="468"/>
    <n v="0.15"/>
    <n v="3580.2"/>
  </r>
  <r>
    <x v="1717"/>
    <x v="59"/>
    <x v="4"/>
    <x v="1"/>
    <x v="1"/>
    <x v="0"/>
    <x v="0"/>
    <x v="14"/>
    <n v="1"/>
    <n v="15"/>
    <n v="0.1"/>
    <n v="13.5"/>
  </r>
  <r>
    <x v="1718"/>
    <x v="206"/>
    <x v="1"/>
    <x v="0"/>
    <x v="1"/>
    <x v="3"/>
    <x v="20"/>
    <x v="1"/>
    <n v="2"/>
    <n v="2425"/>
    <n v="0.03"/>
    <n v="4704.5"/>
  </r>
  <r>
    <x v="1719"/>
    <x v="231"/>
    <x v="1"/>
    <x v="0"/>
    <x v="1"/>
    <x v="3"/>
    <x v="7"/>
    <x v="1"/>
    <n v="1"/>
    <n v="4368"/>
    <n v="0.15"/>
    <n v="3712.7999999999997"/>
  </r>
  <r>
    <x v="1720"/>
    <x v="123"/>
    <x v="4"/>
    <x v="0"/>
    <x v="1"/>
    <x v="5"/>
    <x v="24"/>
    <x v="14"/>
    <n v="1"/>
    <n v="35.700000000000003"/>
    <n v="0.1"/>
    <n v="32.130000000000003"/>
  </r>
  <r>
    <x v="1721"/>
    <x v="138"/>
    <x v="1"/>
    <x v="1"/>
    <x v="1"/>
    <x v="1"/>
    <x v="5"/>
    <x v="9"/>
    <n v="3"/>
    <n v="320"/>
    <n v="0.05"/>
    <n v="912"/>
  </r>
  <r>
    <x v="1722"/>
    <x v="207"/>
    <x v="2"/>
    <x v="0"/>
    <x v="1"/>
    <x v="3"/>
    <x v="7"/>
    <x v="3"/>
    <n v="1"/>
    <n v="4074"/>
    <n v="0.2"/>
    <n v="3259.2000000000003"/>
  </r>
  <r>
    <x v="1723"/>
    <x v="246"/>
    <x v="0"/>
    <x v="3"/>
    <x v="1"/>
    <x v="2"/>
    <x v="2"/>
    <x v="5"/>
    <n v="4"/>
    <n v="20"/>
    <n v="0"/>
    <n v="80"/>
  </r>
  <r>
    <x v="1724"/>
    <x v="131"/>
    <x v="3"/>
    <x v="0"/>
    <x v="1"/>
    <x v="2"/>
    <x v="3"/>
    <x v="11"/>
    <n v="1"/>
    <n v="291.2"/>
    <n v="0.05"/>
    <n v="276.64"/>
  </r>
  <r>
    <x v="1725"/>
    <x v="331"/>
    <x v="2"/>
    <x v="1"/>
    <x v="1"/>
    <x v="3"/>
    <x v="20"/>
    <x v="4"/>
    <n v="2"/>
    <n v="2550"/>
    <n v="0.15"/>
    <n v="4335"/>
  </r>
  <r>
    <x v="1726"/>
    <x v="82"/>
    <x v="3"/>
    <x v="3"/>
    <x v="0"/>
    <x v="3"/>
    <x v="15"/>
    <x v="11"/>
    <n v="1"/>
    <n v="3264"/>
    <n v="0.05"/>
    <n v="3100.7999999999997"/>
  </r>
  <r>
    <x v="1727"/>
    <x v="317"/>
    <x v="3"/>
    <x v="3"/>
    <x v="0"/>
    <x v="0"/>
    <x v="10"/>
    <x v="7"/>
    <n v="2"/>
    <n v="40.28"/>
    <n v="0.08"/>
    <n v="74.115200000000002"/>
  </r>
  <r>
    <x v="1728"/>
    <x v="14"/>
    <x v="1"/>
    <x v="2"/>
    <x v="1"/>
    <x v="4"/>
    <x v="13"/>
    <x v="8"/>
    <n v="1"/>
    <n v="1590"/>
    <n v="0.05"/>
    <n v="1510.5"/>
  </r>
  <r>
    <x v="1729"/>
    <x v="352"/>
    <x v="3"/>
    <x v="0"/>
    <x v="1"/>
    <x v="2"/>
    <x v="2"/>
    <x v="11"/>
    <n v="2"/>
    <n v="20"/>
    <n v="0.03"/>
    <n v="38.799999999999997"/>
  </r>
  <r>
    <x v="1730"/>
    <x v="153"/>
    <x v="4"/>
    <x v="1"/>
    <x v="1"/>
    <x v="5"/>
    <x v="26"/>
    <x v="13"/>
    <n v="2"/>
    <n v="17.46"/>
    <n v="0.15"/>
    <n v="29.682000000000002"/>
  </r>
  <r>
    <x v="1731"/>
    <x v="263"/>
    <x v="4"/>
    <x v="0"/>
    <x v="1"/>
    <x v="0"/>
    <x v="10"/>
    <x v="13"/>
    <n v="3"/>
    <n v="38"/>
    <n v="0.1"/>
    <n v="102.60000000000001"/>
  </r>
  <r>
    <x v="1732"/>
    <x v="359"/>
    <x v="2"/>
    <x v="2"/>
    <x v="1"/>
    <x v="4"/>
    <x v="13"/>
    <x v="10"/>
    <n v="1"/>
    <n v="1590"/>
    <n v="0.15"/>
    <n v="1351.5"/>
  </r>
  <r>
    <x v="1733"/>
    <x v="86"/>
    <x v="3"/>
    <x v="0"/>
    <x v="1"/>
    <x v="1"/>
    <x v="8"/>
    <x v="11"/>
    <n v="1"/>
    <n v="450"/>
    <n v="0"/>
    <n v="450"/>
  </r>
  <r>
    <x v="1734"/>
    <x v="227"/>
    <x v="3"/>
    <x v="2"/>
    <x v="1"/>
    <x v="3"/>
    <x v="20"/>
    <x v="11"/>
    <n v="2"/>
    <n v="2600"/>
    <n v="0.05"/>
    <n v="4940"/>
  </r>
  <r>
    <x v="1735"/>
    <x v="33"/>
    <x v="0"/>
    <x v="0"/>
    <x v="1"/>
    <x v="0"/>
    <x v="14"/>
    <x v="0"/>
    <n v="1"/>
    <n v="55"/>
    <n v="0.2"/>
    <n v="44"/>
  </r>
  <r>
    <x v="1736"/>
    <x v="17"/>
    <x v="0"/>
    <x v="0"/>
    <x v="1"/>
    <x v="5"/>
    <x v="18"/>
    <x v="5"/>
    <n v="6"/>
    <n v="12"/>
    <n v="0"/>
    <n v="72"/>
  </r>
  <r>
    <x v="1737"/>
    <x v="345"/>
    <x v="3"/>
    <x v="1"/>
    <x v="0"/>
    <x v="0"/>
    <x v="0"/>
    <x v="7"/>
    <n v="4"/>
    <n v="15"/>
    <n v="0"/>
    <n v="60"/>
  </r>
  <r>
    <x v="1738"/>
    <x v="11"/>
    <x v="4"/>
    <x v="2"/>
    <x v="1"/>
    <x v="4"/>
    <x v="19"/>
    <x v="12"/>
    <n v="1"/>
    <n v="614.79999999999995"/>
    <n v="0.2"/>
    <n v="491.84"/>
  </r>
  <r>
    <x v="1739"/>
    <x v="279"/>
    <x v="2"/>
    <x v="1"/>
    <x v="1"/>
    <x v="5"/>
    <x v="18"/>
    <x v="10"/>
    <n v="6"/>
    <n v="12"/>
    <n v="0.08"/>
    <n v="66.240000000000009"/>
  </r>
  <r>
    <x v="1740"/>
    <x v="173"/>
    <x v="0"/>
    <x v="1"/>
    <x v="0"/>
    <x v="0"/>
    <x v="10"/>
    <x v="5"/>
    <n v="3"/>
    <n v="36.1"/>
    <n v="0"/>
    <n v="108.30000000000001"/>
  </r>
  <r>
    <x v="1741"/>
    <x v="238"/>
    <x v="2"/>
    <x v="1"/>
    <x v="1"/>
    <x v="0"/>
    <x v="10"/>
    <x v="10"/>
    <n v="3"/>
    <n v="38.76"/>
    <n v="0.08"/>
    <n v="106.97760000000001"/>
  </r>
  <r>
    <x v="1742"/>
    <x v="100"/>
    <x v="2"/>
    <x v="3"/>
    <x v="0"/>
    <x v="0"/>
    <x v="10"/>
    <x v="10"/>
    <n v="2"/>
    <n v="38"/>
    <n v="0.1"/>
    <n v="68.400000000000006"/>
  </r>
  <r>
    <x v="1743"/>
    <x v="175"/>
    <x v="1"/>
    <x v="0"/>
    <x v="1"/>
    <x v="1"/>
    <x v="5"/>
    <x v="1"/>
    <n v="3"/>
    <n v="332.8"/>
    <n v="0.08"/>
    <n v="918.52800000000013"/>
  </r>
  <r>
    <x v="1744"/>
    <x v="301"/>
    <x v="3"/>
    <x v="0"/>
    <x v="0"/>
    <x v="1"/>
    <x v="25"/>
    <x v="7"/>
    <n v="3"/>
    <n v="60"/>
    <n v="0.03"/>
    <n v="174.6"/>
  </r>
  <r>
    <x v="1745"/>
    <x v="17"/>
    <x v="2"/>
    <x v="2"/>
    <x v="1"/>
    <x v="5"/>
    <x v="24"/>
    <x v="3"/>
    <n v="9"/>
    <n v="35"/>
    <n v="0.2"/>
    <n v="252"/>
  </r>
  <r>
    <x v="1746"/>
    <x v="30"/>
    <x v="0"/>
    <x v="0"/>
    <x v="0"/>
    <x v="0"/>
    <x v="0"/>
    <x v="5"/>
    <n v="1"/>
    <n v="15.9"/>
    <n v="0.1"/>
    <n v="14.31"/>
  </r>
  <r>
    <x v="1747"/>
    <x v="278"/>
    <x v="2"/>
    <x v="0"/>
    <x v="1"/>
    <x v="1"/>
    <x v="5"/>
    <x v="3"/>
    <n v="1"/>
    <n v="326.39999999999998"/>
    <n v="0.03"/>
    <n v="316.60799999999995"/>
  </r>
  <r>
    <x v="1748"/>
    <x v="80"/>
    <x v="3"/>
    <x v="1"/>
    <x v="0"/>
    <x v="0"/>
    <x v="14"/>
    <x v="11"/>
    <n v="3"/>
    <n v="52.25"/>
    <n v="0.03"/>
    <n v="152.04749999999999"/>
  </r>
  <r>
    <x v="1749"/>
    <x v="215"/>
    <x v="0"/>
    <x v="3"/>
    <x v="1"/>
    <x v="0"/>
    <x v="6"/>
    <x v="2"/>
    <n v="1"/>
    <n v="43.65"/>
    <n v="0.03"/>
    <n v="42.340499999999999"/>
  </r>
  <r>
    <x v="1750"/>
    <x v="91"/>
    <x v="3"/>
    <x v="3"/>
    <x v="1"/>
    <x v="5"/>
    <x v="16"/>
    <x v="11"/>
    <n v="4"/>
    <n v="8"/>
    <n v="0.2"/>
    <n v="25.6"/>
  </r>
  <r>
    <x v="1751"/>
    <x v="238"/>
    <x v="0"/>
    <x v="3"/>
    <x v="1"/>
    <x v="4"/>
    <x v="13"/>
    <x v="2"/>
    <n v="1"/>
    <n v="1560"/>
    <n v="0.05"/>
    <n v="1482"/>
  </r>
  <r>
    <x v="1752"/>
    <x v="308"/>
    <x v="3"/>
    <x v="3"/>
    <x v="1"/>
    <x v="2"/>
    <x v="4"/>
    <x v="7"/>
    <n v="6"/>
    <n v="750"/>
    <n v="0.08"/>
    <n v="4140"/>
  </r>
  <r>
    <x v="1753"/>
    <x v="274"/>
    <x v="4"/>
    <x v="3"/>
    <x v="0"/>
    <x v="2"/>
    <x v="4"/>
    <x v="14"/>
    <n v="1"/>
    <n v="750"/>
    <n v="0.2"/>
    <n v="600"/>
  </r>
  <r>
    <x v="1754"/>
    <x v="330"/>
    <x v="3"/>
    <x v="1"/>
    <x v="1"/>
    <x v="0"/>
    <x v="0"/>
    <x v="7"/>
    <n v="6"/>
    <n v="14.25"/>
    <n v="0.03"/>
    <n v="82.935000000000002"/>
  </r>
  <r>
    <x v="1755"/>
    <x v="41"/>
    <x v="3"/>
    <x v="0"/>
    <x v="1"/>
    <x v="0"/>
    <x v="6"/>
    <x v="11"/>
    <n v="2"/>
    <n v="45"/>
    <n v="0.1"/>
    <n v="81"/>
  </r>
  <r>
    <x v="1756"/>
    <x v="193"/>
    <x v="2"/>
    <x v="2"/>
    <x v="0"/>
    <x v="4"/>
    <x v="13"/>
    <x v="10"/>
    <n v="2"/>
    <n v="1455"/>
    <n v="0.05"/>
    <n v="2764.5"/>
  </r>
  <r>
    <x v="1757"/>
    <x v="111"/>
    <x v="2"/>
    <x v="1"/>
    <x v="1"/>
    <x v="0"/>
    <x v="10"/>
    <x v="3"/>
    <n v="1"/>
    <n v="39.520000000000003"/>
    <n v="0.15"/>
    <n v="33.591999999999999"/>
  </r>
  <r>
    <x v="1758"/>
    <x v="207"/>
    <x v="2"/>
    <x v="2"/>
    <x v="1"/>
    <x v="0"/>
    <x v="10"/>
    <x v="4"/>
    <n v="7"/>
    <n v="38"/>
    <n v="0.1"/>
    <n v="239.4"/>
  </r>
  <r>
    <x v="1759"/>
    <x v="28"/>
    <x v="2"/>
    <x v="3"/>
    <x v="0"/>
    <x v="0"/>
    <x v="0"/>
    <x v="4"/>
    <n v="2"/>
    <n v="15.3"/>
    <n v="0.05"/>
    <n v="29.07"/>
  </r>
  <r>
    <x v="1760"/>
    <x v="13"/>
    <x v="1"/>
    <x v="0"/>
    <x v="1"/>
    <x v="4"/>
    <x v="17"/>
    <x v="9"/>
    <n v="1"/>
    <n v="742"/>
    <n v="0.05"/>
    <n v="704.9"/>
  </r>
  <r>
    <x v="1761"/>
    <x v="196"/>
    <x v="2"/>
    <x v="0"/>
    <x v="1"/>
    <x v="0"/>
    <x v="6"/>
    <x v="10"/>
    <n v="3"/>
    <n v="43.65"/>
    <n v="0.1"/>
    <n v="117.85499999999999"/>
  </r>
  <r>
    <x v="1762"/>
    <x v="204"/>
    <x v="2"/>
    <x v="0"/>
    <x v="1"/>
    <x v="4"/>
    <x v="17"/>
    <x v="3"/>
    <n v="1"/>
    <n v="728"/>
    <n v="0.05"/>
    <n v="691.6"/>
  </r>
  <r>
    <x v="1763"/>
    <x v="328"/>
    <x v="3"/>
    <x v="1"/>
    <x v="0"/>
    <x v="4"/>
    <x v="17"/>
    <x v="6"/>
    <n v="1"/>
    <n v="700"/>
    <n v="0.1"/>
    <n v="630"/>
  </r>
  <r>
    <x v="1764"/>
    <x v="91"/>
    <x v="4"/>
    <x v="2"/>
    <x v="1"/>
    <x v="3"/>
    <x v="21"/>
    <x v="13"/>
    <n v="1"/>
    <n v="3180"/>
    <n v="0.05"/>
    <n v="3021"/>
  </r>
  <r>
    <x v="1765"/>
    <x v="148"/>
    <x v="2"/>
    <x v="1"/>
    <x v="1"/>
    <x v="5"/>
    <x v="24"/>
    <x v="3"/>
    <n v="1"/>
    <n v="35"/>
    <n v="0.03"/>
    <n v="33.949999999999996"/>
  </r>
  <r>
    <x v="1766"/>
    <x v="360"/>
    <x v="2"/>
    <x v="1"/>
    <x v="1"/>
    <x v="4"/>
    <x v="13"/>
    <x v="10"/>
    <n v="1"/>
    <n v="1500"/>
    <n v="0"/>
    <n v="1500"/>
  </r>
  <r>
    <x v="1767"/>
    <x v="347"/>
    <x v="4"/>
    <x v="0"/>
    <x v="0"/>
    <x v="5"/>
    <x v="24"/>
    <x v="14"/>
    <n v="3"/>
    <n v="35"/>
    <n v="0.05"/>
    <n v="99.75"/>
  </r>
  <r>
    <x v="1768"/>
    <x v="123"/>
    <x v="2"/>
    <x v="0"/>
    <x v="1"/>
    <x v="4"/>
    <x v="13"/>
    <x v="3"/>
    <n v="2"/>
    <n v="1500"/>
    <n v="0.15"/>
    <n v="2550"/>
  </r>
  <r>
    <x v="1769"/>
    <x v="328"/>
    <x v="1"/>
    <x v="1"/>
    <x v="0"/>
    <x v="2"/>
    <x v="27"/>
    <x v="8"/>
    <n v="2"/>
    <n v="180"/>
    <n v="0.05"/>
    <n v="342"/>
  </r>
  <r>
    <x v="1770"/>
    <x v="116"/>
    <x v="3"/>
    <x v="0"/>
    <x v="1"/>
    <x v="3"/>
    <x v="20"/>
    <x v="11"/>
    <n v="1"/>
    <n v="2650"/>
    <n v="0.1"/>
    <n v="2385"/>
  </r>
  <r>
    <x v="1771"/>
    <x v="47"/>
    <x v="1"/>
    <x v="0"/>
    <x v="1"/>
    <x v="0"/>
    <x v="0"/>
    <x v="1"/>
    <n v="1"/>
    <n v="15.3"/>
    <n v="0.1"/>
    <n v="13.770000000000001"/>
  </r>
  <r>
    <x v="1772"/>
    <x v="326"/>
    <x v="0"/>
    <x v="1"/>
    <x v="1"/>
    <x v="0"/>
    <x v="10"/>
    <x v="2"/>
    <n v="1"/>
    <n v="36.86"/>
    <n v="0"/>
    <n v="36.86"/>
  </r>
  <r>
    <x v="1773"/>
    <x v="315"/>
    <x v="4"/>
    <x v="3"/>
    <x v="1"/>
    <x v="1"/>
    <x v="25"/>
    <x v="12"/>
    <n v="2"/>
    <n v="62.4"/>
    <n v="0.05"/>
    <n v="118.55999999999999"/>
  </r>
  <r>
    <x v="1774"/>
    <x v="101"/>
    <x v="3"/>
    <x v="2"/>
    <x v="1"/>
    <x v="2"/>
    <x v="2"/>
    <x v="6"/>
    <n v="5"/>
    <n v="20"/>
    <n v="0.05"/>
    <n v="95"/>
  </r>
  <r>
    <x v="1775"/>
    <x v="235"/>
    <x v="1"/>
    <x v="1"/>
    <x v="1"/>
    <x v="4"/>
    <x v="11"/>
    <x v="1"/>
    <n v="1"/>
    <n v="850"/>
    <n v="0.05"/>
    <n v="807.5"/>
  </r>
  <r>
    <x v="1776"/>
    <x v="58"/>
    <x v="3"/>
    <x v="0"/>
    <x v="1"/>
    <x v="1"/>
    <x v="5"/>
    <x v="7"/>
    <n v="1"/>
    <n v="320"/>
    <n v="0.08"/>
    <n v="294.40000000000003"/>
  </r>
  <r>
    <x v="1777"/>
    <x v="98"/>
    <x v="0"/>
    <x v="2"/>
    <x v="0"/>
    <x v="4"/>
    <x v="13"/>
    <x v="0"/>
    <n v="1"/>
    <n v="1455"/>
    <n v="0.03"/>
    <n v="1411.35"/>
  </r>
  <r>
    <x v="1778"/>
    <x v="129"/>
    <x v="1"/>
    <x v="0"/>
    <x v="1"/>
    <x v="0"/>
    <x v="14"/>
    <x v="8"/>
    <n v="2"/>
    <n v="52.25"/>
    <n v="0.05"/>
    <n v="99.274999999999991"/>
  </r>
  <r>
    <x v="1779"/>
    <x v="247"/>
    <x v="0"/>
    <x v="2"/>
    <x v="1"/>
    <x v="4"/>
    <x v="11"/>
    <x v="2"/>
    <n v="1"/>
    <n v="850"/>
    <n v="0"/>
    <n v="850"/>
  </r>
  <r>
    <x v="1780"/>
    <x v="75"/>
    <x v="3"/>
    <x v="1"/>
    <x v="0"/>
    <x v="5"/>
    <x v="18"/>
    <x v="7"/>
    <n v="5"/>
    <n v="11.4"/>
    <n v="0"/>
    <n v="57"/>
  </r>
  <r>
    <x v="1781"/>
    <x v="49"/>
    <x v="2"/>
    <x v="0"/>
    <x v="1"/>
    <x v="4"/>
    <x v="17"/>
    <x v="10"/>
    <n v="2"/>
    <n v="714"/>
    <n v="0.1"/>
    <n v="1285.2"/>
  </r>
  <r>
    <x v="1782"/>
    <x v="334"/>
    <x v="0"/>
    <x v="3"/>
    <x v="1"/>
    <x v="4"/>
    <x v="17"/>
    <x v="0"/>
    <n v="4"/>
    <n v="679"/>
    <n v="0.08"/>
    <n v="2498.7200000000003"/>
  </r>
  <r>
    <x v="1783"/>
    <x v="189"/>
    <x v="1"/>
    <x v="0"/>
    <x v="1"/>
    <x v="3"/>
    <x v="20"/>
    <x v="8"/>
    <n v="1"/>
    <n v="2425"/>
    <n v="0.15"/>
    <n v="2061.25"/>
  </r>
  <r>
    <x v="1784"/>
    <x v="216"/>
    <x v="2"/>
    <x v="3"/>
    <x v="0"/>
    <x v="3"/>
    <x v="20"/>
    <x v="3"/>
    <n v="2"/>
    <n v="2375"/>
    <n v="0.03"/>
    <n v="4607.5"/>
  </r>
  <r>
    <x v="1785"/>
    <x v="237"/>
    <x v="4"/>
    <x v="2"/>
    <x v="0"/>
    <x v="3"/>
    <x v="7"/>
    <x v="12"/>
    <n v="1"/>
    <n v="4368"/>
    <n v="0.1"/>
    <n v="3931.2000000000003"/>
  </r>
  <r>
    <x v="1786"/>
    <x v="119"/>
    <x v="1"/>
    <x v="0"/>
    <x v="1"/>
    <x v="2"/>
    <x v="2"/>
    <x v="8"/>
    <n v="3"/>
    <n v="20"/>
    <n v="0.05"/>
    <n v="57"/>
  </r>
  <r>
    <x v="1787"/>
    <x v="218"/>
    <x v="3"/>
    <x v="2"/>
    <x v="1"/>
    <x v="2"/>
    <x v="27"/>
    <x v="6"/>
    <n v="3"/>
    <n v="180"/>
    <n v="0.05"/>
    <n v="513"/>
  </r>
  <r>
    <x v="1788"/>
    <x v="45"/>
    <x v="4"/>
    <x v="0"/>
    <x v="1"/>
    <x v="1"/>
    <x v="25"/>
    <x v="12"/>
    <n v="1"/>
    <n v="57"/>
    <n v="0.1"/>
    <n v="51.300000000000004"/>
  </r>
  <r>
    <x v="1789"/>
    <x v="83"/>
    <x v="4"/>
    <x v="0"/>
    <x v="1"/>
    <x v="1"/>
    <x v="5"/>
    <x v="13"/>
    <n v="1"/>
    <n v="320"/>
    <n v="0.08"/>
    <n v="294.40000000000003"/>
  </r>
  <r>
    <x v="1790"/>
    <x v="16"/>
    <x v="2"/>
    <x v="0"/>
    <x v="0"/>
    <x v="4"/>
    <x v="19"/>
    <x v="10"/>
    <n v="1"/>
    <n v="580"/>
    <n v="0"/>
    <n v="580"/>
  </r>
  <r>
    <x v="1791"/>
    <x v="60"/>
    <x v="4"/>
    <x v="1"/>
    <x v="1"/>
    <x v="0"/>
    <x v="14"/>
    <x v="14"/>
    <n v="2"/>
    <n v="58.3"/>
    <n v="0.1"/>
    <n v="104.94"/>
  </r>
  <r>
    <x v="1792"/>
    <x v="177"/>
    <x v="0"/>
    <x v="1"/>
    <x v="0"/>
    <x v="5"/>
    <x v="18"/>
    <x v="0"/>
    <n v="1"/>
    <n v="11.4"/>
    <n v="0.1"/>
    <n v="10.26"/>
  </r>
  <r>
    <x v="1793"/>
    <x v="324"/>
    <x v="3"/>
    <x v="3"/>
    <x v="1"/>
    <x v="4"/>
    <x v="13"/>
    <x v="11"/>
    <n v="1"/>
    <n v="1590"/>
    <n v="0"/>
    <n v="1590"/>
  </r>
  <r>
    <x v="1794"/>
    <x v="104"/>
    <x v="2"/>
    <x v="0"/>
    <x v="0"/>
    <x v="0"/>
    <x v="12"/>
    <x v="10"/>
    <n v="1"/>
    <n v="76"/>
    <n v="0.08"/>
    <n v="69.92"/>
  </r>
  <r>
    <x v="1795"/>
    <x v="113"/>
    <x v="4"/>
    <x v="3"/>
    <x v="0"/>
    <x v="5"/>
    <x v="26"/>
    <x v="12"/>
    <n v="3"/>
    <n v="18"/>
    <n v="0.08"/>
    <n v="49.68"/>
  </r>
  <r>
    <x v="1796"/>
    <x v="215"/>
    <x v="3"/>
    <x v="1"/>
    <x v="1"/>
    <x v="4"/>
    <x v="13"/>
    <x v="7"/>
    <n v="1"/>
    <n v="1560"/>
    <n v="0.1"/>
    <n v="1404"/>
  </r>
  <r>
    <x v="1797"/>
    <x v="357"/>
    <x v="3"/>
    <x v="0"/>
    <x v="0"/>
    <x v="4"/>
    <x v="17"/>
    <x v="6"/>
    <n v="3"/>
    <n v="700"/>
    <n v="0.08"/>
    <n v="1932"/>
  </r>
  <r>
    <x v="1798"/>
    <x v="309"/>
    <x v="3"/>
    <x v="0"/>
    <x v="0"/>
    <x v="0"/>
    <x v="12"/>
    <x v="11"/>
    <n v="2"/>
    <n v="81.599999999999994"/>
    <n v="0.08"/>
    <n v="150.14400000000001"/>
  </r>
  <r>
    <x v="1799"/>
    <x v="62"/>
    <x v="1"/>
    <x v="2"/>
    <x v="1"/>
    <x v="4"/>
    <x v="11"/>
    <x v="1"/>
    <n v="2"/>
    <n v="901"/>
    <n v="0.2"/>
    <n v="1441.6000000000001"/>
  </r>
  <r>
    <x v="1800"/>
    <x v="347"/>
    <x v="2"/>
    <x v="0"/>
    <x v="1"/>
    <x v="2"/>
    <x v="3"/>
    <x v="4"/>
    <n v="4"/>
    <n v="280"/>
    <n v="0.2"/>
    <n v="896"/>
  </r>
  <r>
    <x v="1801"/>
    <x v="226"/>
    <x v="0"/>
    <x v="0"/>
    <x v="1"/>
    <x v="2"/>
    <x v="3"/>
    <x v="2"/>
    <n v="5"/>
    <n v="296.8"/>
    <n v="0.15"/>
    <n v="1261.3999999999999"/>
  </r>
  <r>
    <x v="1802"/>
    <x v="138"/>
    <x v="3"/>
    <x v="3"/>
    <x v="1"/>
    <x v="3"/>
    <x v="21"/>
    <x v="11"/>
    <n v="1"/>
    <n v="3000"/>
    <n v="0.03"/>
    <n v="2910"/>
  </r>
  <r>
    <x v="1803"/>
    <x v="118"/>
    <x v="0"/>
    <x v="1"/>
    <x v="0"/>
    <x v="0"/>
    <x v="14"/>
    <x v="5"/>
    <n v="4"/>
    <n v="57.2"/>
    <n v="0"/>
    <n v="228.8"/>
  </r>
  <r>
    <x v="1804"/>
    <x v="144"/>
    <x v="2"/>
    <x v="3"/>
    <x v="0"/>
    <x v="0"/>
    <x v="22"/>
    <x v="3"/>
    <n v="4"/>
    <n v="67.599999999999994"/>
    <n v="0.1"/>
    <n v="243.35999999999999"/>
  </r>
  <r>
    <x v="1805"/>
    <x v="304"/>
    <x v="4"/>
    <x v="3"/>
    <x v="1"/>
    <x v="1"/>
    <x v="8"/>
    <x v="14"/>
    <n v="1"/>
    <n v="450"/>
    <n v="0.05"/>
    <n v="427.5"/>
  </r>
  <r>
    <x v="1806"/>
    <x v="321"/>
    <x v="3"/>
    <x v="0"/>
    <x v="1"/>
    <x v="4"/>
    <x v="13"/>
    <x v="6"/>
    <n v="1"/>
    <n v="1425"/>
    <n v="0"/>
    <n v="1425"/>
  </r>
  <r>
    <x v="1807"/>
    <x v="151"/>
    <x v="1"/>
    <x v="0"/>
    <x v="1"/>
    <x v="3"/>
    <x v="21"/>
    <x v="9"/>
    <n v="1"/>
    <n v="3060"/>
    <n v="0.08"/>
    <n v="2815.2000000000003"/>
  </r>
  <r>
    <x v="1808"/>
    <x v="76"/>
    <x v="3"/>
    <x v="1"/>
    <x v="1"/>
    <x v="0"/>
    <x v="12"/>
    <x v="11"/>
    <n v="2"/>
    <n v="81.599999999999994"/>
    <n v="0.03"/>
    <n v="158.30399999999997"/>
  </r>
  <r>
    <x v="1809"/>
    <x v="267"/>
    <x v="4"/>
    <x v="0"/>
    <x v="1"/>
    <x v="4"/>
    <x v="19"/>
    <x v="12"/>
    <n v="1"/>
    <n v="603.20000000000005"/>
    <n v="0.08"/>
    <n v="554.94400000000007"/>
  </r>
  <r>
    <x v="1810"/>
    <x v="232"/>
    <x v="1"/>
    <x v="0"/>
    <x v="1"/>
    <x v="1"/>
    <x v="5"/>
    <x v="9"/>
    <n v="3"/>
    <n v="320"/>
    <n v="0"/>
    <n v="960"/>
  </r>
  <r>
    <x v="1811"/>
    <x v="317"/>
    <x v="3"/>
    <x v="1"/>
    <x v="0"/>
    <x v="4"/>
    <x v="13"/>
    <x v="7"/>
    <n v="1"/>
    <n v="1560"/>
    <n v="0.05"/>
    <n v="1482"/>
  </r>
  <r>
    <x v="1812"/>
    <x v="113"/>
    <x v="0"/>
    <x v="0"/>
    <x v="1"/>
    <x v="0"/>
    <x v="22"/>
    <x v="5"/>
    <n v="2"/>
    <n v="61.75"/>
    <n v="0"/>
    <n v="123.5"/>
  </r>
  <r>
    <x v="1813"/>
    <x v="262"/>
    <x v="2"/>
    <x v="2"/>
    <x v="0"/>
    <x v="3"/>
    <x v="15"/>
    <x v="10"/>
    <n v="1"/>
    <n v="3200"/>
    <n v="0.1"/>
    <n v="2880"/>
  </r>
  <r>
    <x v="1814"/>
    <x v="353"/>
    <x v="1"/>
    <x v="3"/>
    <x v="1"/>
    <x v="0"/>
    <x v="0"/>
    <x v="1"/>
    <n v="1"/>
    <n v="14.55"/>
    <n v="0.03"/>
    <n v="14.1135"/>
  </r>
  <r>
    <x v="1815"/>
    <x v="342"/>
    <x v="0"/>
    <x v="1"/>
    <x v="1"/>
    <x v="0"/>
    <x v="10"/>
    <x v="5"/>
    <n v="5"/>
    <n v="38"/>
    <n v="0.05"/>
    <n v="180.5"/>
  </r>
  <r>
    <x v="1816"/>
    <x v="273"/>
    <x v="4"/>
    <x v="0"/>
    <x v="1"/>
    <x v="0"/>
    <x v="10"/>
    <x v="14"/>
    <n v="3"/>
    <n v="38"/>
    <n v="0"/>
    <n v="114"/>
  </r>
  <r>
    <x v="1817"/>
    <x v="129"/>
    <x v="2"/>
    <x v="3"/>
    <x v="0"/>
    <x v="5"/>
    <x v="18"/>
    <x v="10"/>
    <n v="2"/>
    <n v="12.72"/>
    <n v="0.08"/>
    <n v="23.404800000000002"/>
  </r>
  <r>
    <x v="1818"/>
    <x v="25"/>
    <x v="4"/>
    <x v="2"/>
    <x v="1"/>
    <x v="4"/>
    <x v="17"/>
    <x v="14"/>
    <n v="2"/>
    <n v="700"/>
    <n v="0.03"/>
    <n v="1358"/>
  </r>
  <r>
    <x v="1819"/>
    <x v="85"/>
    <x v="4"/>
    <x v="0"/>
    <x v="1"/>
    <x v="1"/>
    <x v="1"/>
    <x v="13"/>
    <n v="1"/>
    <n v="90"/>
    <n v="0.03"/>
    <n v="87.3"/>
  </r>
  <r>
    <x v="1820"/>
    <x v="228"/>
    <x v="2"/>
    <x v="0"/>
    <x v="0"/>
    <x v="0"/>
    <x v="6"/>
    <x v="4"/>
    <n v="4"/>
    <n v="45"/>
    <n v="0.15"/>
    <n v="153"/>
  </r>
  <r>
    <x v="1821"/>
    <x v="319"/>
    <x v="3"/>
    <x v="0"/>
    <x v="1"/>
    <x v="4"/>
    <x v="17"/>
    <x v="7"/>
    <n v="2"/>
    <n v="700"/>
    <n v="0.05"/>
    <n v="1330"/>
  </r>
  <r>
    <x v="1822"/>
    <x v="133"/>
    <x v="2"/>
    <x v="2"/>
    <x v="0"/>
    <x v="3"/>
    <x v="7"/>
    <x v="4"/>
    <n v="1"/>
    <n v="4368"/>
    <n v="0.1"/>
    <n v="3931.2000000000003"/>
  </r>
  <r>
    <x v="1823"/>
    <x v="307"/>
    <x v="2"/>
    <x v="0"/>
    <x v="0"/>
    <x v="0"/>
    <x v="10"/>
    <x v="10"/>
    <n v="3"/>
    <n v="38"/>
    <n v="0"/>
    <n v="114"/>
  </r>
  <r>
    <x v="1824"/>
    <x v="17"/>
    <x v="2"/>
    <x v="3"/>
    <x v="0"/>
    <x v="5"/>
    <x v="18"/>
    <x v="10"/>
    <n v="6"/>
    <n v="11.4"/>
    <n v="0.08"/>
    <n v="62.928000000000011"/>
  </r>
  <r>
    <x v="1825"/>
    <x v="61"/>
    <x v="3"/>
    <x v="0"/>
    <x v="1"/>
    <x v="1"/>
    <x v="8"/>
    <x v="11"/>
    <n v="2"/>
    <n v="427.5"/>
    <n v="0.08"/>
    <n v="786.6"/>
  </r>
  <r>
    <x v="1826"/>
    <x v="142"/>
    <x v="0"/>
    <x v="3"/>
    <x v="1"/>
    <x v="0"/>
    <x v="12"/>
    <x v="2"/>
    <n v="6"/>
    <n v="80"/>
    <n v="0.08"/>
    <n v="441.6"/>
  </r>
  <r>
    <x v="1827"/>
    <x v="39"/>
    <x v="3"/>
    <x v="0"/>
    <x v="1"/>
    <x v="2"/>
    <x v="3"/>
    <x v="7"/>
    <n v="3"/>
    <n v="285.60000000000002"/>
    <n v="0.15"/>
    <n v="728.28000000000009"/>
  </r>
  <r>
    <x v="1828"/>
    <x v="129"/>
    <x v="3"/>
    <x v="1"/>
    <x v="1"/>
    <x v="0"/>
    <x v="14"/>
    <x v="6"/>
    <n v="7"/>
    <n v="55"/>
    <n v="0.03"/>
    <n v="373.45"/>
  </r>
  <r>
    <x v="1829"/>
    <x v="35"/>
    <x v="1"/>
    <x v="0"/>
    <x v="1"/>
    <x v="1"/>
    <x v="5"/>
    <x v="8"/>
    <n v="4"/>
    <n v="310.39999999999998"/>
    <n v="0.1"/>
    <n v="1117.44"/>
  </r>
  <r>
    <x v="1830"/>
    <x v="125"/>
    <x v="3"/>
    <x v="1"/>
    <x v="1"/>
    <x v="5"/>
    <x v="16"/>
    <x v="7"/>
    <n v="2"/>
    <n v="8.48"/>
    <n v="0.2"/>
    <n v="13.568000000000001"/>
  </r>
  <r>
    <x v="1831"/>
    <x v="154"/>
    <x v="4"/>
    <x v="3"/>
    <x v="1"/>
    <x v="0"/>
    <x v="6"/>
    <x v="12"/>
    <n v="4"/>
    <n v="46.8"/>
    <n v="0.1"/>
    <n v="168.48"/>
  </r>
  <r>
    <x v="1832"/>
    <x v="344"/>
    <x v="3"/>
    <x v="1"/>
    <x v="0"/>
    <x v="1"/>
    <x v="25"/>
    <x v="11"/>
    <n v="4"/>
    <n v="60"/>
    <n v="0.05"/>
    <n v="228"/>
  </r>
  <r>
    <x v="1833"/>
    <x v="306"/>
    <x v="4"/>
    <x v="1"/>
    <x v="1"/>
    <x v="0"/>
    <x v="12"/>
    <x v="13"/>
    <n v="3"/>
    <n v="83.2"/>
    <n v="0.05"/>
    <n v="237.12"/>
  </r>
  <r>
    <x v="1834"/>
    <x v="158"/>
    <x v="4"/>
    <x v="1"/>
    <x v="1"/>
    <x v="0"/>
    <x v="0"/>
    <x v="12"/>
    <n v="4"/>
    <n v="15"/>
    <n v="0.05"/>
    <n v="57"/>
  </r>
  <r>
    <x v="1835"/>
    <x v="64"/>
    <x v="1"/>
    <x v="2"/>
    <x v="1"/>
    <x v="3"/>
    <x v="15"/>
    <x v="8"/>
    <n v="1"/>
    <n v="3200"/>
    <n v="0.05"/>
    <n v="3040"/>
  </r>
  <r>
    <x v="1836"/>
    <x v="74"/>
    <x v="3"/>
    <x v="0"/>
    <x v="0"/>
    <x v="1"/>
    <x v="1"/>
    <x v="6"/>
    <n v="4"/>
    <n v="85.5"/>
    <n v="0.08"/>
    <n v="314.64"/>
  </r>
  <r>
    <x v="1837"/>
    <x v="343"/>
    <x v="2"/>
    <x v="0"/>
    <x v="1"/>
    <x v="1"/>
    <x v="1"/>
    <x v="10"/>
    <n v="3"/>
    <n v="93.6"/>
    <n v="0.2"/>
    <n v="224.64"/>
  </r>
  <r>
    <x v="1838"/>
    <x v="192"/>
    <x v="1"/>
    <x v="1"/>
    <x v="1"/>
    <x v="4"/>
    <x v="17"/>
    <x v="8"/>
    <n v="2"/>
    <n v="700"/>
    <n v="0.05"/>
    <n v="1330"/>
  </r>
  <r>
    <x v="1839"/>
    <x v="201"/>
    <x v="3"/>
    <x v="0"/>
    <x v="0"/>
    <x v="2"/>
    <x v="4"/>
    <x v="11"/>
    <n v="1"/>
    <n v="750"/>
    <n v="0.05"/>
    <n v="712.5"/>
  </r>
  <r>
    <x v="1840"/>
    <x v="25"/>
    <x v="3"/>
    <x v="0"/>
    <x v="1"/>
    <x v="4"/>
    <x v="19"/>
    <x v="6"/>
    <n v="1"/>
    <n v="603.20000000000005"/>
    <n v="0.1"/>
    <n v="542.88000000000011"/>
  </r>
  <r>
    <x v="1841"/>
    <x v="191"/>
    <x v="2"/>
    <x v="1"/>
    <x v="1"/>
    <x v="4"/>
    <x v="17"/>
    <x v="10"/>
    <n v="1"/>
    <n v="665"/>
    <n v="0"/>
    <n v="665"/>
  </r>
  <r>
    <x v="1842"/>
    <x v="338"/>
    <x v="3"/>
    <x v="0"/>
    <x v="1"/>
    <x v="4"/>
    <x v="19"/>
    <x v="7"/>
    <n v="3"/>
    <n v="551"/>
    <n v="0"/>
    <n v="1653"/>
  </r>
  <r>
    <x v="1843"/>
    <x v="202"/>
    <x v="1"/>
    <x v="2"/>
    <x v="0"/>
    <x v="2"/>
    <x v="4"/>
    <x v="8"/>
    <n v="5"/>
    <n v="712.5"/>
    <n v="0.05"/>
    <n v="3384.375"/>
  </r>
  <r>
    <x v="1844"/>
    <x v="166"/>
    <x v="1"/>
    <x v="1"/>
    <x v="1"/>
    <x v="5"/>
    <x v="23"/>
    <x v="1"/>
    <n v="2"/>
    <n v="25.5"/>
    <n v="0.15"/>
    <n v="43.35"/>
  </r>
  <r>
    <x v="1845"/>
    <x v="32"/>
    <x v="1"/>
    <x v="0"/>
    <x v="0"/>
    <x v="0"/>
    <x v="6"/>
    <x v="9"/>
    <n v="4"/>
    <n v="45.9"/>
    <n v="0.08"/>
    <n v="168.91200000000001"/>
  </r>
  <r>
    <x v="1846"/>
    <x v="121"/>
    <x v="0"/>
    <x v="0"/>
    <x v="0"/>
    <x v="2"/>
    <x v="2"/>
    <x v="5"/>
    <n v="2"/>
    <n v="20.8"/>
    <n v="0.05"/>
    <n v="39.519999999999996"/>
  </r>
  <r>
    <x v="1847"/>
    <x v="142"/>
    <x v="3"/>
    <x v="2"/>
    <x v="1"/>
    <x v="3"/>
    <x v="7"/>
    <x v="7"/>
    <n v="1"/>
    <n v="3990"/>
    <n v="0.08"/>
    <n v="3670.8"/>
  </r>
  <r>
    <x v="1848"/>
    <x v="282"/>
    <x v="2"/>
    <x v="1"/>
    <x v="1"/>
    <x v="1"/>
    <x v="8"/>
    <x v="3"/>
    <n v="1"/>
    <n v="427.5"/>
    <n v="0.15"/>
    <n v="363.375"/>
  </r>
  <r>
    <x v="1849"/>
    <x v="323"/>
    <x v="2"/>
    <x v="0"/>
    <x v="1"/>
    <x v="3"/>
    <x v="9"/>
    <x v="3"/>
    <n v="1"/>
    <n v="1800"/>
    <n v="0.15"/>
    <n v="1530"/>
  </r>
  <r>
    <x v="1850"/>
    <x v="277"/>
    <x v="4"/>
    <x v="1"/>
    <x v="1"/>
    <x v="3"/>
    <x v="9"/>
    <x v="13"/>
    <n v="1"/>
    <n v="1800"/>
    <n v="0"/>
    <n v="1800"/>
  </r>
  <r>
    <x v="1851"/>
    <x v="163"/>
    <x v="2"/>
    <x v="3"/>
    <x v="1"/>
    <x v="3"/>
    <x v="7"/>
    <x v="10"/>
    <n v="1"/>
    <n v="4200"/>
    <n v="0.05"/>
    <n v="3990"/>
  </r>
  <r>
    <x v="1852"/>
    <x v="160"/>
    <x v="2"/>
    <x v="1"/>
    <x v="0"/>
    <x v="0"/>
    <x v="0"/>
    <x v="3"/>
    <n v="2"/>
    <n v="15"/>
    <n v="0"/>
    <n v="30"/>
  </r>
  <r>
    <x v="1853"/>
    <x v="216"/>
    <x v="4"/>
    <x v="1"/>
    <x v="1"/>
    <x v="3"/>
    <x v="21"/>
    <x v="13"/>
    <n v="1"/>
    <n v="3000"/>
    <n v="0.03"/>
    <n v="2910"/>
  </r>
  <r>
    <x v="1854"/>
    <x v="145"/>
    <x v="2"/>
    <x v="0"/>
    <x v="0"/>
    <x v="5"/>
    <x v="18"/>
    <x v="10"/>
    <n v="2"/>
    <n v="12"/>
    <n v="0.05"/>
    <n v="22.799999999999997"/>
  </r>
  <r>
    <x v="1855"/>
    <x v="259"/>
    <x v="3"/>
    <x v="1"/>
    <x v="0"/>
    <x v="3"/>
    <x v="20"/>
    <x v="6"/>
    <n v="3"/>
    <n v="2500"/>
    <n v="0.15"/>
    <n v="6375"/>
  </r>
  <r>
    <x v="1856"/>
    <x v="129"/>
    <x v="1"/>
    <x v="3"/>
    <x v="1"/>
    <x v="1"/>
    <x v="1"/>
    <x v="8"/>
    <n v="1"/>
    <n v="95.4"/>
    <n v="0.15"/>
    <n v="81.09"/>
  </r>
  <r>
    <x v="1857"/>
    <x v="352"/>
    <x v="4"/>
    <x v="0"/>
    <x v="0"/>
    <x v="1"/>
    <x v="25"/>
    <x v="13"/>
    <n v="1"/>
    <n v="60"/>
    <n v="0.08"/>
    <n v="55.2"/>
  </r>
  <r>
    <x v="1858"/>
    <x v="28"/>
    <x v="2"/>
    <x v="3"/>
    <x v="0"/>
    <x v="0"/>
    <x v="12"/>
    <x v="3"/>
    <n v="2"/>
    <n v="81.599999999999994"/>
    <n v="0.08"/>
    <n v="150.14400000000001"/>
  </r>
  <r>
    <x v="1859"/>
    <x v="294"/>
    <x v="3"/>
    <x v="1"/>
    <x v="1"/>
    <x v="3"/>
    <x v="21"/>
    <x v="11"/>
    <n v="1"/>
    <n v="2910"/>
    <n v="0.05"/>
    <n v="2764.5"/>
  </r>
  <r>
    <x v="1860"/>
    <x v="170"/>
    <x v="4"/>
    <x v="0"/>
    <x v="1"/>
    <x v="0"/>
    <x v="12"/>
    <x v="14"/>
    <n v="1"/>
    <n v="80"/>
    <n v="0.15"/>
    <n v="68"/>
  </r>
  <r>
    <x v="1861"/>
    <x v="167"/>
    <x v="4"/>
    <x v="3"/>
    <x v="1"/>
    <x v="0"/>
    <x v="10"/>
    <x v="12"/>
    <n v="1"/>
    <n v="38"/>
    <n v="0.03"/>
    <n v="36.86"/>
  </r>
  <r>
    <x v="1862"/>
    <x v="52"/>
    <x v="2"/>
    <x v="1"/>
    <x v="1"/>
    <x v="5"/>
    <x v="23"/>
    <x v="4"/>
    <n v="1"/>
    <n v="25"/>
    <n v="0.08"/>
    <n v="23"/>
  </r>
  <r>
    <x v="1863"/>
    <x v="83"/>
    <x v="3"/>
    <x v="1"/>
    <x v="1"/>
    <x v="5"/>
    <x v="16"/>
    <x v="7"/>
    <n v="2"/>
    <n v="7.76"/>
    <n v="0.03"/>
    <n v="15.054399999999999"/>
  </r>
  <r>
    <x v="1864"/>
    <x v="231"/>
    <x v="4"/>
    <x v="1"/>
    <x v="0"/>
    <x v="1"/>
    <x v="25"/>
    <x v="14"/>
    <n v="1"/>
    <n v="60"/>
    <n v="0.1"/>
    <n v="54"/>
  </r>
  <r>
    <x v="1865"/>
    <x v="219"/>
    <x v="2"/>
    <x v="0"/>
    <x v="0"/>
    <x v="5"/>
    <x v="16"/>
    <x v="10"/>
    <n v="1"/>
    <n v="7.6"/>
    <n v="0.05"/>
    <n v="7.22"/>
  </r>
  <r>
    <x v="1866"/>
    <x v="219"/>
    <x v="1"/>
    <x v="0"/>
    <x v="1"/>
    <x v="4"/>
    <x v="17"/>
    <x v="8"/>
    <n v="2"/>
    <n v="742"/>
    <n v="0.15"/>
    <n v="1261.3999999999999"/>
  </r>
  <r>
    <x v="1867"/>
    <x v="297"/>
    <x v="3"/>
    <x v="3"/>
    <x v="0"/>
    <x v="5"/>
    <x v="18"/>
    <x v="11"/>
    <n v="6"/>
    <n v="12"/>
    <n v="0.1"/>
    <n v="64.8"/>
  </r>
  <r>
    <x v="1868"/>
    <x v="150"/>
    <x v="4"/>
    <x v="1"/>
    <x v="1"/>
    <x v="5"/>
    <x v="23"/>
    <x v="14"/>
    <n v="1"/>
    <n v="24.25"/>
    <n v="0.08"/>
    <n v="22.310000000000002"/>
  </r>
  <r>
    <x v="1869"/>
    <x v="328"/>
    <x v="2"/>
    <x v="3"/>
    <x v="1"/>
    <x v="1"/>
    <x v="25"/>
    <x v="4"/>
    <n v="1"/>
    <n v="60"/>
    <n v="0.03"/>
    <n v="58.199999999999996"/>
  </r>
  <r>
    <x v="1870"/>
    <x v="15"/>
    <x v="4"/>
    <x v="0"/>
    <x v="1"/>
    <x v="3"/>
    <x v="21"/>
    <x v="12"/>
    <n v="1"/>
    <n v="3000"/>
    <n v="0.2"/>
    <n v="2400"/>
  </r>
  <r>
    <x v="1871"/>
    <x v="346"/>
    <x v="1"/>
    <x v="1"/>
    <x v="1"/>
    <x v="5"/>
    <x v="26"/>
    <x v="8"/>
    <n v="3"/>
    <n v="18.36"/>
    <n v="0.08"/>
    <n v="50.6736"/>
  </r>
  <r>
    <x v="1872"/>
    <x v="88"/>
    <x v="0"/>
    <x v="3"/>
    <x v="0"/>
    <x v="0"/>
    <x v="14"/>
    <x v="5"/>
    <n v="4"/>
    <n v="58.3"/>
    <n v="0.08"/>
    <n v="214.54400000000001"/>
  </r>
  <r>
    <x v="1873"/>
    <x v="145"/>
    <x v="2"/>
    <x v="0"/>
    <x v="1"/>
    <x v="0"/>
    <x v="12"/>
    <x v="3"/>
    <n v="6"/>
    <n v="84.8"/>
    <n v="0.08"/>
    <n v="468.096"/>
  </r>
  <r>
    <x v="1874"/>
    <x v="302"/>
    <x v="4"/>
    <x v="3"/>
    <x v="1"/>
    <x v="5"/>
    <x v="24"/>
    <x v="13"/>
    <n v="2"/>
    <n v="35"/>
    <n v="0.1"/>
    <n v="63"/>
  </r>
  <r>
    <x v="1875"/>
    <x v="273"/>
    <x v="3"/>
    <x v="0"/>
    <x v="0"/>
    <x v="0"/>
    <x v="6"/>
    <x v="11"/>
    <n v="3"/>
    <n v="45"/>
    <n v="0.03"/>
    <n v="130.94999999999999"/>
  </r>
  <r>
    <x v="1876"/>
    <x v="49"/>
    <x v="0"/>
    <x v="1"/>
    <x v="1"/>
    <x v="2"/>
    <x v="3"/>
    <x v="0"/>
    <n v="7"/>
    <n v="280"/>
    <n v="0.05"/>
    <n v="1862"/>
  </r>
  <r>
    <x v="1877"/>
    <x v="29"/>
    <x v="0"/>
    <x v="1"/>
    <x v="1"/>
    <x v="2"/>
    <x v="4"/>
    <x v="2"/>
    <n v="2"/>
    <n v="727.5"/>
    <n v="0.1"/>
    <n v="1309.5"/>
  </r>
  <r>
    <x v="1878"/>
    <x v="70"/>
    <x v="3"/>
    <x v="3"/>
    <x v="1"/>
    <x v="0"/>
    <x v="10"/>
    <x v="7"/>
    <n v="3"/>
    <n v="36.86"/>
    <n v="0.1"/>
    <n v="99.522000000000006"/>
  </r>
  <r>
    <x v="1879"/>
    <x v="149"/>
    <x v="2"/>
    <x v="2"/>
    <x v="1"/>
    <x v="0"/>
    <x v="0"/>
    <x v="10"/>
    <n v="4"/>
    <n v="15.3"/>
    <n v="0.1"/>
    <n v="55.080000000000005"/>
  </r>
  <r>
    <x v="1880"/>
    <x v="215"/>
    <x v="2"/>
    <x v="0"/>
    <x v="1"/>
    <x v="0"/>
    <x v="12"/>
    <x v="3"/>
    <n v="5"/>
    <n v="80"/>
    <n v="0.2"/>
    <n v="320"/>
  </r>
  <r>
    <x v="1881"/>
    <x v="121"/>
    <x v="4"/>
    <x v="0"/>
    <x v="1"/>
    <x v="0"/>
    <x v="6"/>
    <x v="12"/>
    <n v="5"/>
    <n v="45.9"/>
    <n v="0.1"/>
    <n v="206.55"/>
  </r>
  <r>
    <x v="1882"/>
    <x v="230"/>
    <x v="4"/>
    <x v="0"/>
    <x v="0"/>
    <x v="0"/>
    <x v="14"/>
    <x v="12"/>
    <n v="2"/>
    <n v="55"/>
    <n v="0.15"/>
    <n v="93.5"/>
  </r>
  <r>
    <x v="1883"/>
    <x v="302"/>
    <x v="1"/>
    <x v="0"/>
    <x v="1"/>
    <x v="2"/>
    <x v="3"/>
    <x v="8"/>
    <n v="4"/>
    <n v="280"/>
    <n v="0.05"/>
    <n v="1064"/>
  </r>
  <r>
    <x v="1884"/>
    <x v="275"/>
    <x v="2"/>
    <x v="0"/>
    <x v="1"/>
    <x v="1"/>
    <x v="25"/>
    <x v="3"/>
    <n v="7"/>
    <n v="61.2"/>
    <n v="0.2"/>
    <n v="342.72"/>
  </r>
  <r>
    <x v="1885"/>
    <x v="91"/>
    <x v="3"/>
    <x v="1"/>
    <x v="0"/>
    <x v="1"/>
    <x v="1"/>
    <x v="6"/>
    <n v="1"/>
    <n v="93.6"/>
    <n v="0.05"/>
    <n v="88.919999999999987"/>
  </r>
  <r>
    <x v="1886"/>
    <x v="69"/>
    <x v="3"/>
    <x v="0"/>
    <x v="0"/>
    <x v="3"/>
    <x v="21"/>
    <x v="6"/>
    <n v="1"/>
    <n v="2850"/>
    <n v="0.1"/>
    <n v="2565"/>
  </r>
  <r>
    <x v="1887"/>
    <x v="144"/>
    <x v="1"/>
    <x v="3"/>
    <x v="1"/>
    <x v="3"/>
    <x v="7"/>
    <x v="9"/>
    <n v="1"/>
    <n v="4368"/>
    <n v="0.2"/>
    <n v="3494.4"/>
  </r>
  <r>
    <x v="1888"/>
    <x v="37"/>
    <x v="4"/>
    <x v="0"/>
    <x v="0"/>
    <x v="1"/>
    <x v="1"/>
    <x v="12"/>
    <n v="1"/>
    <n v="87.3"/>
    <n v="0"/>
    <n v="87.3"/>
  </r>
  <r>
    <x v="1889"/>
    <x v="42"/>
    <x v="0"/>
    <x v="0"/>
    <x v="1"/>
    <x v="5"/>
    <x v="24"/>
    <x v="2"/>
    <n v="5"/>
    <n v="36.4"/>
    <n v="0"/>
    <n v="182"/>
  </r>
  <r>
    <x v="1890"/>
    <x v="223"/>
    <x v="2"/>
    <x v="1"/>
    <x v="0"/>
    <x v="4"/>
    <x v="11"/>
    <x v="10"/>
    <n v="1"/>
    <n v="807.5"/>
    <n v="0.08"/>
    <n v="742.9"/>
  </r>
  <r>
    <x v="1891"/>
    <x v="226"/>
    <x v="3"/>
    <x v="3"/>
    <x v="0"/>
    <x v="0"/>
    <x v="10"/>
    <x v="6"/>
    <n v="1"/>
    <n v="40.28"/>
    <n v="0.15"/>
    <n v="34.238"/>
  </r>
  <r>
    <x v="1892"/>
    <x v="3"/>
    <x v="2"/>
    <x v="0"/>
    <x v="1"/>
    <x v="1"/>
    <x v="1"/>
    <x v="4"/>
    <n v="2"/>
    <n v="95.4"/>
    <n v="0.08"/>
    <n v="175.53600000000003"/>
  </r>
  <r>
    <x v="1893"/>
    <x v="131"/>
    <x v="3"/>
    <x v="3"/>
    <x v="1"/>
    <x v="0"/>
    <x v="12"/>
    <x v="11"/>
    <n v="6"/>
    <n v="80"/>
    <n v="0.08"/>
    <n v="441.6"/>
  </r>
  <r>
    <x v="1894"/>
    <x v="110"/>
    <x v="3"/>
    <x v="0"/>
    <x v="1"/>
    <x v="5"/>
    <x v="24"/>
    <x v="11"/>
    <n v="1"/>
    <n v="37.1"/>
    <n v="0.08"/>
    <n v="34.132000000000005"/>
  </r>
  <r>
    <x v="1895"/>
    <x v="300"/>
    <x v="2"/>
    <x v="3"/>
    <x v="1"/>
    <x v="2"/>
    <x v="3"/>
    <x v="3"/>
    <n v="4"/>
    <n v="271.60000000000002"/>
    <n v="0.15"/>
    <n v="923.44"/>
  </r>
  <r>
    <x v="1896"/>
    <x v="305"/>
    <x v="3"/>
    <x v="0"/>
    <x v="1"/>
    <x v="4"/>
    <x v="19"/>
    <x v="7"/>
    <n v="1"/>
    <n v="614.79999999999995"/>
    <n v="0.05"/>
    <n v="584.05999999999995"/>
  </r>
  <r>
    <x v="1897"/>
    <x v="243"/>
    <x v="1"/>
    <x v="2"/>
    <x v="0"/>
    <x v="3"/>
    <x v="7"/>
    <x v="1"/>
    <n v="1"/>
    <n v="4452"/>
    <n v="0.05"/>
    <n v="4229.3999999999996"/>
  </r>
  <r>
    <x v="1898"/>
    <x v="203"/>
    <x v="2"/>
    <x v="3"/>
    <x v="1"/>
    <x v="0"/>
    <x v="12"/>
    <x v="10"/>
    <n v="7"/>
    <n v="83.2"/>
    <n v="0.03"/>
    <n v="564.928"/>
  </r>
  <r>
    <x v="1899"/>
    <x v="234"/>
    <x v="4"/>
    <x v="0"/>
    <x v="0"/>
    <x v="0"/>
    <x v="0"/>
    <x v="13"/>
    <n v="5"/>
    <n v="15"/>
    <n v="0.05"/>
    <n v="71.25"/>
  </r>
  <r>
    <x v="1900"/>
    <x v="299"/>
    <x v="0"/>
    <x v="1"/>
    <x v="0"/>
    <x v="3"/>
    <x v="9"/>
    <x v="2"/>
    <n v="1"/>
    <n v="1746"/>
    <n v="0.08"/>
    <n v="1606.3200000000002"/>
  </r>
  <r>
    <x v="1901"/>
    <x v="238"/>
    <x v="0"/>
    <x v="0"/>
    <x v="0"/>
    <x v="0"/>
    <x v="22"/>
    <x v="5"/>
    <n v="1"/>
    <n v="63.05"/>
    <n v="0.05"/>
    <n v="59.897499999999994"/>
  </r>
  <r>
    <x v="1902"/>
    <x v="102"/>
    <x v="0"/>
    <x v="0"/>
    <x v="1"/>
    <x v="4"/>
    <x v="17"/>
    <x v="2"/>
    <n v="2"/>
    <n v="665"/>
    <n v="0.1"/>
    <n v="1197"/>
  </r>
  <r>
    <x v="1903"/>
    <x v="356"/>
    <x v="3"/>
    <x v="3"/>
    <x v="1"/>
    <x v="0"/>
    <x v="22"/>
    <x v="11"/>
    <n v="1"/>
    <n v="66.3"/>
    <n v="0.08"/>
    <n v="60.996000000000002"/>
  </r>
  <r>
    <x v="1904"/>
    <x v="2"/>
    <x v="4"/>
    <x v="0"/>
    <x v="1"/>
    <x v="1"/>
    <x v="5"/>
    <x v="12"/>
    <n v="2"/>
    <n v="320"/>
    <n v="0"/>
    <n v="640"/>
  </r>
  <r>
    <x v="1905"/>
    <x v="210"/>
    <x v="4"/>
    <x v="1"/>
    <x v="0"/>
    <x v="3"/>
    <x v="15"/>
    <x v="14"/>
    <n v="1"/>
    <n v="3392"/>
    <n v="0.05"/>
    <n v="3222.3999999999996"/>
  </r>
  <r>
    <x v="1906"/>
    <x v="340"/>
    <x v="2"/>
    <x v="3"/>
    <x v="1"/>
    <x v="0"/>
    <x v="10"/>
    <x v="4"/>
    <n v="2"/>
    <n v="38"/>
    <n v="0.15"/>
    <n v="64.599999999999994"/>
  </r>
  <r>
    <x v="1907"/>
    <x v="167"/>
    <x v="4"/>
    <x v="1"/>
    <x v="1"/>
    <x v="0"/>
    <x v="10"/>
    <x v="13"/>
    <n v="2"/>
    <n v="40.28"/>
    <n v="0.03"/>
    <n v="78.143199999999993"/>
  </r>
  <r>
    <x v="1908"/>
    <x v="193"/>
    <x v="2"/>
    <x v="3"/>
    <x v="1"/>
    <x v="0"/>
    <x v="14"/>
    <x v="10"/>
    <n v="3"/>
    <n v="55"/>
    <n v="0"/>
    <n v="165"/>
  </r>
  <r>
    <x v="1909"/>
    <x v="340"/>
    <x v="2"/>
    <x v="0"/>
    <x v="1"/>
    <x v="3"/>
    <x v="15"/>
    <x v="3"/>
    <n v="2"/>
    <n v="3392"/>
    <n v="0.08"/>
    <n v="6241.2800000000007"/>
  </r>
  <r>
    <x v="1910"/>
    <x v="255"/>
    <x v="2"/>
    <x v="3"/>
    <x v="0"/>
    <x v="2"/>
    <x v="2"/>
    <x v="10"/>
    <n v="5"/>
    <n v="20.8"/>
    <n v="0.2"/>
    <n v="83.2"/>
  </r>
  <r>
    <x v="1911"/>
    <x v="20"/>
    <x v="3"/>
    <x v="3"/>
    <x v="1"/>
    <x v="0"/>
    <x v="10"/>
    <x v="6"/>
    <n v="1"/>
    <n v="38"/>
    <n v="0"/>
    <n v="38"/>
  </r>
  <r>
    <x v="1912"/>
    <x v="110"/>
    <x v="4"/>
    <x v="3"/>
    <x v="1"/>
    <x v="0"/>
    <x v="10"/>
    <x v="13"/>
    <n v="1"/>
    <n v="38"/>
    <n v="0.08"/>
    <n v="34.96"/>
  </r>
  <r>
    <x v="1913"/>
    <x v="360"/>
    <x v="3"/>
    <x v="0"/>
    <x v="0"/>
    <x v="2"/>
    <x v="3"/>
    <x v="11"/>
    <n v="2"/>
    <n v="280"/>
    <n v="0.1"/>
    <n v="504"/>
  </r>
  <r>
    <x v="1914"/>
    <x v="284"/>
    <x v="1"/>
    <x v="0"/>
    <x v="0"/>
    <x v="1"/>
    <x v="25"/>
    <x v="9"/>
    <n v="1"/>
    <n v="61.2"/>
    <n v="0.2"/>
    <n v="48.960000000000008"/>
  </r>
  <r>
    <x v="1915"/>
    <x v="251"/>
    <x v="1"/>
    <x v="3"/>
    <x v="1"/>
    <x v="0"/>
    <x v="0"/>
    <x v="8"/>
    <n v="2"/>
    <n v="15"/>
    <n v="0.05"/>
    <n v="28.5"/>
  </r>
  <r>
    <x v="1916"/>
    <x v="70"/>
    <x v="4"/>
    <x v="1"/>
    <x v="0"/>
    <x v="0"/>
    <x v="0"/>
    <x v="12"/>
    <n v="2"/>
    <n v="14.55"/>
    <n v="0.15"/>
    <n v="24.734999999999999"/>
  </r>
  <r>
    <x v="1917"/>
    <x v="13"/>
    <x v="2"/>
    <x v="1"/>
    <x v="1"/>
    <x v="2"/>
    <x v="2"/>
    <x v="4"/>
    <n v="2"/>
    <n v="20.8"/>
    <n v="0.08"/>
    <n v="38.272000000000006"/>
  </r>
  <r>
    <x v="1918"/>
    <x v="113"/>
    <x v="2"/>
    <x v="0"/>
    <x v="0"/>
    <x v="0"/>
    <x v="12"/>
    <x v="4"/>
    <n v="2"/>
    <n v="80"/>
    <n v="0"/>
    <n v="160"/>
  </r>
  <r>
    <x v="1919"/>
    <x v="180"/>
    <x v="3"/>
    <x v="1"/>
    <x v="0"/>
    <x v="4"/>
    <x v="19"/>
    <x v="6"/>
    <n v="1"/>
    <n v="614.79999999999995"/>
    <n v="0.1"/>
    <n v="553.31999999999994"/>
  </r>
  <r>
    <x v="1920"/>
    <x v="272"/>
    <x v="2"/>
    <x v="1"/>
    <x v="1"/>
    <x v="5"/>
    <x v="18"/>
    <x v="10"/>
    <n v="3"/>
    <n v="12.48"/>
    <n v="0.1"/>
    <n v="33.695999999999998"/>
  </r>
  <r>
    <x v="1921"/>
    <x v="196"/>
    <x v="4"/>
    <x v="0"/>
    <x v="1"/>
    <x v="4"/>
    <x v="13"/>
    <x v="13"/>
    <n v="4"/>
    <n v="1590"/>
    <n v="0"/>
    <n v="6360"/>
  </r>
  <r>
    <x v="1922"/>
    <x v="167"/>
    <x v="3"/>
    <x v="1"/>
    <x v="0"/>
    <x v="0"/>
    <x v="0"/>
    <x v="6"/>
    <n v="1"/>
    <n v="14.25"/>
    <n v="0.2"/>
    <n v="11.4"/>
  </r>
  <r>
    <x v="1923"/>
    <x v="41"/>
    <x v="0"/>
    <x v="2"/>
    <x v="1"/>
    <x v="3"/>
    <x v="9"/>
    <x v="0"/>
    <n v="2"/>
    <n v="1710"/>
    <n v="0.1"/>
    <n v="3078"/>
  </r>
  <r>
    <x v="1924"/>
    <x v="46"/>
    <x v="1"/>
    <x v="0"/>
    <x v="1"/>
    <x v="1"/>
    <x v="1"/>
    <x v="1"/>
    <n v="1"/>
    <n v="95.4"/>
    <n v="0"/>
    <n v="95.4"/>
  </r>
  <r>
    <x v="1925"/>
    <x v="268"/>
    <x v="1"/>
    <x v="2"/>
    <x v="1"/>
    <x v="3"/>
    <x v="15"/>
    <x v="1"/>
    <n v="2"/>
    <n v="3328"/>
    <n v="0"/>
    <n v="6656"/>
  </r>
  <r>
    <x v="1926"/>
    <x v="170"/>
    <x v="0"/>
    <x v="0"/>
    <x v="0"/>
    <x v="1"/>
    <x v="5"/>
    <x v="5"/>
    <n v="4"/>
    <n v="339.2"/>
    <n v="0.1"/>
    <n v="1221.1199999999999"/>
  </r>
  <r>
    <x v="1927"/>
    <x v="47"/>
    <x v="0"/>
    <x v="2"/>
    <x v="1"/>
    <x v="4"/>
    <x v="13"/>
    <x v="0"/>
    <n v="2"/>
    <n v="1500"/>
    <n v="0.15"/>
    <n v="2550"/>
  </r>
  <r>
    <x v="1928"/>
    <x v="89"/>
    <x v="3"/>
    <x v="1"/>
    <x v="1"/>
    <x v="3"/>
    <x v="15"/>
    <x v="7"/>
    <n v="1"/>
    <n v="3040"/>
    <n v="0.1"/>
    <n v="2736"/>
  </r>
  <r>
    <x v="1929"/>
    <x v="277"/>
    <x v="2"/>
    <x v="1"/>
    <x v="1"/>
    <x v="5"/>
    <x v="18"/>
    <x v="10"/>
    <n v="1"/>
    <n v="12.72"/>
    <n v="0"/>
    <n v="12.72"/>
  </r>
  <r>
    <x v="1930"/>
    <x v="219"/>
    <x v="1"/>
    <x v="2"/>
    <x v="1"/>
    <x v="3"/>
    <x v="20"/>
    <x v="8"/>
    <n v="1"/>
    <n v="2500"/>
    <n v="0"/>
    <n v="2500"/>
  </r>
  <r>
    <x v="1931"/>
    <x v="14"/>
    <x v="0"/>
    <x v="0"/>
    <x v="0"/>
    <x v="1"/>
    <x v="25"/>
    <x v="2"/>
    <n v="2"/>
    <n v="62.4"/>
    <n v="0.05"/>
    <n v="118.55999999999999"/>
  </r>
  <r>
    <x v="1932"/>
    <x v="66"/>
    <x v="1"/>
    <x v="0"/>
    <x v="1"/>
    <x v="0"/>
    <x v="14"/>
    <x v="1"/>
    <n v="2"/>
    <n v="57.2"/>
    <n v="0.1"/>
    <n v="102.96000000000001"/>
  </r>
  <r>
    <x v="1933"/>
    <x v="56"/>
    <x v="4"/>
    <x v="2"/>
    <x v="0"/>
    <x v="3"/>
    <x v="21"/>
    <x v="13"/>
    <n v="1"/>
    <n v="2910"/>
    <n v="0.03"/>
    <n v="2822.7"/>
  </r>
  <r>
    <x v="1934"/>
    <x v="115"/>
    <x v="1"/>
    <x v="3"/>
    <x v="0"/>
    <x v="0"/>
    <x v="14"/>
    <x v="1"/>
    <n v="1"/>
    <n v="55"/>
    <n v="0.05"/>
    <n v="52.25"/>
  </r>
  <r>
    <x v="1935"/>
    <x v="130"/>
    <x v="4"/>
    <x v="0"/>
    <x v="0"/>
    <x v="2"/>
    <x v="4"/>
    <x v="13"/>
    <n v="2"/>
    <n v="780"/>
    <n v="0.15"/>
    <n v="1326"/>
  </r>
  <r>
    <x v="1936"/>
    <x v="84"/>
    <x v="2"/>
    <x v="0"/>
    <x v="0"/>
    <x v="0"/>
    <x v="12"/>
    <x v="4"/>
    <n v="3"/>
    <n v="80"/>
    <n v="0.03"/>
    <n v="232.79999999999998"/>
  </r>
  <r>
    <x v="1937"/>
    <x v="164"/>
    <x v="3"/>
    <x v="1"/>
    <x v="1"/>
    <x v="2"/>
    <x v="2"/>
    <x v="11"/>
    <n v="2"/>
    <n v="19"/>
    <n v="0.15"/>
    <n v="32.299999999999997"/>
  </r>
  <r>
    <x v="1938"/>
    <x v="55"/>
    <x v="2"/>
    <x v="1"/>
    <x v="0"/>
    <x v="3"/>
    <x v="7"/>
    <x v="10"/>
    <n v="1"/>
    <n v="3990"/>
    <n v="0"/>
    <n v="3990"/>
  </r>
  <r>
    <x v="1939"/>
    <x v="361"/>
    <x v="2"/>
    <x v="0"/>
    <x v="1"/>
    <x v="2"/>
    <x v="4"/>
    <x v="4"/>
    <n v="3"/>
    <n v="750"/>
    <n v="0.2"/>
    <n v="1800"/>
  </r>
  <r>
    <x v="1940"/>
    <x v="234"/>
    <x v="2"/>
    <x v="0"/>
    <x v="1"/>
    <x v="2"/>
    <x v="2"/>
    <x v="3"/>
    <n v="3"/>
    <n v="19"/>
    <n v="0.08"/>
    <n v="52.440000000000005"/>
  </r>
  <r>
    <x v="1941"/>
    <x v="259"/>
    <x v="0"/>
    <x v="2"/>
    <x v="1"/>
    <x v="3"/>
    <x v="7"/>
    <x v="0"/>
    <n v="4"/>
    <n v="3990"/>
    <n v="0.05"/>
    <n v="15162"/>
  </r>
  <r>
    <x v="1942"/>
    <x v="250"/>
    <x v="4"/>
    <x v="0"/>
    <x v="1"/>
    <x v="3"/>
    <x v="15"/>
    <x v="13"/>
    <n v="1"/>
    <n v="3104"/>
    <n v="0.05"/>
    <n v="2948.7999999999997"/>
  </r>
  <r>
    <x v="1943"/>
    <x v="298"/>
    <x v="0"/>
    <x v="1"/>
    <x v="0"/>
    <x v="5"/>
    <x v="26"/>
    <x v="2"/>
    <n v="2"/>
    <n v="18"/>
    <n v="0.03"/>
    <n v="34.92"/>
  </r>
  <r>
    <x v="1944"/>
    <x v="164"/>
    <x v="1"/>
    <x v="0"/>
    <x v="0"/>
    <x v="0"/>
    <x v="0"/>
    <x v="1"/>
    <n v="5"/>
    <n v="15"/>
    <n v="0.08"/>
    <n v="69"/>
  </r>
  <r>
    <x v="1945"/>
    <x v="231"/>
    <x v="1"/>
    <x v="3"/>
    <x v="1"/>
    <x v="3"/>
    <x v="9"/>
    <x v="9"/>
    <n v="3"/>
    <n v="1872"/>
    <n v="0.15"/>
    <n v="4773.5999999999995"/>
  </r>
  <r>
    <x v="1946"/>
    <x v="317"/>
    <x v="3"/>
    <x v="3"/>
    <x v="1"/>
    <x v="3"/>
    <x v="21"/>
    <x v="7"/>
    <n v="1"/>
    <n v="3180"/>
    <n v="0.15"/>
    <n v="2703"/>
  </r>
  <r>
    <x v="1947"/>
    <x v="50"/>
    <x v="3"/>
    <x v="2"/>
    <x v="1"/>
    <x v="1"/>
    <x v="25"/>
    <x v="6"/>
    <n v="2"/>
    <n v="57"/>
    <n v="0.2"/>
    <n v="91.2"/>
  </r>
  <r>
    <x v="1948"/>
    <x v="287"/>
    <x v="1"/>
    <x v="1"/>
    <x v="0"/>
    <x v="0"/>
    <x v="22"/>
    <x v="9"/>
    <n v="5"/>
    <n v="66.3"/>
    <n v="0.15"/>
    <n v="281.77499999999998"/>
  </r>
  <r>
    <x v="1949"/>
    <x v="329"/>
    <x v="4"/>
    <x v="2"/>
    <x v="1"/>
    <x v="3"/>
    <x v="15"/>
    <x v="14"/>
    <n v="1"/>
    <n v="3200"/>
    <n v="0.1"/>
    <n v="2880"/>
  </r>
  <r>
    <x v="1950"/>
    <x v="199"/>
    <x v="0"/>
    <x v="0"/>
    <x v="0"/>
    <x v="4"/>
    <x v="11"/>
    <x v="2"/>
    <n v="4"/>
    <n v="807.5"/>
    <n v="0.1"/>
    <n v="2907"/>
  </r>
  <r>
    <x v="1951"/>
    <x v="131"/>
    <x v="3"/>
    <x v="2"/>
    <x v="0"/>
    <x v="1"/>
    <x v="1"/>
    <x v="6"/>
    <n v="7"/>
    <n v="90"/>
    <n v="0.03"/>
    <n v="611.1"/>
  </r>
  <r>
    <x v="1952"/>
    <x v="231"/>
    <x v="3"/>
    <x v="1"/>
    <x v="0"/>
    <x v="3"/>
    <x v="21"/>
    <x v="6"/>
    <n v="1"/>
    <n v="3000"/>
    <n v="0.15"/>
    <n v="2550"/>
  </r>
  <r>
    <x v="1953"/>
    <x v="302"/>
    <x v="1"/>
    <x v="1"/>
    <x v="1"/>
    <x v="0"/>
    <x v="14"/>
    <x v="9"/>
    <n v="2"/>
    <n v="57.2"/>
    <n v="0.1"/>
    <n v="102.96000000000001"/>
  </r>
  <r>
    <x v="1954"/>
    <x v="145"/>
    <x v="2"/>
    <x v="0"/>
    <x v="0"/>
    <x v="5"/>
    <x v="24"/>
    <x v="10"/>
    <n v="1"/>
    <n v="35"/>
    <n v="0.15"/>
    <n v="29.75"/>
  </r>
  <r>
    <x v="1955"/>
    <x v="209"/>
    <x v="4"/>
    <x v="0"/>
    <x v="1"/>
    <x v="0"/>
    <x v="12"/>
    <x v="14"/>
    <n v="1"/>
    <n v="83.2"/>
    <n v="0.2"/>
    <n v="66.56"/>
  </r>
  <r>
    <x v="1956"/>
    <x v="133"/>
    <x v="0"/>
    <x v="3"/>
    <x v="1"/>
    <x v="2"/>
    <x v="4"/>
    <x v="0"/>
    <n v="1"/>
    <n v="750"/>
    <n v="0.1"/>
    <n v="675"/>
  </r>
  <r>
    <x v="1957"/>
    <x v="20"/>
    <x v="3"/>
    <x v="1"/>
    <x v="1"/>
    <x v="0"/>
    <x v="6"/>
    <x v="11"/>
    <n v="1"/>
    <n v="45"/>
    <n v="0"/>
    <n v="45"/>
  </r>
  <r>
    <x v="1958"/>
    <x v="267"/>
    <x v="3"/>
    <x v="0"/>
    <x v="1"/>
    <x v="4"/>
    <x v="19"/>
    <x v="6"/>
    <n v="2"/>
    <n v="614.79999999999995"/>
    <n v="0.08"/>
    <n v="1131.232"/>
  </r>
  <r>
    <x v="1959"/>
    <x v="215"/>
    <x v="3"/>
    <x v="2"/>
    <x v="1"/>
    <x v="3"/>
    <x v="9"/>
    <x v="7"/>
    <n v="2"/>
    <n v="1710"/>
    <n v="0.05"/>
    <n v="3249"/>
  </r>
  <r>
    <x v="1960"/>
    <x v="105"/>
    <x v="3"/>
    <x v="1"/>
    <x v="1"/>
    <x v="5"/>
    <x v="23"/>
    <x v="11"/>
    <n v="1"/>
    <n v="24.25"/>
    <n v="0.2"/>
    <n v="19.400000000000002"/>
  </r>
  <r>
    <x v="1961"/>
    <x v="1"/>
    <x v="2"/>
    <x v="0"/>
    <x v="1"/>
    <x v="0"/>
    <x v="12"/>
    <x v="10"/>
    <n v="3"/>
    <n v="84.8"/>
    <n v="0"/>
    <n v="254.39999999999998"/>
  </r>
  <r>
    <x v="1962"/>
    <x v="359"/>
    <x v="0"/>
    <x v="2"/>
    <x v="1"/>
    <x v="2"/>
    <x v="3"/>
    <x v="0"/>
    <n v="2"/>
    <n v="291.2"/>
    <n v="0.1"/>
    <n v="524.16"/>
  </r>
  <r>
    <x v="1963"/>
    <x v="41"/>
    <x v="3"/>
    <x v="0"/>
    <x v="1"/>
    <x v="1"/>
    <x v="1"/>
    <x v="7"/>
    <n v="2"/>
    <n v="90"/>
    <n v="0.1"/>
    <n v="162"/>
  </r>
  <r>
    <x v="1964"/>
    <x v="221"/>
    <x v="3"/>
    <x v="0"/>
    <x v="1"/>
    <x v="4"/>
    <x v="19"/>
    <x v="6"/>
    <n v="1"/>
    <n v="551"/>
    <n v="0.03"/>
    <n v="534.47"/>
  </r>
  <r>
    <x v="1965"/>
    <x v="159"/>
    <x v="1"/>
    <x v="2"/>
    <x v="1"/>
    <x v="2"/>
    <x v="3"/>
    <x v="9"/>
    <n v="4"/>
    <n v="266"/>
    <n v="0.05"/>
    <n v="1010.8"/>
  </r>
  <r>
    <x v="1966"/>
    <x v="186"/>
    <x v="2"/>
    <x v="3"/>
    <x v="1"/>
    <x v="0"/>
    <x v="6"/>
    <x v="3"/>
    <n v="3"/>
    <n v="46.8"/>
    <n v="0.1"/>
    <n v="126.35999999999999"/>
  </r>
  <r>
    <x v="1967"/>
    <x v="54"/>
    <x v="4"/>
    <x v="0"/>
    <x v="1"/>
    <x v="3"/>
    <x v="7"/>
    <x v="12"/>
    <n v="1"/>
    <n v="3990"/>
    <n v="0.05"/>
    <n v="3790.5"/>
  </r>
  <r>
    <x v="1968"/>
    <x v="296"/>
    <x v="1"/>
    <x v="0"/>
    <x v="1"/>
    <x v="2"/>
    <x v="2"/>
    <x v="1"/>
    <n v="1"/>
    <n v="20"/>
    <n v="0"/>
    <n v="20"/>
  </r>
  <r>
    <x v="1969"/>
    <x v="23"/>
    <x v="4"/>
    <x v="0"/>
    <x v="0"/>
    <x v="4"/>
    <x v="19"/>
    <x v="12"/>
    <n v="1"/>
    <n v="580"/>
    <n v="0"/>
    <n v="580"/>
  </r>
  <r>
    <x v="1970"/>
    <x v="336"/>
    <x v="3"/>
    <x v="0"/>
    <x v="1"/>
    <x v="1"/>
    <x v="8"/>
    <x v="11"/>
    <n v="3"/>
    <n v="450"/>
    <n v="0.03"/>
    <n v="1309.5"/>
  </r>
  <r>
    <x v="1971"/>
    <x v="52"/>
    <x v="2"/>
    <x v="0"/>
    <x v="0"/>
    <x v="3"/>
    <x v="15"/>
    <x v="10"/>
    <n v="1"/>
    <n v="3040"/>
    <n v="0"/>
    <n v="3040"/>
  </r>
  <r>
    <x v="1972"/>
    <x v="347"/>
    <x v="4"/>
    <x v="2"/>
    <x v="1"/>
    <x v="1"/>
    <x v="1"/>
    <x v="13"/>
    <n v="6"/>
    <n v="90"/>
    <n v="0.1"/>
    <n v="486"/>
  </r>
  <r>
    <x v="1973"/>
    <x v="62"/>
    <x v="1"/>
    <x v="0"/>
    <x v="0"/>
    <x v="0"/>
    <x v="6"/>
    <x v="9"/>
    <n v="1"/>
    <n v="45.9"/>
    <n v="0"/>
    <n v="45.9"/>
  </r>
  <r>
    <x v="1974"/>
    <x v="83"/>
    <x v="4"/>
    <x v="3"/>
    <x v="1"/>
    <x v="5"/>
    <x v="16"/>
    <x v="14"/>
    <n v="5"/>
    <n v="8.32"/>
    <n v="0.03"/>
    <n v="40.351999999999997"/>
  </r>
  <r>
    <x v="1975"/>
    <x v="191"/>
    <x v="4"/>
    <x v="2"/>
    <x v="1"/>
    <x v="3"/>
    <x v="15"/>
    <x v="13"/>
    <n v="3"/>
    <n v="3392"/>
    <n v="0.05"/>
    <n v="9667.1999999999989"/>
  </r>
  <r>
    <x v="1976"/>
    <x v="167"/>
    <x v="4"/>
    <x v="1"/>
    <x v="1"/>
    <x v="3"/>
    <x v="9"/>
    <x v="13"/>
    <n v="1"/>
    <n v="1800"/>
    <n v="0.15"/>
    <n v="1530"/>
  </r>
  <r>
    <x v="1977"/>
    <x v="181"/>
    <x v="1"/>
    <x v="0"/>
    <x v="1"/>
    <x v="0"/>
    <x v="10"/>
    <x v="9"/>
    <n v="2"/>
    <n v="38"/>
    <n v="0.1"/>
    <n v="68.400000000000006"/>
  </r>
  <r>
    <x v="1978"/>
    <x v="311"/>
    <x v="0"/>
    <x v="1"/>
    <x v="0"/>
    <x v="0"/>
    <x v="6"/>
    <x v="5"/>
    <n v="2"/>
    <n v="42.75"/>
    <n v="0"/>
    <n v="85.5"/>
  </r>
  <r>
    <x v="1979"/>
    <x v="234"/>
    <x v="4"/>
    <x v="0"/>
    <x v="1"/>
    <x v="4"/>
    <x v="11"/>
    <x v="13"/>
    <n v="2"/>
    <n v="901"/>
    <n v="0"/>
    <n v="1802"/>
  </r>
  <r>
    <x v="1980"/>
    <x v="158"/>
    <x v="3"/>
    <x v="1"/>
    <x v="1"/>
    <x v="5"/>
    <x v="24"/>
    <x v="11"/>
    <n v="5"/>
    <n v="33.950000000000003"/>
    <n v="0.05"/>
    <n v="161.26249999999999"/>
  </r>
  <r>
    <x v="1981"/>
    <x v="244"/>
    <x v="2"/>
    <x v="0"/>
    <x v="1"/>
    <x v="3"/>
    <x v="7"/>
    <x v="10"/>
    <n v="4"/>
    <n v="4368"/>
    <n v="0.15"/>
    <n v="14851.199999999999"/>
  </r>
  <r>
    <x v="1982"/>
    <x v="27"/>
    <x v="4"/>
    <x v="0"/>
    <x v="1"/>
    <x v="0"/>
    <x v="6"/>
    <x v="13"/>
    <n v="3"/>
    <n v="47.7"/>
    <n v="0.05"/>
    <n v="135.94500000000002"/>
  </r>
  <r>
    <x v="1983"/>
    <x v="32"/>
    <x v="2"/>
    <x v="3"/>
    <x v="0"/>
    <x v="0"/>
    <x v="0"/>
    <x v="3"/>
    <n v="2"/>
    <n v="15.6"/>
    <n v="0.1"/>
    <n v="28.08"/>
  </r>
  <r>
    <x v="1984"/>
    <x v="241"/>
    <x v="3"/>
    <x v="1"/>
    <x v="1"/>
    <x v="4"/>
    <x v="19"/>
    <x v="11"/>
    <n v="3"/>
    <n v="603.20000000000005"/>
    <n v="0.08"/>
    <n v="1664.8320000000001"/>
  </r>
  <r>
    <x v="1985"/>
    <x v="79"/>
    <x v="1"/>
    <x v="1"/>
    <x v="1"/>
    <x v="0"/>
    <x v="0"/>
    <x v="9"/>
    <n v="4"/>
    <n v="15.3"/>
    <n v="0.1"/>
    <n v="55.080000000000005"/>
  </r>
  <r>
    <x v="1986"/>
    <x v="313"/>
    <x v="2"/>
    <x v="1"/>
    <x v="1"/>
    <x v="5"/>
    <x v="26"/>
    <x v="3"/>
    <n v="3"/>
    <n v="18"/>
    <n v="0.1"/>
    <n v="48.6"/>
  </r>
  <r>
    <x v="1987"/>
    <x v="346"/>
    <x v="1"/>
    <x v="0"/>
    <x v="0"/>
    <x v="0"/>
    <x v="0"/>
    <x v="9"/>
    <n v="2"/>
    <n v="15.3"/>
    <n v="0"/>
    <n v="30.6"/>
  </r>
  <r>
    <x v="1988"/>
    <x v="147"/>
    <x v="1"/>
    <x v="2"/>
    <x v="0"/>
    <x v="3"/>
    <x v="15"/>
    <x v="9"/>
    <n v="1"/>
    <n v="3040"/>
    <n v="0.1"/>
    <n v="2736"/>
  </r>
  <r>
    <x v="1989"/>
    <x v="9"/>
    <x v="1"/>
    <x v="3"/>
    <x v="1"/>
    <x v="0"/>
    <x v="0"/>
    <x v="1"/>
    <n v="1"/>
    <n v="15"/>
    <n v="0.1"/>
    <n v="13.5"/>
  </r>
  <r>
    <x v="1990"/>
    <x v="218"/>
    <x v="1"/>
    <x v="0"/>
    <x v="0"/>
    <x v="4"/>
    <x v="13"/>
    <x v="9"/>
    <n v="1"/>
    <n v="1590"/>
    <n v="0.03"/>
    <n v="1542.3"/>
  </r>
  <r>
    <x v="1991"/>
    <x v="63"/>
    <x v="2"/>
    <x v="0"/>
    <x v="1"/>
    <x v="4"/>
    <x v="19"/>
    <x v="4"/>
    <n v="1"/>
    <n v="580"/>
    <n v="0.05"/>
    <n v="551"/>
  </r>
  <r>
    <x v="1992"/>
    <x v="362"/>
    <x v="4"/>
    <x v="3"/>
    <x v="1"/>
    <x v="2"/>
    <x v="3"/>
    <x v="13"/>
    <n v="3"/>
    <n v="280"/>
    <n v="0.15"/>
    <n v="714"/>
  </r>
  <r>
    <x v="1993"/>
    <x v="330"/>
    <x v="0"/>
    <x v="3"/>
    <x v="1"/>
    <x v="5"/>
    <x v="23"/>
    <x v="0"/>
    <n v="8"/>
    <n v="24.25"/>
    <n v="0.15"/>
    <n v="164.9"/>
  </r>
  <r>
    <x v="1994"/>
    <x v="26"/>
    <x v="1"/>
    <x v="0"/>
    <x v="1"/>
    <x v="0"/>
    <x v="6"/>
    <x v="1"/>
    <n v="2"/>
    <n v="47.7"/>
    <n v="0.15"/>
    <n v="81.09"/>
  </r>
  <r>
    <x v="1995"/>
    <x v="242"/>
    <x v="3"/>
    <x v="1"/>
    <x v="0"/>
    <x v="5"/>
    <x v="23"/>
    <x v="11"/>
    <n v="4"/>
    <n v="25.5"/>
    <n v="0.2"/>
    <n v="81.600000000000009"/>
  </r>
  <r>
    <x v="1996"/>
    <x v="241"/>
    <x v="2"/>
    <x v="3"/>
    <x v="0"/>
    <x v="5"/>
    <x v="26"/>
    <x v="3"/>
    <n v="5"/>
    <n v="18"/>
    <n v="0.15"/>
    <n v="76.5"/>
  </r>
  <r>
    <x v="1997"/>
    <x v="60"/>
    <x v="3"/>
    <x v="1"/>
    <x v="0"/>
    <x v="4"/>
    <x v="11"/>
    <x v="11"/>
    <n v="2"/>
    <n v="807.5"/>
    <n v="0.08"/>
    <n v="1485.8"/>
  </r>
  <r>
    <x v="1998"/>
    <x v="94"/>
    <x v="3"/>
    <x v="1"/>
    <x v="1"/>
    <x v="2"/>
    <x v="2"/>
    <x v="7"/>
    <n v="4"/>
    <n v="19.399999999999999"/>
    <n v="0.03"/>
    <n v="75.271999999999991"/>
  </r>
  <r>
    <x v="1999"/>
    <x v="142"/>
    <x v="0"/>
    <x v="3"/>
    <x v="1"/>
    <x v="4"/>
    <x v="19"/>
    <x v="2"/>
    <n v="3"/>
    <n v="580"/>
    <n v="0"/>
    <n v="174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D8B278-C7D5-4E37-BCE3-DD6687847EB8}" name="Revenue by Product Ca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Revenue by Product Category">
  <location ref="I2:J9" firstHeaderRow="1" firstDataRow="1" firstDataCol="1"/>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axis="axisRow" showAll="0" sortType="descending">
      <items count="7">
        <item x="0"/>
        <item x="3"/>
        <item x="4"/>
        <item x="2"/>
        <item x="5"/>
        <item x="1"/>
        <item t="default"/>
      </items>
      <autoSortScope>
        <pivotArea dataOnly="0" outline="0" fieldPosition="0">
          <references count="1">
            <reference field="4294967294" count="1" selected="0">
              <x v="0"/>
            </reference>
          </references>
        </pivotArea>
      </autoSortScope>
    </pivotField>
    <pivotField showAll="0"/>
    <pivotField showAll="0">
      <items count="16">
        <item x="3"/>
        <item x="9"/>
        <item x="2"/>
        <item x="6"/>
        <item x="4"/>
        <item x="14"/>
        <item x="8"/>
        <item x="11"/>
        <item x="12"/>
        <item x="7"/>
        <item x="10"/>
        <item x="1"/>
        <item x="5"/>
        <item x="13"/>
        <item x="0"/>
        <item t="default"/>
      </items>
    </pivotField>
    <pivotField showAll="0"/>
    <pivotField numFmtId="2" showAll="0"/>
    <pivotField numFmtId="9" showAll="0"/>
    <pivotField dataField="1" numFmtId="2"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5"/>
  </rowFields>
  <rowItems count="7">
    <i>
      <x v="1"/>
    </i>
    <i>
      <x v="2"/>
    </i>
    <i>
      <x v="3"/>
    </i>
    <i>
      <x v="5"/>
    </i>
    <i>
      <x/>
    </i>
    <i>
      <x v="4"/>
    </i>
    <i t="grand">
      <x/>
    </i>
  </rowItems>
  <colItems count="1">
    <i/>
  </colItems>
  <dataFields count="1">
    <dataField name="Total Revenue" fld="11" baseField="0" baseItem="0" numFmtId="164"/>
  </dataFields>
  <formats count="8">
    <format dxfId="36">
      <pivotArea type="all" dataOnly="0" outline="0" fieldPosition="0"/>
    </format>
    <format dxfId="37">
      <pivotArea outline="0" collapsedLevelsAreSubtotals="1" fieldPosition="0"/>
    </format>
    <format dxfId="38">
      <pivotArea field="5" type="button" dataOnly="0" labelOnly="1" outline="0" axis="axisRow" fieldPosition="0"/>
    </format>
    <format dxfId="39">
      <pivotArea dataOnly="0" labelOnly="1" fieldPosition="0">
        <references count="1">
          <reference field="5" count="0"/>
        </references>
      </pivotArea>
    </format>
    <format dxfId="40">
      <pivotArea dataOnly="0" labelOnly="1" grandRow="1" outline="0" fieldPosition="0"/>
    </format>
    <format dxfId="41">
      <pivotArea dataOnly="0" labelOnly="1" outline="0" axis="axisValues" fieldPosition="0"/>
    </format>
    <format dxfId="42">
      <pivotArea collapsedLevelsAreSubtotals="1" fieldPosition="0">
        <references count="1">
          <reference field="5" count="0"/>
        </references>
      </pivotArea>
    </format>
    <format dxfId="43">
      <pivotArea dataOnly="0" labelOnly="1" fieldPosition="0">
        <references count="1">
          <reference field="5" count="0"/>
        </references>
      </pivotArea>
    </format>
  </formats>
  <chartFormats count="6">
    <chartFormat chart="5" format="2" series="1">
      <pivotArea type="data" outline="0" fieldPosition="0">
        <references count="1">
          <reference field="4294967294" count="1" selected="0">
            <x v="0"/>
          </reference>
        </references>
      </pivotArea>
    </chartFormat>
    <chartFormat chart="5" format="3">
      <pivotArea type="data" outline="0" fieldPosition="0">
        <references count="2">
          <reference field="4294967294" count="1" selected="0">
            <x v="0"/>
          </reference>
          <reference field="5" count="1" selected="0">
            <x v="2"/>
          </reference>
        </references>
      </pivotArea>
    </chartFormat>
    <chartFormat chart="5" format="4">
      <pivotArea type="data" outline="0" fieldPosition="0">
        <references count="2">
          <reference field="4294967294" count="1" selected="0">
            <x v="0"/>
          </reference>
          <reference field="5" count="1" selected="0">
            <x v="3"/>
          </reference>
        </references>
      </pivotArea>
    </chartFormat>
    <chartFormat chart="5" format="5">
      <pivotArea type="data" outline="0" fieldPosition="0">
        <references count="2">
          <reference field="4294967294" count="1" selected="0">
            <x v="0"/>
          </reference>
          <reference field="5" count="1" selected="0">
            <x v="5"/>
          </reference>
        </references>
      </pivotArea>
    </chartFormat>
    <chartFormat chart="5" format="6">
      <pivotArea type="data" outline="0" fieldPosition="0">
        <references count="2">
          <reference field="4294967294" count="1" selected="0">
            <x v="0"/>
          </reference>
          <reference field="5" count="1" selected="0">
            <x v="0"/>
          </reference>
        </references>
      </pivotArea>
    </chartFormat>
    <chartFormat chart="5" format="7">
      <pivotArea type="data" outline="0" fieldPosition="0">
        <references count="2">
          <reference field="4294967294" count="1" selected="0">
            <x v="0"/>
          </reference>
          <reference field="5" count="1" selected="0">
            <x v="4"/>
          </reference>
        </references>
      </pivotArea>
    </chartFormat>
  </chartFormats>
  <pivotTableStyleInfo name="PivotStyleDark6 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AB6EAB8-1926-41E6-BC16-AE502D3FCD19}"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24:B40" firstHeaderRow="1" firstDataRow="1" firstDataCol="1"/>
  <pivotFields count="14">
    <pivotField showAll="0">
      <items count="2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t="default"/>
      </items>
    </pivotField>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axis="axisRow" showAll="0" sortType="descending">
      <items count="16">
        <item x="3"/>
        <item x="9"/>
        <item x="2"/>
        <item x="6"/>
        <item x="4"/>
        <item x="14"/>
        <item x="8"/>
        <item x="11"/>
        <item x="12"/>
        <item x="7"/>
        <item x="10"/>
        <item x="1"/>
        <item x="5"/>
        <item x="13"/>
        <item x="0"/>
        <item t="default"/>
      </items>
      <autoSortScope>
        <pivotArea dataOnly="0" outline="0" fieldPosition="0">
          <references count="1">
            <reference field="4294967294" count="1" selected="0">
              <x v="0"/>
            </reference>
          </references>
        </pivotArea>
      </autoSortScope>
    </pivotField>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16">
    <i>
      <x v="10"/>
    </i>
    <i>
      <x v="7"/>
    </i>
    <i>
      <x v="1"/>
    </i>
    <i>
      <x v="13"/>
    </i>
    <i>
      <x v="3"/>
    </i>
    <i>
      <x/>
    </i>
    <i>
      <x v="9"/>
    </i>
    <i>
      <x v="14"/>
    </i>
    <i>
      <x v="4"/>
    </i>
    <i>
      <x v="11"/>
    </i>
    <i>
      <x v="12"/>
    </i>
    <i>
      <x v="8"/>
    </i>
    <i>
      <x v="6"/>
    </i>
    <i>
      <x v="5"/>
    </i>
    <i>
      <x v="2"/>
    </i>
    <i t="grand">
      <x/>
    </i>
  </rowItems>
  <colItems count="1">
    <i/>
  </colItems>
  <dataFields count="1">
    <dataField name="Sum of Revenue" fld="11" baseField="7" baseItem="0" numFmtId="164"/>
  </dataFields>
  <formats count="8">
    <format dxfId="0">
      <pivotArea type="all" dataOnly="0" outline="0" fieldPosition="0"/>
    </format>
    <format dxfId="1">
      <pivotArea outline="0" collapsedLevelsAreSubtotals="1" fieldPosition="0"/>
    </format>
    <format dxfId="2">
      <pivotArea field="7" type="button" dataOnly="0" labelOnly="1" outline="0" axis="axisRow" fieldPosition="0"/>
    </format>
    <format dxfId="3">
      <pivotArea dataOnly="0" labelOnly="1" fieldPosition="0">
        <references count="1">
          <reference field="7" count="0"/>
        </references>
      </pivotArea>
    </format>
    <format dxfId="4">
      <pivotArea dataOnly="0" labelOnly="1" grandRow="1" outline="0" fieldPosition="0"/>
    </format>
    <format dxfId="5">
      <pivotArea dataOnly="0" labelOnly="1" outline="0" axis="axisValues" fieldPosition="0"/>
    </format>
    <format dxfId="6">
      <pivotArea collapsedLevelsAreSubtotals="1" fieldPosition="0">
        <references count="1">
          <reference field="7" count="0"/>
        </references>
      </pivotArea>
    </format>
    <format dxfId="7">
      <pivotArea dataOnly="0" labelOnly="1" fieldPosition="0">
        <references count="1">
          <reference field="7" count="0"/>
        </references>
      </pivotArea>
    </format>
  </formats>
  <pivotTableStyleInfo name="PivotStyleDark6 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D28CB6F-71D2-4C60-A5C5-36D7CC506826}" name="Revenue by Reg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Revenue by Region">
  <location ref="F2:G8" firstHeaderRow="1" firstDataRow="1" firstDataCol="1"/>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axis="axisRow"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items count="16">
        <item x="3"/>
        <item x="9"/>
        <item x="2"/>
        <item x="6"/>
        <item x="4"/>
        <item x="14"/>
        <item x="8"/>
        <item x="11"/>
        <item x="12"/>
        <item x="7"/>
        <item x="10"/>
        <item x="1"/>
        <item x="5"/>
        <item x="13"/>
        <item x="0"/>
        <item t="default"/>
      </items>
    </pivotField>
    <pivotField showAll="0"/>
    <pivotField numFmtId="2" showAll="0"/>
    <pivotField numFmtId="9" showAll="0"/>
    <pivotField dataField="1" numFmtId="2"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6">
    <i>
      <x/>
    </i>
    <i>
      <x v="1"/>
    </i>
    <i>
      <x v="2"/>
    </i>
    <i>
      <x v="3"/>
    </i>
    <i>
      <x v="4"/>
    </i>
    <i t="grand">
      <x/>
    </i>
  </rowItems>
  <colItems count="1">
    <i/>
  </colItems>
  <dataFields count="1">
    <dataField name="Total Revenue" fld="11" baseField="0" baseItem="0" numFmtId="164"/>
  </dataFields>
  <formats count="8">
    <format dxfId="64">
      <pivotArea type="all" dataOnly="0" outline="0" fieldPosition="0"/>
    </format>
    <format dxfId="65">
      <pivotArea outline="0" collapsedLevelsAreSubtotals="1" fieldPosition="0"/>
    </format>
    <format dxfId="66">
      <pivotArea field="2" type="button" dataOnly="0" labelOnly="1" outline="0" axis="axisRow" fieldPosition="0"/>
    </format>
    <format dxfId="67">
      <pivotArea dataOnly="0" labelOnly="1" fieldPosition="0">
        <references count="1">
          <reference field="2" count="0"/>
        </references>
      </pivotArea>
    </format>
    <format dxfId="68">
      <pivotArea dataOnly="0" labelOnly="1" grandRow="1" outline="0" fieldPosition="0"/>
    </format>
    <format dxfId="69">
      <pivotArea dataOnly="0" labelOnly="1" outline="0" axis="axisValues" fieldPosition="0"/>
    </format>
    <format dxfId="70">
      <pivotArea collapsedLevelsAreSubtotals="1" fieldPosition="0">
        <references count="1">
          <reference field="2" count="0"/>
        </references>
      </pivotArea>
    </format>
    <format dxfId="71">
      <pivotArea dataOnly="0" labelOnly="1" fieldPosition="0">
        <references count="1">
          <reference field="2" count="0"/>
        </references>
      </pivotArea>
    </format>
  </formats>
  <chartFormats count="5">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2" count="1" selected="0">
            <x v="1"/>
          </reference>
        </references>
      </pivotArea>
    </chartFormat>
    <chartFormat chart="4" format="8">
      <pivotArea type="data" outline="0" fieldPosition="0">
        <references count="2">
          <reference field="4294967294" count="1" selected="0">
            <x v="0"/>
          </reference>
          <reference field="2" count="1" selected="0">
            <x v="2"/>
          </reference>
        </references>
      </pivotArea>
    </chartFormat>
    <chartFormat chart="4" format="9">
      <pivotArea type="data" outline="0" fieldPosition="0">
        <references count="2">
          <reference field="4294967294" count="1" selected="0">
            <x v="0"/>
          </reference>
          <reference field="2" count="1" selected="0">
            <x v="3"/>
          </reference>
        </references>
      </pivotArea>
    </chartFormat>
    <chartFormat chart="4" format="10">
      <pivotArea type="data" outline="0" fieldPosition="0">
        <references count="2">
          <reference field="4294967294" count="1" selected="0">
            <x v="0"/>
          </reference>
          <reference field="2" count="1" selected="0">
            <x v="4"/>
          </reference>
        </references>
      </pivotArea>
    </chartFormat>
  </chartFormats>
  <pivotTableStyleInfo name="PivotStyleDark6 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9651E-14AE-4DAB-8263-505D5B8596AB}" name="Top 5 Products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Top 5 Products by Revenue">
  <location ref="F13:G19" firstHeaderRow="1" firstDataRow="1" firstDataCol="1"/>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axis="axisRow" showAll="0" measureFilter="1" sortType="ascending">
      <items count="29">
        <item x="19"/>
        <item x="11"/>
        <item x="21"/>
        <item x="24"/>
        <item x="9"/>
        <item x="2"/>
        <item x="5"/>
        <item x="8"/>
        <item x="7"/>
        <item x="22"/>
        <item x="20"/>
        <item x="15"/>
        <item x="10"/>
        <item x="1"/>
        <item x="4"/>
        <item x="0"/>
        <item x="27"/>
        <item x="23"/>
        <item x="18"/>
        <item x="17"/>
        <item x="26"/>
        <item x="16"/>
        <item x="13"/>
        <item x="25"/>
        <item x="14"/>
        <item x="12"/>
        <item x="3"/>
        <item x="6"/>
        <item t="default"/>
      </items>
      <autoSortScope>
        <pivotArea dataOnly="0" outline="0" fieldPosition="0">
          <references count="1">
            <reference field="4294967294" count="1" selected="0">
              <x v="0"/>
            </reference>
          </references>
        </pivotArea>
      </autoSortScope>
    </pivotField>
    <pivotField showAll="0">
      <items count="16">
        <item x="3"/>
        <item x="9"/>
        <item x="2"/>
        <item x="6"/>
        <item x="4"/>
        <item x="14"/>
        <item x="8"/>
        <item x="11"/>
        <item x="12"/>
        <item x="7"/>
        <item x="10"/>
        <item x="1"/>
        <item x="5"/>
        <item x="13"/>
        <item x="0"/>
        <item t="default"/>
      </items>
    </pivotField>
    <pivotField showAll="0"/>
    <pivotField numFmtId="2" showAll="0"/>
    <pivotField numFmtId="9" showAll="0"/>
    <pivotField dataField="1" numFmtId="2"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6"/>
  </rowFields>
  <rowItems count="6">
    <i>
      <x v="22"/>
    </i>
    <i>
      <x v="2"/>
    </i>
    <i>
      <x v="11"/>
    </i>
    <i>
      <x v="10"/>
    </i>
    <i>
      <x v="8"/>
    </i>
    <i t="grand">
      <x/>
    </i>
  </rowItems>
  <colItems count="1">
    <i/>
  </colItems>
  <dataFields count="1">
    <dataField name="Total Revenue" fld="11" baseField="0" baseItem="0" numFmtId="164"/>
  </dataFields>
  <formats count="8">
    <format dxfId="52">
      <pivotArea type="all" dataOnly="0" outline="0" fieldPosition="0"/>
    </format>
    <format dxfId="53">
      <pivotArea outline="0" collapsedLevelsAreSubtotals="1" fieldPosition="0"/>
    </format>
    <format dxfId="54">
      <pivotArea field="6" type="button" dataOnly="0" labelOnly="1" outline="0" axis="axisRow" fieldPosition="0"/>
    </format>
    <format dxfId="55">
      <pivotArea dataOnly="0" labelOnly="1" fieldPosition="0">
        <references count="1">
          <reference field="6" count="5">
            <x v="2"/>
            <x v="8"/>
            <x v="10"/>
            <x v="11"/>
            <x v="22"/>
          </reference>
        </references>
      </pivotArea>
    </format>
    <format dxfId="56">
      <pivotArea dataOnly="0" labelOnly="1" grandRow="1" outline="0" fieldPosition="0"/>
    </format>
    <format dxfId="57">
      <pivotArea dataOnly="0" labelOnly="1" outline="0" axis="axisValues" fieldPosition="0"/>
    </format>
    <format dxfId="58">
      <pivotArea collapsedLevelsAreSubtotals="1" fieldPosition="0">
        <references count="1">
          <reference field="6" count="5">
            <x v="2"/>
            <x v="8"/>
            <x v="10"/>
            <x v="11"/>
            <x v="22"/>
          </reference>
        </references>
      </pivotArea>
    </format>
    <format dxfId="59">
      <pivotArea dataOnly="0" labelOnly="1" fieldPosition="0">
        <references count="1">
          <reference field="6" count="5">
            <x v="2"/>
            <x v="8"/>
            <x v="10"/>
            <x v="11"/>
            <x v="22"/>
          </reference>
        </references>
      </pivotArea>
    </format>
  </formats>
  <chartFormats count="5">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6" count="1" selected="0">
            <x v="10"/>
          </reference>
        </references>
      </pivotArea>
    </chartFormat>
    <chartFormat chart="6" format="4">
      <pivotArea type="data" outline="0" fieldPosition="0">
        <references count="2">
          <reference field="4294967294" count="1" selected="0">
            <x v="0"/>
          </reference>
          <reference field="6" count="1" selected="0">
            <x v="11"/>
          </reference>
        </references>
      </pivotArea>
    </chartFormat>
    <chartFormat chart="6" format="5">
      <pivotArea type="data" outline="0" fieldPosition="0">
        <references count="2">
          <reference field="4294967294" count="1" selected="0">
            <x v="0"/>
          </reference>
          <reference field="6" count="1" selected="0">
            <x v="2"/>
          </reference>
        </references>
      </pivotArea>
    </chartFormat>
    <chartFormat chart="6" format="6">
      <pivotArea type="data" outline="0" fieldPosition="0">
        <references count="2">
          <reference field="4294967294" count="1" selected="0">
            <x v="0"/>
          </reference>
          <reference field="6" count="1" selected="0">
            <x v="22"/>
          </reference>
        </references>
      </pivotArea>
    </chartFormat>
  </chartFormats>
  <pivotTableStyleInfo name="PivotStyleDark6 2" showRowHeaders="1" showColHeaders="1" showRowStripes="0" showColStripes="0" showLastColumn="1"/>
  <filters count="1">
    <filter fld="6"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867DB9-95E9-4D96-BD71-B398509E6D15}" name="total_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2" firstHeaderRow="1" firstDataRow="1" firstDataCol="0"/>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items count="16">
        <item x="3"/>
        <item x="9"/>
        <item x="2"/>
        <item x="6"/>
        <item x="4"/>
        <item x="14"/>
        <item x="8"/>
        <item x="11"/>
        <item x="12"/>
        <item x="7"/>
        <item x="10"/>
        <item x="1"/>
        <item x="5"/>
        <item x="13"/>
        <item x="0"/>
        <item t="default"/>
      </items>
    </pivotField>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Revenue" fld="11" baseField="0" baseItem="0" numFmtId="164"/>
  </dataFields>
  <formats count="4">
    <format dxfId="16">
      <pivotArea type="all" dataOnly="0" outline="0" fieldPosition="0"/>
    </format>
    <format dxfId="17">
      <pivotArea outline="0" collapsedLevelsAreSubtotals="1" fieldPosition="0"/>
    </format>
    <format dxfId="18">
      <pivotArea dataOnly="0" labelOnly="1" outline="0" axis="axisValues" fieldPosition="0"/>
    </format>
    <format dxfId="19">
      <pivotArea outline="0" collapsedLevelsAreSubtotals="1" fieldPosition="0"/>
    </format>
  </formats>
  <pivotTableStyleInfo name="PivotStyleDark6 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4BD8F1D-AF59-4B71-9D6C-3FBC8395187C}" name="total_quantity_sol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A8" firstHeaderRow="1" firstDataRow="1" firstDataCol="0"/>
  <pivotFields count="14">
    <pivotField showAll="0">
      <items count="2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t="default"/>
      </items>
    </pivotField>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items count="16">
        <item x="3"/>
        <item x="9"/>
        <item x="2"/>
        <item x="6"/>
        <item x="4"/>
        <item x="14"/>
        <item x="8"/>
        <item x="11"/>
        <item x="12"/>
        <item x="7"/>
        <item x="10"/>
        <item x="1"/>
        <item x="5"/>
        <item x="13"/>
        <item x="0"/>
        <item t="default"/>
      </items>
    </pivotField>
    <pivotField dataField="1" showAll="0"/>
    <pivotField numFmtId="2" showAll="0"/>
    <pivotField numFmtId="9" showAll="0"/>
    <pivotField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Quantity" fld="8" baseField="0" baseItem="0" numFmtId="3"/>
  </dataFields>
  <formats count="4">
    <format dxfId="20">
      <pivotArea type="all" dataOnly="0" outline="0" fieldPosition="0"/>
    </format>
    <format dxfId="21">
      <pivotArea outline="0" collapsedLevelsAreSubtotals="1" fieldPosition="0"/>
    </format>
    <format dxfId="22">
      <pivotArea dataOnly="0" labelOnly="1" outline="0" axis="axisValues" fieldPosition="0"/>
    </format>
    <format dxfId="23">
      <pivotArea outline="0" collapsedLevelsAreSubtotals="1" fieldPosition="0"/>
    </format>
  </formats>
  <pivotTableStyleInfo name="PivotStyleDark6 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5A3A24-0E90-4DA6-883A-6297A0162DA0}" name="total_order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A5" firstHeaderRow="1" firstDataRow="1" firstDataCol="0"/>
  <pivotFields count="14">
    <pivotField dataField="1" showAll="0">
      <items count="2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t="default"/>
      </items>
    </pivotField>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items count="16">
        <item x="3"/>
        <item x="9"/>
        <item x="2"/>
        <item x="6"/>
        <item x="4"/>
        <item x="14"/>
        <item x="8"/>
        <item x="11"/>
        <item x="12"/>
        <item x="7"/>
        <item x="10"/>
        <item x="1"/>
        <item x="5"/>
        <item x="13"/>
        <item x="0"/>
        <item t="default"/>
      </items>
    </pivotField>
    <pivotField showAll="0"/>
    <pivotField numFmtId="2" showAll="0"/>
    <pivotField numFmtId="9" showAll="0"/>
    <pivotField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Orders" fld="0" subtotal="count" baseField="0" baseItem="0" numFmtId="3"/>
  </dataFields>
  <formats count="4">
    <format dxfId="24">
      <pivotArea type="all" dataOnly="0" outline="0" fieldPosition="0"/>
    </format>
    <format dxfId="25">
      <pivotArea outline="0" collapsedLevelsAreSubtotals="1" fieldPosition="0"/>
    </format>
    <format dxfId="26">
      <pivotArea dataOnly="0" labelOnly="1" outline="0" axis="axisValues" fieldPosition="0"/>
    </format>
    <format dxfId="27">
      <pivotArea outline="0" collapsedLevelsAreSubtotals="1" fieldPosition="0"/>
    </format>
  </formats>
  <pivotTableStyleInfo name="PivotStyleDark6 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2CBDBF7-FD14-470C-9A5C-6076A3AF798D}" name="Revenue by Sales Channel"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Revenue by Sales Channel">
  <location ref="L2:M7" firstHeaderRow="1" firstDataRow="1" firstDataCol="1"/>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axis="axisRow"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items count="16">
        <item x="3"/>
        <item x="9"/>
        <item x="2"/>
        <item x="6"/>
        <item x="4"/>
        <item x="14"/>
        <item x="8"/>
        <item x="11"/>
        <item x="12"/>
        <item x="7"/>
        <item x="10"/>
        <item x="1"/>
        <item x="5"/>
        <item x="13"/>
        <item x="0"/>
        <item t="default"/>
      </items>
    </pivotField>
    <pivotField showAll="0"/>
    <pivotField numFmtId="2" showAll="0"/>
    <pivotField numFmtId="9" showAll="0"/>
    <pivotField dataField="1" numFmtId="2"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3"/>
  </rowFields>
  <rowItems count="5">
    <i>
      <x/>
    </i>
    <i>
      <x v="1"/>
    </i>
    <i>
      <x v="2"/>
    </i>
    <i>
      <x v="3"/>
    </i>
    <i t="grand">
      <x/>
    </i>
  </rowItems>
  <colItems count="1">
    <i/>
  </colItems>
  <dataFields count="1">
    <dataField name="Total Revenue" fld="11" baseField="0" baseItem="0" numFmtId="164"/>
  </dataFields>
  <formats count="8">
    <format dxfId="28">
      <pivotArea type="all" dataOnly="0" outline="0" fieldPosition="0"/>
    </format>
    <format dxfId="29">
      <pivotArea outline="0" collapsedLevelsAreSubtotals="1" fieldPosition="0"/>
    </format>
    <format dxfId="30">
      <pivotArea field="3" type="button" dataOnly="0" labelOnly="1" outline="0" axis="axisRow" fieldPosition="0"/>
    </format>
    <format dxfId="31">
      <pivotArea dataOnly="0" labelOnly="1" fieldPosition="0">
        <references count="1">
          <reference field="3" count="0"/>
        </references>
      </pivotArea>
    </format>
    <format dxfId="32">
      <pivotArea dataOnly="0" labelOnly="1" grandRow="1" outline="0" fieldPosition="0"/>
    </format>
    <format dxfId="33">
      <pivotArea dataOnly="0" labelOnly="1" outline="0" axis="axisValues" fieldPosition="0"/>
    </format>
    <format dxfId="34">
      <pivotArea collapsedLevelsAreSubtotals="1" fieldPosition="0">
        <references count="1">
          <reference field="3" count="0"/>
        </references>
      </pivotArea>
    </format>
    <format dxfId="35">
      <pivotArea dataOnly="0" labelOnly="1" fieldPosition="0">
        <references count="1">
          <reference field="3" count="0"/>
        </references>
      </pivotArea>
    </format>
  </formats>
  <chartFormats count="5">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3" count="1" selected="0">
            <x v="0"/>
          </reference>
        </references>
      </pivotArea>
    </chartFormat>
    <chartFormat chart="4" format="8">
      <pivotArea type="data" outline="0" fieldPosition="0">
        <references count="2">
          <reference field="4294967294" count="1" selected="0">
            <x v="0"/>
          </reference>
          <reference field="3" count="1" selected="0">
            <x v="1"/>
          </reference>
        </references>
      </pivotArea>
    </chartFormat>
    <chartFormat chart="4" format="9">
      <pivotArea type="data" outline="0" fieldPosition="0">
        <references count="2">
          <reference field="4294967294" count="1" selected="0">
            <x v="0"/>
          </reference>
          <reference field="3" count="1" selected="0">
            <x v="2"/>
          </reference>
        </references>
      </pivotArea>
    </chartFormat>
    <chartFormat chart="4" format="10">
      <pivotArea type="data" outline="0" fieldPosition="0">
        <references count="2">
          <reference field="4294967294" count="1" selected="0">
            <x v="0"/>
          </reference>
          <reference field="3" count="1" selected="0">
            <x v="3"/>
          </reference>
        </references>
      </pivotArea>
    </chartFormat>
  </chartFormats>
  <pivotTableStyleInfo name="PivotStyleDark6 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4B9B6EA-4107-4AF6-9DEC-9F11FF1D371B}" name="Revenue by Month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6" rowHeaderCaption="Revenue by Months">
  <location ref="C2:D15" firstHeaderRow="1" firstDataRow="1" firstDataCol="1"/>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items count="16">
        <item x="3"/>
        <item x="9"/>
        <item x="2"/>
        <item x="6"/>
        <item x="4"/>
        <item x="14"/>
        <item x="8"/>
        <item x="11"/>
        <item x="12"/>
        <item x="7"/>
        <item x="10"/>
        <item x="1"/>
        <item x="5"/>
        <item x="13"/>
        <item x="0"/>
        <item t="default"/>
      </items>
    </pivotField>
    <pivotField showAll="0"/>
    <pivotField numFmtId="2" showAll="0"/>
    <pivotField numFmtId="9" showAll="0"/>
    <pivotField dataField="1" numFmtId="2"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3"/>
  </rowFields>
  <rowItems count="13">
    <i>
      <x v="1"/>
    </i>
    <i>
      <x v="2"/>
    </i>
    <i>
      <x v="3"/>
    </i>
    <i>
      <x v="4"/>
    </i>
    <i>
      <x v="5"/>
    </i>
    <i>
      <x v="6"/>
    </i>
    <i>
      <x v="7"/>
    </i>
    <i>
      <x v="8"/>
    </i>
    <i>
      <x v="9"/>
    </i>
    <i>
      <x v="10"/>
    </i>
    <i>
      <x v="11"/>
    </i>
    <i>
      <x v="12"/>
    </i>
    <i t="grand">
      <x/>
    </i>
  </rowItems>
  <colItems count="1">
    <i/>
  </colItems>
  <dataFields count="1">
    <dataField name="Total Revenue" fld="11" baseField="0" baseItem="0" numFmtId="164"/>
  </dataFields>
  <formats count="8">
    <format dxfId="44">
      <pivotArea type="all" dataOnly="0" outline="0" fieldPosition="0"/>
    </format>
    <format dxfId="45">
      <pivotArea outline="0" collapsedLevelsAreSubtotals="1" fieldPosition="0"/>
    </format>
    <format dxfId="46">
      <pivotArea field="13" type="button" dataOnly="0" labelOnly="1" outline="0" axis="axisRow" fieldPosition="0"/>
    </format>
    <format dxfId="47">
      <pivotArea dataOnly="0" labelOnly="1" fieldPosition="0">
        <references count="1">
          <reference field="13" count="12">
            <x v="1"/>
            <x v="2"/>
            <x v="3"/>
            <x v="4"/>
            <x v="5"/>
            <x v="6"/>
            <x v="7"/>
            <x v="8"/>
            <x v="9"/>
            <x v="10"/>
            <x v="11"/>
            <x v="12"/>
          </reference>
        </references>
      </pivotArea>
    </format>
    <format dxfId="48">
      <pivotArea dataOnly="0" labelOnly="1" grandRow="1" outline="0" fieldPosition="0"/>
    </format>
    <format dxfId="49">
      <pivotArea dataOnly="0" labelOnly="1" outline="0" axis="axisValues" fieldPosition="0"/>
    </format>
    <format dxfId="50">
      <pivotArea collapsedLevelsAreSubtotals="1" fieldPosition="0">
        <references count="1">
          <reference field="13" count="12">
            <x v="1"/>
            <x v="2"/>
            <x v="3"/>
            <x v="4"/>
            <x v="5"/>
            <x v="6"/>
            <x v="7"/>
            <x v="8"/>
            <x v="9"/>
            <x v="10"/>
            <x v="11"/>
            <x v="12"/>
          </reference>
        </references>
      </pivotArea>
    </format>
    <format dxfId="51">
      <pivotArea dataOnly="0" labelOnly="1" fieldPosition="0">
        <references count="1">
          <reference field="13" count="12">
            <x v="1"/>
            <x v="2"/>
            <x v="3"/>
            <x v="4"/>
            <x v="5"/>
            <x v="6"/>
            <x v="7"/>
            <x v="8"/>
            <x v="9"/>
            <x v="10"/>
            <x v="11"/>
            <x v="12"/>
          </reference>
        </references>
      </pivotArea>
    </format>
  </formats>
  <chartFormats count="8">
    <chartFormat chart="5" format="2" series="1">
      <pivotArea type="data" outline="0" fieldPosition="0">
        <references count="1">
          <reference field="4294967294" count="1" selected="0">
            <x v="0"/>
          </reference>
        </references>
      </pivotArea>
    </chartFormat>
    <chartFormat chart="5" format="3">
      <pivotArea type="data" outline="0" fieldPosition="0">
        <references count="2">
          <reference field="4294967294" count="1" selected="0">
            <x v="0"/>
          </reference>
          <reference field="13" count="1" selected="0">
            <x v="10"/>
          </reference>
        </references>
      </pivotArea>
    </chartFormat>
    <chartFormat chart="5" format="4">
      <pivotArea type="data" outline="0" fieldPosition="0">
        <references count="2">
          <reference field="4294967294" count="1" selected="0">
            <x v="0"/>
          </reference>
          <reference field="13" count="1" selected="0">
            <x v="12"/>
          </reference>
        </references>
      </pivotArea>
    </chartFormat>
    <chartFormat chart="5" format="5">
      <pivotArea type="data" outline="0" fieldPosition="0">
        <references count="2">
          <reference field="4294967294" count="1" selected="0">
            <x v="0"/>
          </reference>
          <reference field="13" count="1" selected="0">
            <x v="7"/>
          </reference>
        </references>
      </pivotArea>
    </chartFormat>
    <chartFormat chart="5" format="6">
      <pivotArea type="data" outline="0" fieldPosition="0">
        <references count="2">
          <reference field="4294967294" count="1" selected="0">
            <x v="0"/>
          </reference>
          <reference field="13" count="1" selected="0">
            <x v="5"/>
          </reference>
        </references>
      </pivotArea>
    </chartFormat>
    <chartFormat chart="5" format="7">
      <pivotArea type="data" outline="0" fieldPosition="0">
        <references count="2">
          <reference field="4294967294" count="1" selected="0">
            <x v="0"/>
          </reference>
          <reference field="13" count="1" selected="0">
            <x v="2"/>
          </reference>
        </references>
      </pivotArea>
    </chartFormat>
    <chartFormat chart="5" format="8">
      <pivotArea type="data" outline="0" fieldPosition="0">
        <references count="2">
          <reference field="4294967294" count="1" selected="0">
            <x v="0"/>
          </reference>
          <reference field="13" count="1" selected="0">
            <x v="8"/>
          </reference>
        </references>
      </pivotArea>
    </chartFormat>
    <chartFormat chart="5" format="9">
      <pivotArea type="data" outline="0" fieldPosition="0">
        <references count="2">
          <reference field="4294967294" count="1" selected="0">
            <x v="0"/>
          </reference>
          <reference field="13" count="1" selected="0">
            <x v="1"/>
          </reference>
        </references>
      </pivotArea>
    </chartFormat>
  </chartFormats>
  <pivotTableStyleInfo name="PivotStyleDark6 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FE5470-3A94-4A1C-8358-6CCCD3079BA1}"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Top 5 Products by Revenue">
  <location ref="I15:K28" firstHeaderRow="0" firstDataRow="1" firstDataCol="1"/>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items count="29">
        <item x="19"/>
        <item x="11"/>
        <item x="21"/>
        <item x="24"/>
        <item x="9"/>
        <item x="2"/>
        <item x="5"/>
        <item x="8"/>
        <item x="7"/>
        <item x="22"/>
        <item x="20"/>
        <item x="15"/>
        <item x="10"/>
        <item x="1"/>
        <item x="4"/>
        <item x="0"/>
        <item x="27"/>
        <item x="23"/>
        <item x="18"/>
        <item x="17"/>
        <item x="26"/>
        <item x="16"/>
        <item x="13"/>
        <item x="25"/>
        <item x="14"/>
        <item x="12"/>
        <item x="3"/>
        <item x="6"/>
        <item t="default"/>
      </items>
    </pivotField>
    <pivotField showAll="0">
      <items count="16">
        <item x="3"/>
        <item x="9"/>
        <item x="2"/>
        <item x="6"/>
        <item x="4"/>
        <item x="14"/>
        <item x="8"/>
        <item x="11"/>
        <item x="12"/>
        <item x="7"/>
        <item x="10"/>
        <item x="1"/>
        <item x="5"/>
        <item x="13"/>
        <item x="0"/>
        <item t="default"/>
      </items>
    </pivotField>
    <pivotField showAll="0"/>
    <pivotField numFmtId="2" showAll="0"/>
    <pivotField numFmtId="9" showAll="0"/>
    <pivotField dataField="1" numFmtId="2"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3"/>
  </rowFields>
  <rowItems count="13">
    <i>
      <x v="1"/>
    </i>
    <i>
      <x v="2"/>
    </i>
    <i>
      <x v="3"/>
    </i>
    <i>
      <x v="4"/>
    </i>
    <i>
      <x v="5"/>
    </i>
    <i>
      <x v="6"/>
    </i>
    <i>
      <x v="7"/>
    </i>
    <i>
      <x v="8"/>
    </i>
    <i>
      <x v="9"/>
    </i>
    <i>
      <x v="10"/>
    </i>
    <i>
      <x v="11"/>
    </i>
    <i>
      <x v="12"/>
    </i>
    <i t="grand">
      <x/>
    </i>
  </rowItems>
  <colFields count="1">
    <field x="-2"/>
  </colFields>
  <colItems count="2">
    <i>
      <x/>
    </i>
    <i i="1">
      <x v="1"/>
    </i>
  </colItems>
  <dataFields count="2">
    <dataField name="Sum of Revenue" fld="11" baseField="0" baseItem="0" numFmtId="2"/>
    <dataField name="Sum of Revenue2" fld="11" showDataAs="percentDiff" baseField="13" baseItem="1048828" numFmtId="10"/>
  </dataFields>
  <formats count="8">
    <format dxfId="8">
      <pivotArea type="all" dataOnly="0" outline="0" fieldPosition="0"/>
    </format>
    <format dxfId="9">
      <pivotArea outline="0" collapsedLevelsAreSubtotals="1" fieldPosition="0"/>
    </format>
    <format dxfId="10">
      <pivotArea field="13" type="button" dataOnly="0" labelOnly="1" outline="0" axis="axisRow" fieldPosition="0"/>
    </format>
    <format dxfId="11">
      <pivotArea dataOnly="0" labelOnly="1" fieldPosition="0">
        <references count="1">
          <reference field="13" count="12">
            <x v="1"/>
            <x v="2"/>
            <x v="3"/>
            <x v="4"/>
            <x v="5"/>
            <x v="6"/>
            <x v="7"/>
            <x v="8"/>
            <x v="9"/>
            <x v="10"/>
            <x v="11"/>
            <x v="12"/>
          </reference>
        </references>
      </pivotArea>
    </format>
    <format dxfId="12">
      <pivotArea dataOnly="0" labelOnly="1" grandRow="1" outline="0" fieldPosition="0"/>
    </format>
    <format dxfId="13">
      <pivotArea dataOnly="0" labelOnly="1" outline="0" fieldPosition="0">
        <references count="1">
          <reference field="4294967294" count="2">
            <x v="0"/>
            <x v="1"/>
          </reference>
        </references>
      </pivotArea>
    </format>
    <format dxfId="14">
      <pivotArea collapsedLevelsAreSubtotals="1" fieldPosition="0">
        <references count="1">
          <reference field="13" count="12">
            <x v="1"/>
            <x v="2"/>
            <x v="3"/>
            <x v="4"/>
            <x v="5"/>
            <x v="6"/>
            <x v="7"/>
            <x v="8"/>
            <x v="9"/>
            <x v="10"/>
            <x v="11"/>
            <x v="12"/>
          </reference>
        </references>
      </pivotArea>
    </format>
    <format dxfId="15">
      <pivotArea dataOnly="0" labelOnly="1" fieldPosition="0">
        <references count="1">
          <reference field="13" count="12">
            <x v="1"/>
            <x v="2"/>
            <x v="3"/>
            <x v="4"/>
            <x v="5"/>
            <x v="6"/>
            <x v="7"/>
            <x v="8"/>
            <x v="9"/>
            <x v="10"/>
            <x v="11"/>
            <x v="12"/>
          </reference>
        </references>
      </pivotArea>
    </format>
  </formats>
  <pivotTableStyleInfo name="PivotStyleDark6 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7BF827E-6406-4974-BA90-9C6D75B354A9}" name="average_of_rev"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A11" firstHeaderRow="1" firstDataRow="1" firstDataCol="0"/>
  <pivotFields count="14">
    <pivotField showAll="0">
      <items count="2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t="default"/>
      </items>
    </pivotField>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items count="16">
        <item x="3"/>
        <item x="9"/>
        <item x="2"/>
        <item x="6"/>
        <item x="4"/>
        <item x="14"/>
        <item x="8"/>
        <item x="11"/>
        <item x="12"/>
        <item x="7"/>
        <item x="10"/>
        <item x="1"/>
        <item x="5"/>
        <item x="13"/>
        <item x="0"/>
        <item t="default"/>
      </items>
    </pivotField>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Revenue" fld="11" subtotal="average" baseField="0" baseItem="0" numFmtId="165"/>
  </dataFields>
  <formats count="4">
    <format dxfId="60">
      <pivotArea type="all" dataOnly="0" outline="0" fieldPosition="0"/>
    </format>
    <format dxfId="61">
      <pivotArea outline="0" collapsedLevelsAreSubtotals="1" fieldPosition="0"/>
    </format>
    <format dxfId="62">
      <pivotArea dataOnly="0" labelOnly="1" outline="0" axis="axisValues" fieldPosition="0"/>
    </format>
    <format dxfId="63">
      <pivotArea outline="0" collapsedLevelsAreSubtotals="1" fieldPosition="0"/>
    </format>
  </formats>
  <pivotTableStyleInfo name="PivotStyleDark6 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F7753ED0-0006-403E-B0FA-359B4E071215}" sourceName="Region">
  <pivotTables>
    <pivotTable tabId="6" name="Revenue by Region"/>
    <pivotTable tabId="6" name="average_of_rev"/>
    <pivotTable tabId="6" name="Top 5 Products by Revenue"/>
    <pivotTable tabId="6" name="Revenue by Months"/>
    <pivotTable tabId="6" name="Revenue by Product Category"/>
    <pivotTable tabId="6" name="Revenue by Sales Channel"/>
    <pivotTable tabId="6" name="total_orders"/>
    <pivotTable tabId="6" name="total_quantity_sold"/>
    <pivotTable tabId="6" name="total_revenue"/>
    <pivotTable tabId="6" name="PivotTable10"/>
    <pivotTable tabId="6" name="PivotTable1"/>
  </pivotTables>
  <data>
    <tabular pivotCacheId="412867911">
      <items count="5">
        <i x="3" s="1"/>
        <i x="1" s="1"/>
        <i x="2" s="1"/>
        <i x="4" s="1"/>
        <i x="0" s="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1" xr10:uid="{D8246CFC-D975-467F-A821-52533FA2B124}" sourceName="Sales Channel">
  <pivotTables>
    <pivotTable tabId="6" name="Revenue by Region"/>
    <pivotTable tabId="6" name="average_of_rev"/>
    <pivotTable tabId="6" name="Top 5 Products by Revenue"/>
    <pivotTable tabId="6" name="Revenue by Months"/>
    <pivotTable tabId="6" name="Revenue by Product Category"/>
    <pivotTable tabId="6" name="total_orders"/>
    <pivotTable tabId="6" name="total_quantity_sold"/>
    <pivotTable tabId="6" name="total_revenue"/>
    <pivotTable tabId="6" name="PivotTable10"/>
    <pivotTable tabId="6" name="PivotTable1"/>
  </pivotTables>
  <data>
    <tabular pivotCacheId="412867911">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1" xr10:uid="{F23AFAA4-D39E-453C-8822-A13BDAC64B4E}" sourceName="Customer Type">
  <pivotTables>
    <pivotTable tabId="6" name="Revenue by Region"/>
    <pivotTable tabId="6" name="average_of_rev"/>
    <pivotTable tabId="6" name="Top 5 Products by Revenue"/>
    <pivotTable tabId="6" name="Revenue by Months"/>
    <pivotTable tabId="6" name="Revenue by Product Category"/>
    <pivotTable tabId="6" name="Revenue by Sales Channel"/>
    <pivotTable tabId="6" name="total_orders"/>
    <pivotTable tabId="6" name="total_quantity_sold"/>
    <pivotTable tabId="6" name="total_revenue"/>
    <pivotTable tabId="6" name="PivotTable10"/>
    <pivotTable tabId="6" name="PivotTable1"/>
  </pivotTables>
  <data>
    <tabular pivotCacheId="412867911">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1" xr10:uid="{1C35C6B3-0E17-481A-955E-6FE52974FBC3}" sourceName="Product Category">
  <pivotTables>
    <pivotTable tabId="6" name="Revenue by Region"/>
    <pivotTable tabId="6" name="average_of_rev"/>
    <pivotTable tabId="6" name="Top 5 Products by Revenue"/>
    <pivotTable tabId="6" name="Revenue by Months"/>
    <pivotTable tabId="6" name="Revenue by Product Category"/>
    <pivotTable tabId="6" name="Revenue by Sales Channel"/>
    <pivotTable tabId="6" name="total_orders"/>
    <pivotTable tabId="6" name="total_quantity_sold"/>
    <pivotTable tabId="6" name="total_revenue"/>
    <pivotTable tabId="6" name="PivotTable10"/>
    <pivotTable tabId="6" name="PivotTable1"/>
  </pivotTables>
  <data>
    <tabular pivotCacheId="412867911">
      <items count="6">
        <i x="0" s="1"/>
        <i x="3" s="1"/>
        <i x="4" s="1"/>
        <i x="2" s="1"/>
        <i x="5"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1" xr10:uid="{7E682927-A26A-43C0-86F3-86F5FB426303}" sourceName="Salesperson">
  <pivotTables>
    <pivotTable tabId="6" name="PivotTable1"/>
    <pivotTable tabId="6" name="average_of_rev"/>
    <pivotTable tabId="6" name="PivotTable10"/>
    <pivotTable tabId="6" name="Revenue by Months"/>
    <pivotTable tabId="6" name="Revenue by Product Category"/>
    <pivotTable tabId="6" name="Revenue by Region"/>
    <pivotTable tabId="6" name="Revenue by Sales Channel"/>
    <pivotTable tabId="6" name="Top 5 Products by Revenue"/>
    <pivotTable tabId="6" name="total_orders"/>
    <pivotTable tabId="6" name="total_quantity_sold"/>
    <pivotTable tabId="6" name="total_revenue"/>
  </pivotTables>
  <data>
    <tabular pivotCacheId="412867911">
      <items count="15">
        <i x="3" s="1"/>
        <i x="9" s="1"/>
        <i x="2" s="1"/>
        <i x="6" s="1"/>
        <i x="4" s="1"/>
        <i x="14" s="1"/>
        <i x="8" s="1"/>
        <i x="11" s="1"/>
        <i x="12" s="1"/>
        <i x="7" s="1"/>
        <i x="10" s="1"/>
        <i x="1" s="1"/>
        <i x="5" s="1"/>
        <i x="1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244F0784-B830-4B62-AA42-5FED72C5EC96}" cache="Slicer_Region1" caption="Region" style="Night 2 2" lockedPosition="1" rowHeight="288000"/>
  <slicer name="Sales Channel 1" xr10:uid="{3F98BF2C-A758-4BED-B470-DC8EAC974E25}" cache="Slicer_Sales_Channel1" caption="Sales Channel" style="Night 2 2" lockedPosition="1" rowHeight="288000"/>
  <slicer name="Customer Type 1" xr10:uid="{6A3114DC-8886-482B-AB19-7C640D393155}" cache="Slicer_Customer_Type1" caption="Customer Type" lockedPosition="1" rowHeight="288000"/>
  <slicer name="Product Category 1" xr10:uid="{4734C046-71DD-44C9-ACCB-1C635D52D42B}" cache="Slicer_Product_Category1" caption="Product Category" style="Night 2 2" lockedPosition="1" rowHeight="288000"/>
  <slicer name="Salesperson 1" xr10:uid="{5D35B602-3900-4309-9A53-BEB193BBFBCE}" cache="Slicer_Salesperson1" caption="Salesperson" lockedPosition="1" rowHeight="28892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5B0BF28-BEEB-4DD7-9D20-A28410D39CC2}" name="Sales_Data" displayName="Sales_Data" ref="A1:L2001" totalsRowShown="0" dataDxfId="84">
  <tableColumns count="12">
    <tableColumn id="1" xr3:uid="{EB25C69A-A2D3-4200-91EA-8E3165AF9E00}" name="Order ID" dataDxfId="83"/>
    <tableColumn id="2" xr3:uid="{179518F6-FD6A-41B7-AE5E-75D1AB1D0993}" name="Date" dataDxfId="82"/>
    <tableColumn id="3" xr3:uid="{05DD95AB-A2F4-4020-96E3-A8C1681E7078}" name="Region" dataDxfId="81"/>
    <tableColumn id="4" xr3:uid="{CC282143-1417-4E9B-BD45-821D1CF8D04E}" name="Sales Channel" dataDxfId="80"/>
    <tableColumn id="5" xr3:uid="{BFB69CA2-645C-4C11-A5B2-B05049213E5A}" name="Customer Type" dataDxfId="79"/>
    <tableColumn id="6" xr3:uid="{479E1756-B9BE-47FF-B641-349528D7A057}" name="Product Category" dataDxfId="78"/>
    <tableColumn id="7" xr3:uid="{6473BCB6-D19F-4C54-B144-AA06EA344DBC}" name="Product" dataDxfId="77"/>
    <tableColumn id="8" xr3:uid="{7877448E-9224-4099-9693-140332FAE55A}" name="Salesperson" dataDxfId="76"/>
    <tableColumn id="9" xr3:uid="{0B9D1B76-5B32-4EBD-9074-70C725B4F327}" name="Quantity" dataDxfId="75"/>
    <tableColumn id="10" xr3:uid="{7D00C527-F4B3-46CF-A2A9-16D461C44AFC}" name="Unit Price" dataDxfId="74"/>
    <tableColumn id="11" xr3:uid="{7EAF0795-BAD3-458D-91BB-ADCBCEF06DFC}" name="Discount" dataDxfId="73" dataCellStyle="Percent"/>
    <tableColumn id="12" xr3:uid="{280722F0-44BB-4EF8-B22E-A4CCC46338D6}" name="Revenue" dataDxfId="72"/>
  </tableColumns>
  <tableStyleInfo name="TableStyleDark3" showFirstColumn="0" showLastColumn="0" showRowStripes="0" showColumnStripes="0"/>
</table>
</file>

<file path=xl/theme/theme1.xml><?xml version="1.0" encoding="utf-8"?>
<a:theme xmlns:a="http://schemas.openxmlformats.org/drawingml/2006/main" name="Office Theme">
  <a:themeElements>
    <a:clrScheme name="MargAnalytics Dashboard">
      <a:dk1>
        <a:srgbClr val="1F2937"/>
      </a:dk1>
      <a:lt1>
        <a:srgbClr val="FFFFFF"/>
      </a:lt1>
      <a:dk2>
        <a:srgbClr val="1F4E9E"/>
      </a:dk2>
      <a:lt2>
        <a:srgbClr val="F7F9FC"/>
      </a:lt2>
      <a:accent1>
        <a:srgbClr val="2F72D0"/>
      </a:accent1>
      <a:accent2>
        <a:srgbClr val="16A6B6"/>
      </a:accent2>
      <a:accent3>
        <a:srgbClr val="2EAD57"/>
      </a:accent3>
      <a:accent4>
        <a:srgbClr val="D9E8F7"/>
      </a:accent4>
      <a:accent5>
        <a:srgbClr val="0E8E9B"/>
      </a:accent5>
      <a:accent6>
        <a:srgbClr val="D5DFEA"/>
      </a:accent6>
      <a:hlink>
        <a:srgbClr val="2F72D0"/>
      </a:hlink>
      <a:folHlink>
        <a:srgbClr val="1F4E9E"/>
      </a:folHlink>
    </a:clrScheme>
    <a:fontScheme name="Marg Analytics Dashboard">
      <a:majorFont>
        <a:latin typeface="Segoe UI Semibold"/>
        <a:ea typeface=""/>
        <a:cs typeface=""/>
      </a:majorFont>
      <a:minorFont>
        <a:latin typeface="Segoe UI"/>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5679FF3F-FCD6-46FE-81B9-88608B50F381}" sourceName="Date">
  <pivotTables>
    <pivotTable tabId="6" name="Revenue by Months"/>
    <pivotTable tabId="6" name="PivotTable1"/>
  </pivotTables>
  <state minimalRefreshVersion="6" lastRefreshVersion="6" pivotCacheId="412867911" filterType="unknown">
    <bounds startDate="2026-01-01T00:00:00" endDate="2028-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5" xr10:uid="{229993DC-47EF-43F6-A141-86B6DD58197E}" cache="NativeTimeline_Date1" caption="Years" showSelectionLabel="0" showTimeLevel="0" showHorizontalScrollbar="0" level="0" selectionLevel="0" scrollPosition="2026-01-01T00:00:00" style="Slicer night 2 2"/>
  <timeline name="Quarters" xr10:uid="{3E16A793-C621-4DF1-837E-475825AC255A}" cache="NativeTimeline_Date1" caption="Quarters" showSelectionLabel="0" showTimeLevel="0" showHorizontalScrollbar="0" level="1" selectionLevel="1" scrollPosition="2026-01-01T00:00:00" style="Slicer night 2 2"/>
  <timeline name="Date 7" xr10:uid="{9D18E666-DDE1-4E1E-A5C5-1047BB1D24A6}" cache="NativeTimeline_Date1" caption="Days" showSelectionLabel="0" showTimeLevel="0" level="3" selectionLevel="3" scrollPosition="2026-01-01T00:00:00" style="Slicer night 2 2"/>
  <timeline name="Date 6" xr10:uid="{9AFD441C-30C5-44F5-A491-25688008CDCE}" cache="NativeTimeline_Date1" caption="Months" showSelectionLabel="0" showTimeLevel="0" level="2" selectionLevel="2" scrollPosition="2026-01-01T00:00:00" style="Slicer night 2 2"/>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001"/>
  <sheetViews>
    <sheetView zoomScaleNormal="100" workbookViewId="0">
      <selection activeCell="F9" sqref="F9"/>
    </sheetView>
  </sheetViews>
  <sheetFormatPr defaultRowHeight="16.5"/>
  <cols>
    <col min="1" max="1" width="10.625" bestFit="1" customWidth="1"/>
    <col min="2" max="2" width="10.375" style="1" bestFit="1" customWidth="1"/>
    <col min="3" max="3" width="9.25" bestFit="1" customWidth="1"/>
    <col min="4" max="4" width="15" bestFit="1" customWidth="1"/>
    <col min="5" max="5" width="16.5" bestFit="1" customWidth="1"/>
    <col min="6" max="6" width="18.5" bestFit="1" customWidth="1"/>
    <col min="7" max="7" width="18.25" bestFit="1" customWidth="1"/>
    <col min="8" max="8" width="13.5" bestFit="1" customWidth="1"/>
    <col min="9" max="9" width="10.75" bestFit="1" customWidth="1"/>
    <col min="10" max="10" width="11.625" style="2" bestFit="1" customWidth="1"/>
    <col min="11" max="11" width="10.875" style="3" bestFit="1" customWidth="1"/>
    <col min="12" max="12" width="10.625" style="2" bestFit="1" customWidth="1"/>
  </cols>
  <sheetData>
    <row r="1" spans="1:12">
      <c r="A1" t="s">
        <v>0</v>
      </c>
      <c r="B1" s="1" t="s">
        <v>1</v>
      </c>
      <c r="C1" t="s">
        <v>2</v>
      </c>
      <c r="D1" t="s">
        <v>3</v>
      </c>
      <c r="E1" t="s">
        <v>4</v>
      </c>
      <c r="F1" t="s">
        <v>5</v>
      </c>
      <c r="G1" t="s">
        <v>6</v>
      </c>
      <c r="H1" t="s">
        <v>7</v>
      </c>
      <c r="I1" t="s">
        <v>8</v>
      </c>
      <c r="J1" s="2" t="s">
        <v>9</v>
      </c>
      <c r="K1" s="3" t="s">
        <v>10</v>
      </c>
      <c r="L1" s="2" t="s">
        <v>11</v>
      </c>
    </row>
    <row r="2" spans="1:12">
      <c r="A2" s="19" t="s">
        <v>12</v>
      </c>
      <c r="B2" s="20">
        <v>46266</v>
      </c>
      <c r="C2" s="19" t="s">
        <v>13</v>
      </c>
      <c r="D2" s="19" t="s">
        <v>14</v>
      </c>
      <c r="E2" s="19" t="s">
        <v>15</v>
      </c>
      <c r="F2" s="19" t="s">
        <v>16</v>
      </c>
      <c r="G2" s="19" t="s">
        <v>17</v>
      </c>
      <c r="H2" s="19" t="s">
        <v>18</v>
      </c>
      <c r="I2" s="19">
        <v>3</v>
      </c>
      <c r="J2" s="21">
        <v>14.55</v>
      </c>
      <c r="K2" s="22">
        <v>0</v>
      </c>
      <c r="L2" s="21">
        <v>43.650000000000006</v>
      </c>
    </row>
    <row r="3" spans="1:12">
      <c r="A3" s="19" t="s">
        <v>19</v>
      </c>
      <c r="B3" s="20">
        <v>46098</v>
      </c>
      <c r="C3" s="19" t="s">
        <v>20</v>
      </c>
      <c r="D3" s="19" t="s">
        <v>21</v>
      </c>
      <c r="E3" s="19" t="s">
        <v>22</v>
      </c>
      <c r="F3" s="19" t="s">
        <v>23</v>
      </c>
      <c r="G3" s="19" t="s">
        <v>24</v>
      </c>
      <c r="H3" s="19" t="s">
        <v>25</v>
      </c>
      <c r="I3" s="19">
        <v>2</v>
      </c>
      <c r="J3" s="21">
        <v>90</v>
      </c>
      <c r="K3" s="22">
        <v>0.03</v>
      </c>
      <c r="L3" s="21">
        <v>174.6</v>
      </c>
    </row>
    <row r="4" spans="1:12">
      <c r="A4" s="19" t="s">
        <v>26</v>
      </c>
      <c r="B4" s="20">
        <v>46301</v>
      </c>
      <c r="C4" s="19" t="s">
        <v>13</v>
      </c>
      <c r="D4" s="19" t="s">
        <v>14</v>
      </c>
      <c r="E4" s="19" t="s">
        <v>15</v>
      </c>
      <c r="F4" s="19" t="s">
        <v>27</v>
      </c>
      <c r="G4" s="19" t="s">
        <v>28</v>
      </c>
      <c r="H4" s="19" t="s">
        <v>29</v>
      </c>
      <c r="I4" s="19">
        <v>1</v>
      </c>
      <c r="J4" s="21">
        <v>19.399999999999999</v>
      </c>
      <c r="K4" s="22">
        <v>0</v>
      </c>
      <c r="L4" s="21">
        <v>19.399999999999999</v>
      </c>
    </row>
    <row r="5" spans="1:12">
      <c r="A5" s="19" t="s">
        <v>30</v>
      </c>
      <c r="B5" s="20">
        <v>46260</v>
      </c>
      <c r="C5" s="19" t="s">
        <v>31</v>
      </c>
      <c r="D5" s="19" t="s">
        <v>21</v>
      </c>
      <c r="E5" s="19" t="s">
        <v>15</v>
      </c>
      <c r="F5" s="19" t="s">
        <v>27</v>
      </c>
      <c r="G5" s="19" t="s">
        <v>32</v>
      </c>
      <c r="H5" s="19" t="s">
        <v>33</v>
      </c>
      <c r="I5" s="19">
        <v>5</v>
      </c>
      <c r="J5" s="21">
        <v>280</v>
      </c>
      <c r="K5" s="22">
        <v>0.05</v>
      </c>
      <c r="L5" s="21">
        <v>1330</v>
      </c>
    </row>
    <row r="6" spans="1:12">
      <c r="A6" s="19" t="s">
        <v>34</v>
      </c>
      <c r="B6" s="20">
        <v>46257</v>
      </c>
      <c r="C6" s="19" t="s">
        <v>31</v>
      </c>
      <c r="D6" s="19" t="s">
        <v>35</v>
      </c>
      <c r="E6" s="19" t="s">
        <v>22</v>
      </c>
      <c r="F6" s="19" t="s">
        <v>27</v>
      </c>
      <c r="G6" s="19" t="s">
        <v>36</v>
      </c>
      <c r="H6" s="19" t="s">
        <v>33</v>
      </c>
      <c r="I6" s="19">
        <v>6</v>
      </c>
      <c r="J6" s="21">
        <v>727.5</v>
      </c>
      <c r="K6" s="22">
        <v>0.05</v>
      </c>
      <c r="L6" s="21">
        <v>4146.75</v>
      </c>
    </row>
    <row r="7" spans="1:12">
      <c r="A7" s="19" t="s">
        <v>37</v>
      </c>
      <c r="B7" s="20">
        <v>46093</v>
      </c>
      <c r="C7" s="19" t="s">
        <v>31</v>
      </c>
      <c r="D7" s="19" t="s">
        <v>14</v>
      </c>
      <c r="E7" s="19" t="s">
        <v>22</v>
      </c>
      <c r="F7" s="19" t="s">
        <v>23</v>
      </c>
      <c r="G7" s="19" t="s">
        <v>38</v>
      </c>
      <c r="H7" s="19" t="s">
        <v>39</v>
      </c>
      <c r="I7" s="19">
        <v>1</v>
      </c>
      <c r="J7" s="21">
        <v>320</v>
      </c>
      <c r="K7" s="22">
        <v>0.05</v>
      </c>
      <c r="L7" s="21">
        <v>304</v>
      </c>
    </row>
    <row r="8" spans="1:12">
      <c r="A8" s="19" t="s">
        <v>40</v>
      </c>
      <c r="B8" s="20">
        <v>46273</v>
      </c>
      <c r="C8" s="19" t="s">
        <v>13</v>
      </c>
      <c r="D8" s="19" t="s">
        <v>41</v>
      </c>
      <c r="E8" s="19" t="s">
        <v>22</v>
      </c>
      <c r="F8" s="19" t="s">
        <v>16</v>
      </c>
      <c r="G8" s="19" t="s">
        <v>42</v>
      </c>
      <c r="H8" s="19" t="s">
        <v>43</v>
      </c>
      <c r="I8" s="19">
        <v>2</v>
      </c>
      <c r="J8" s="21">
        <v>45.9</v>
      </c>
      <c r="K8" s="22">
        <v>0</v>
      </c>
      <c r="L8" s="21">
        <v>91.8</v>
      </c>
    </row>
    <row r="9" spans="1:12">
      <c r="A9" s="19" t="s">
        <v>44</v>
      </c>
      <c r="B9" s="20">
        <v>46337</v>
      </c>
      <c r="C9" s="19" t="s">
        <v>31</v>
      </c>
      <c r="D9" s="19" t="s">
        <v>21</v>
      </c>
      <c r="E9" s="19" t="s">
        <v>22</v>
      </c>
      <c r="F9" s="19" t="s">
        <v>23</v>
      </c>
      <c r="G9" s="19" t="s">
        <v>38</v>
      </c>
      <c r="H9" s="19" t="s">
        <v>39</v>
      </c>
      <c r="I9" s="19">
        <v>1</v>
      </c>
      <c r="J9" s="21">
        <v>320</v>
      </c>
      <c r="K9" s="22">
        <v>0.15</v>
      </c>
      <c r="L9" s="21">
        <v>272</v>
      </c>
    </row>
    <row r="10" spans="1:12">
      <c r="A10" s="19" t="s">
        <v>45</v>
      </c>
      <c r="B10" s="20">
        <v>46131</v>
      </c>
      <c r="C10" s="19" t="s">
        <v>20</v>
      </c>
      <c r="D10" s="19" t="s">
        <v>21</v>
      </c>
      <c r="E10" s="19" t="s">
        <v>22</v>
      </c>
      <c r="F10" s="19" t="s">
        <v>27</v>
      </c>
      <c r="G10" s="19" t="s">
        <v>36</v>
      </c>
      <c r="H10" s="19" t="s">
        <v>25</v>
      </c>
      <c r="I10" s="19">
        <v>1</v>
      </c>
      <c r="J10" s="21">
        <v>795</v>
      </c>
      <c r="K10" s="22">
        <v>0</v>
      </c>
      <c r="L10" s="21">
        <v>795</v>
      </c>
    </row>
    <row r="11" spans="1:12">
      <c r="A11" s="19" t="s">
        <v>46</v>
      </c>
      <c r="B11" s="20">
        <v>46087</v>
      </c>
      <c r="C11" s="19" t="s">
        <v>47</v>
      </c>
      <c r="D11" s="19" t="s">
        <v>21</v>
      </c>
      <c r="E11" s="19" t="s">
        <v>15</v>
      </c>
      <c r="F11" s="19" t="s">
        <v>48</v>
      </c>
      <c r="G11" s="19" t="s">
        <v>49</v>
      </c>
      <c r="H11" s="19" t="s">
        <v>50</v>
      </c>
      <c r="I11" s="19">
        <v>4</v>
      </c>
      <c r="J11" s="21">
        <v>4200</v>
      </c>
      <c r="K11" s="22">
        <v>0.1</v>
      </c>
      <c r="L11" s="21">
        <v>15120</v>
      </c>
    </row>
    <row r="12" spans="1:12">
      <c r="A12" s="19" t="s">
        <v>51</v>
      </c>
      <c r="B12" s="20">
        <v>46269</v>
      </c>
      <c r="C12" s="19" t="s">
        <v>13</v>
      </c>
      <c r="D12" s="19" t="s">
        <v>21</v>
      </c>
      <c r="E12" s="19" t="s">
        <v>15</v>
      </c>
      <c r="F12" s="19" t="s">
        <v>23</v>
      </c>
      <c r="G12" s="19" t="s">
        <v>52</v>
      </c>
      <c r="H12" s="19" t="s">
        <v>43</v>
      </c>
      <c r="I12" s="19">
        <v>2</v>
      </c>
      <c r="J12" s="21">
        <v>450</v>
      </c>
      <c r="K12" s="22">
        <v>0.05</v>
      </c>
      <c r="L12" s="21">
        <v>855</v>
      </c>
    </row>
    <row r="13" spans="1:12">
      <c r="A13" s="19" t="s">
        <v>53</v>
      </c>
      <c r="B13" s="20">
        <v>46335</v>
      </c>
      <c r="C13" s="19" t="s">
        <v>47</v>
      </c>
      <c r="D13" s="19" t="s">
        <v>35</v>
      </c>
      <c r="E13" s="19" t="s">
        <v>22</v>
      </c>
      <c r="F13" s="19" t="s">
        <v>48</v>
      </c>
      <c r="G13" s="19" t="s">
        <v>54</v>
      </c>
      <c r="H13" s="19" t="s">
        <v>55</v>
      </c>
      <c r="I13" s="19">
        <v>1</v>
      </c>
      <c r="J13" s="21">
        <v>1800</v>
      </c>
      <c r="K13" s="22">
        <v>0.15</v>
      </c>
      <c r="L13" s="21">
        <v>1530</v>
      </c>
    </row>
    <row r="14" spans="1:12">
      <c r="A14" s="19" t="s">
        <v>56</v>
      </c>
      <c r="B14" s="20">
        <v>46386</v>
      </c>
      <c r="C14" s="19" t="s">
        <v>20</v>
      </c>
      <c r="D14" s="19" t="s">
        <v>14</v>
      </c>
      <c r="E14" s="19" t="s">
        <v>15</v>
      </c>
      <c r="F14" s="19" t="s">
        <v>16</v>
      </c>
      <c r="G14" s="19" t="s">
        <v>57</v>
      </c>
      <c r="H14" s="19" t="s">
        <v>58</v>
      </c>
      <c r="I14" s="19">
        <v>1</v>
      </c>
      <c r="J14" s="21">
        <v>38</v>
      </c>
      <c r="K14" s="22">
        <v>0.05</v>
      </c>
      <c r="L14" s="21">
        <v>36.1</v>
      </c>
    </row>
    <row r="15" spans="1:12">
      <c r="A15" s="19" t="s">
        <v>59</v>
      </c>
      <c r="B15" s="20">
        <v>46359</v>
      </c>
      <c r="C15" s="19" t="s">
        <v>13</v>
      </c>
      <c r="D15" s="19" t="s">
        <v>41</v>
      </c>
      <c r="E15" s="19" t="s">
        <v>22</v>
      </c>
      <c r="F15" s="19" t="s">
        <v>60</v>
      </c>
      <c r="G15" s="19" t="s">
        <v>61</v>
      </c>
      <c r="H15" s="19" t="s">
        <v>18</v>
      </c>
      <c r="I15" s="19">
        <v>2</v>
      </c>
      <c r="J15" s="21">
        <v>850</v>
      </c>
      <c r="K15" s="22">
        <v>0.2</v>
      </c>
      <c r="L15" s="21">
        <v>1360</v>
      </c>
    </row>
    <row r="16" spans="1:12">
      <c r="A16" s="19" t="s">
        <v>62</v>
      </c>
      <c r="B16" s="20">
        <v>46140</v>
      </c>
      <c r="C16" s="19" t="s">
        <v>20</v>
      </c>
      <c r="D16" s="19" t="s">
        <v>41</v>
      </c>
      <c r="E16" s="19" t="s">
        <v>22</v>
      </c>
      <c r="F16" s="19" t="s">
        <v>23</v>
      </c>
      <c r="G16" s="19" t="s">
        <v>38</v>
      </c>
      <c r="H16" s="19" t="s">
        <v>63</v>
      </c>
      <c r="I16" s="19">
        <v>2</v>
      </c>
      <c r="J16" s="21">
        <v>320</v>
      </c>
      <c r="K16" s="22">
        <v>0.1</v>
      </c>
      <c r="L16" s="21">
        <v>576</v>
      </c>
    </row>
    <row r="17" spans="1:12">
      <c r="A17" s="19" t="s">
        <v>64</v>
      </c>
      <c r="B17" s="20">
        <v>46190</v>
      </c>
      <c r="C17" s="19" t="s">
        <v>20</v>
      </c>
      <c r="D17" s="19" t="s">
        <v>14</v>
      </c>
      <c r="E17" s="19" t="s">
        <v>15</v>
      </c>
      <c r="F17" s="19" t="s">
        <v>16</v>
      </c>
      <c r="G17" s="19" t="s">
        <v>65</v>
      </c>
      <c r="H17" s="19" t="s">
        <v>58</v>
      </c>
      <c r="I17" s="19">
        <v>3</v>
      </c>
      <c r="J17" s="21">
        <v>80</v>
      </c>
      <c r="K17" s="22">
        <v>0</v>
      </c>
      <c r="L17" s="21">
        <v>240</v>
      </c>
    </row>
    <row r="18" spans="1:12">
      <c r="A18" s="19" t="s">
        <v>66</v>
      </c>
      <c r="B18" s="20">
        <v>46273</v>
      </c>
      <c r="C18" s="19" t="s">
        <v>31</v>
      </c>
      <c r="D18" s="19" t="s">
        <v>14</v>
      </c>
      <c r="E18" s="19" t="s">
        <v>15</v>
      </c>
      <c r="F18" s="19" t="s">
        <v>60</v>
      </c>
      <c r="G18" s="19" t="s">
        <v>67</v>
      </c>
      <c r="H18" s="19" t="s">
        <v>39</v>
      </c>
      <c r="I18" s="19">
        <v>1</v>
      </c>
      <c r="J18" s="21">
        <v>1590</v>
      </c>
      <c r="K18" s="22">
        <v>0</v>
      </c>
      <c r="L18" s="21">
        <v>1590</v>
      </c>
    </row>
    <row r="19" spans="1:12">
      <c r="A19" s="19" t="s">
        <v>68</v>
      </c>
      <c r="B19" s="20">
        <v>46242</v>
      </c>
      <c r="C19" s="19" t="s">
        <v>47</v>
      </c>
      <c r="D19" s="19" t="s">
        <v>41</v>
      </c>
      <c r="E19" s="19" t="s">
        <v>15</v>
      </c>
      <c r="F19" s="19" t="s">
        <v>16</v>
      </c>
      <c r="G19" s="19" t="s">
        <v>69</v>
      </c>
      <c r="H19" s="19" t="s">
        <v>55</v>
      </c>
      <c r="I19" s="19">
        <v>2</v>
      </c>
      <c r="J19" s="21">
        <v>56.1</v>
      </c>
      <c r="K19" s="22">
        <v>0.08</v>
      </c>
      <c r="L19" s="21">
        <v>103.224</v>
      </c>
    </row>
    <row r="20" spans="1:12">
      <c r="A20" s="19" t="s">
        <v>70</v>
      </c>
      <c r="B20" s="20">
        <v>46043</v>
      </c>
      <c r="C20" s="19" t="s">
        <v>47</v>
      </c>
      <c r="D20" s="19" t="s">
        <v>14</v>
      </c>
      <c r="E20" s="19" t="s">
        <v>22</v>
      </c>
      <c r="F20" s="19" t="s">
        <v>48</v>
      </c>
      <c r="G20" s="19" t="s">
        <v>71</v>
      </c>
      <c r="H20" s="19" t="s">
        <v>50</v>
      </c>
      <c r="I20" s="19">
        <v>1</v>
      </c>
      <c r="J20" s="21">
        <v>3200</v>
      </c>
      <c r="K20" s="22">
        <v>0.05</v>
      </c>
      <c r="L20" s="21">
        <v>3040</v>
      </c>
    </row>
    <row r="21" spans="1:12">
      <c r="A21" s="19" t="s">
        <v>72</v>
      </c>
      <c r="B21" s="20">
        <v>46182</v>
      </c>
      <c r="C21" s="19" t="s">
        <v>20</v>
      </c>
      <c r="D21" s="19" t="s">
        <v>41</v>
      </c>
      <c r="E21" s="19" t="s">
        <v>15</v>
      </c>
      <c r="F21" s="19" t="s">
        <v>73</v>
      </c>
      <c r="G21" s="19" t="s">
        <v>74</v>
      </c>
      <c r="H21" s="19" t="s">
        <v>25</v>
      </c>
      <c r="I21" s="19">
        <v>1</v>
      </c>
      <c r="J21" s="21">
        <v>7.76</v>
      </c>
      <c r="K21" s="22">
        <v>0.2</v>
      </c>
      <c r="L21" s="21">
        <v>6.2080000000000002</v>
      </c>
    </row>
    <row r="22" spans="1:12">
      <c r="A22" s="19" t="s">
        <v>75</v>
      </c>
      <c r="B22" s="20">
        <v>46386</v>
      </c>
      <c r="C22" s="19" t="s">
        <v>13</v>
      </c>
      <c r="D22" s="19" t="s">
        <v>14</v>
      </c>
      <c r="E22" s="19" t="s">
        <v>22</v>
      </c>
      <c r="F22" s="19" t="s">
        <v>60</v>
      </c>
      <c r="G22" s="19" t="s">
        <v>76</v>
      </c>
      <c r="H22" s="19" t="s">
        <v>29</v>
      </c>
      <c r="I22" s="19">
        <v>1</v>
      </c>
      <c r="J22" s="21">
        <v>665</v>
      </c>
      <c r="K22" s="22">
        <v>0</v>
      </c>
      <c r="L22" s="21">
        <v>665</v>
      </c>
    </row>
    <row r="23" spans="1:12">
      <c r="A23" s="19" t="s">
        <v>77</v>
      </c>
      <c r="B23" s="20">
        <v>46138</v>
      </c>
      <c r="C23" s="19" t="s">
        <v>47</v>
      </c>
      <c r="D23" s="19" t="s">
        <v>14</v>
      </c>
      <c r="E23" s="19" t="s">
        <v>22</v>
      </c>
      <c r="F23" s="19" t="s">
        <v>23</v>
      </c>
      <c r="G23" s="19" t="s">
        <v>24</v>
      </c>
      <c r="H23" s="19" t="s">
        <v>50</v>
      </c>
      <c r="I23" s="19">
        <v>1</v>
      </c>
      <c r="J23" s="21">
        <v>90</v>
      </c>
      <c r="K23" s="22">
        <v>0.03</v>
      </c>
      <c r="L23" s="21">
        <v>87.3</v>
      </c>
    </row>
    <row r="24" spans="1:12">
      <c r="A24" s="19" t="s">
        <v>78</v>
      </c>
      <c r="B24" s="20">
        <v>46252</v>
      </c>
      <c r="C24" s="19" t="s">
        <v>31</v>
      </c>
      <c r="D24" s="19" t="s">
        <v>14</v>
      </c>
      <c r="E24" s="19" t="s">
        <v>15</v>
      </c>
      <c r="F24" s="19" t="s">
        <v>60</v>
      </c>
      <c r="G24" s="19" t="s">
        <v>61</v>
      </c>
      <c r="H24" s="19" t="s">
        <v>79</v>
      </c>
      <c r="I24" s="19">
        <v>4</v>
      </c>
      <c r="J24" s="21">
        <v>807.5</v>
      </c>
      <c r="K24" s="22">
        <v>0</v>
      </c>
      <c r="L24" s="21">
        <v>3230</v>
      </c>
    </row>
    <row r="25" spans="1:12">
      <c r="A25" s="19" t="s">
        <v>80</v>
      </c>
      <c r="B25" s="20">
        <v>46025</v>
      </c>
      <c r="C25" s="19" t="s">
        <v>13</v>
      </c>
      <c r="D25" s="19" t="s">
        <v>14</v>
      </c>
      <c r="E25" s="19" t="s">
        <v>15</v>
      </c>
      <c r="F25" s="19" t="s">
        <v>73</v>
      </c>
      <c r="G25" s="19" t="s">
        <v>81</v>
      </c>
      <c r="H25" s="19" t="s">
        <v>43</v>
      </c>
      <c r="I25" s="19">
        <v>3</v>
      </c>
      <c r="J25" s="21">
        <v>11.4</v>
      </c>
      <c r="K25" s="22">
        <v>0.03</v>
      </c>
      <c r="L25" s="21">
        <v>33.173999999999999</v>
      </c>
    </row>
    <row r="26" spans="1:12">
      <c r="A26" s="19" t="s">
        <v>82</v>
      </c>
      <c r="B26" s="20">
        <v>46245</v>
      </c>
      <c r="C26" s="19" t="s">
        <v>47</v>
      </c>
      <c r="D26" s="19" t="s">
        <v>14</v>
      </c>
      <c r="E26" s="19" t="s">
        <v>22</v>
      </c>
      <c r="F26" s="19" t="s">
        <v>16</v>
      </c>
      <c r="G26" s="19" t="s">
        <v>69</v>
      </c>
      <c r="H26" s="19" t="s">
        <v>83</v>
      </c>
      <c r="I26" s="19">
        <v>4</v>
      </c>
      <c r="J26" s="21">
        <v>55</v>
      </c>
      <c r="K26" s="22">
        <v>0.03</v>
      </c>
      <c r="L26" s="21">
        <v>213.4</v>
      </c>
    </row>
    <row r="27" spans="1:12">
      <c r="A27" s="19" t="s">
        <v>84</v>
      </c>
      <c r="B27" s="20">
        <v>46386</v>
      </c>
      <c r="C27" s="19" t="s">
        <v>31</v>
      </c>
      <c r="D27" s="19" t="s">
        <v>21</v>
      </c>
      <c r="E27" s="19" t="s">
        <v>22</v>
      </c>
      <c r="F27" s="19" t="s">
        <v>27</v>
      </c>
      <c r="G27" s="19" t="s">
        <v>32</v>
      </c>
      <c r="H27" s="19" t="s">
        <v>33</v>
      </c>
      <c r="I27" s="19">
        <v>3</v>
      </c>
      <c r="J27" s="21">
        <v>280</v>
      </c>
      <c r="K27" s="22">
        <v>0.03</v>
      </c>
      <c r="L27" s="21">
        <v>814.8</v>
      </c>
    </row>
    <row r="28" spans="1:12">
      <c r="A28" s="19" t="s">
        <v>85</v>
      </c>
      <c r="B28" s="20">
        <v>46355</v>
      </c>
      <c r="C28" s="19" t="s">
        <v>86</v>
      </c>
      <c r="D28" s="19" t="s">
        <v>14</v>
      </c>
      <c r="E28" s="19" t="s">
        <v>22</v>
      </c>
      <c r="F28" s="19" t="s">
        <v>60</v>
      </c>
      <c r="G28" s="19" t="s">
        <v>67</v>
      </c>
      <c r="H28" s="19" t="s">
        <v>87</v>
      </c>
      <c r="I28" s="19">
        <v>2</v>
      </c>
      <c r="J28" s="21">
        <v>1425</v>
      </c>
      <c r="K28" s="22">
        <v>0.08</v>
      </c>
      <c r="L28" s="21">
        <v>2622</v>
      </c>
    </row>
    <row r="29" spans="1:12">
      <c r="A29" s="19" t="s">
        <v>88</v>
      </c>
      <c r="B29" s="20">
        <v>46058</v>
      </c>
      <c r="C29" s="19" t="s">
        <v>86</v>
      </c>
      <c r="D29" s="19" t="s">
        <v>41</v>
      </c>
      <c r="E29" s="19" t="s">
        <v>22</v>
      </c>
      <c r="F29" s="19" t="s">
        <v>16</v>
      </c>
      <c r="G29" s="19" t="s">
        <v>57</v>
      </c>
      <c r="H29" s="19" t="s">
        <v>87</v>
      </c>
      <c r="I29" s="19">
        <v>4</v>
      </c>
      <c r="J29" s="21">
        <v>38</v>
      </c>
      <c r="K29" s="22">
        <v>0.03</v>
      </c>
      <c r="L29" s="21">
        <v>147.44</v>
      </c>
    </row>
    <row r="30" spans="1:12">
      <c r="A30" s="19" t="s">
        <v>89</v>
      </c>
      <c r="B30" s="20">
        <v>46343</v>
      </c>
      <c r="C30" s="19" t="s">
        <v>20</v>
      </c>
      <c r="D30" s="19" t="s">
        <v>41</v>
      </c>
      <c r="E30" s="19" t="s">
        <v>22</v>
      </c>
      <c r="F30" s="19" t="s">
        <v>16</v>
      </c>
      <c r="G30" s="19" t="s">
        <v>69</v>
      </c>
      <c r="H30" s="19" t="s">
        <v>25</v>
      </c>
      <c r="I30" s="19">
        <v>1</v>
      </c>
      <c r="J30" s="21">
        <v>55</v>
      </c>
      <c r="K30" s="22">
        <v>0.05</v>
      </c>
      <c r="L30" s="21">
        <v>52.25</v>
      </c>
    </row>
    <row r="31" spans="1:12">
      <c r="A31" s="19" t="s">
        <v>90</v>
      </c>
      <c r="B31" s="20">
        <v>46274</v>
      </c>
      <c r="C31" s="19" t="s">
        <v>31</v>
      </c>
      <c r="D31" s="19" t="s">
        <v>21</v>
      </c>
      <c r="E31" s="19" t="s">
        <v>22</v>
      </c>
      <c r="F31" s="19" t="s">
        <v>60</v>
      </c>
      <c r="G31" s="19" t="s">
        <v>91</v>
      </c>
      <c r="H31" s="19" t="s">
        <v>79</v>
      </c>
      <c r="I31" s="19">
        <v>4</v>
      </c>
      <c r="J31" s="21">
        <v>562.6</v>
      </c>
      <c r="K31" s="22">
        <v>0.08</v>
      </c>
      <c r="L31" s="21">
        <v>2070.3680000000004</v>
      </c>
    </row>
    <row r="32" spans="1:12">
      <c r="A32" s="19" t="s">
        <v>92</v>
      </c>
      <c r="B32" s="20">
        <v>46230</v>
      </c>
      <c r="C32" s="19" t="s">
        <v>86</v>
      </c>
      <c r="D32" s="19" t="s">
        <v>21</v>
      </c>
      <c r="E32" s="19" t="s">
        <v>22</v>
      </c>
      <c r="F32" s="19" t="s">
        <v>16</v>
      </c>
      <c r="G32" s="19" t="s">
        <v>57</v>
      </c>
      <c r="H32" s="19" t="s">
        <v>93</v>
      </c>
      <c r="I32" s="19">
        <v>6</v>
      </c>
      <c r="J32" s="21">
        <v>36.1</v>
      </c>
      <c r="K32" s="22">
        <v>0.03</v>
      </c>
      <c r="L32" s="21">
        <v>210.102</v>
      </c>
    </row>
    <row r="33" spans="1:12">
      <c r="A33" s="19" t="s">
        <v>94</v>
      </c>
      <c r="B33" s="20">
        <v>46277</v>
      </c>
      <c r="C33" s="19" t="s">
        <v>47</v>
      </c>
      <c r="D33" s="19" t="s">
        <v>41</v>
      </c>
      <c r="E33" s="19" t="s">
        <v>22</v>
      </c>
      <c r="F33" s="19" t="s">
        <v>23</v>
      </c>
      <c r="G33" s="19" t="s">
        <v>38</v>
      </c>
      <c r="H33" s="19" t="s">
        <v>50</v>
      </c>
      <c r="I33" s="19">
        <v>5</v>
      </c>
      <c r="J33" s="21">
        <v>320</v>
      </c>
      <c r="K33" s="22">
        <v>0.2</v>
      </c>
      <c r="L33" s="21">
        <v>1280</v>
      </c>
    </row>
    <row r="34" spans="1:12">
      <c r="A34" s="19" t="s">
        <v>95</v>
      </c>
      <c r="B34" s="20">
        <v>46327</v>
      </c>
      <c r="C34" s="19" t="s">
        <v>31</v>
      </c>
      <c r="D34" s="19" t="s">
        <v>41</v>
      </c>
      <c r="E34" s="19" t="s">
        <v>22</v>
      </c>
      <c r="F34" s="19" t="s">
        <v>48</v>
      </c>
      <c r="G34" s="19" t="s">
        <v>96</v>
      </c>
      <c r="H34" s="19" t="s">
        <v>33</v>
      </c>
      <c r="I34" s="19">
        <v>1</v>
      </c>
      <c r="J34" s="21">
        <v>2500</v>
      </c>
      <c r="K34" s="22">
        <v>0.1</v>
      </c>
      <c r="L34" s="21">
        <v>2250</v>
      </c>
    </row>
    <row r="35" spans="1:12">
      <c r="A35" s="19" t="s">
        <v>97</v>
      </c>
      <c r="B35" s="20">
        <v>46354</v>
      </c>
      <c r="C35" s="19" t="s">
        <v>20</v>
      </c>
      <c r="D35" s="19" t="s">
        <v>14</v>
      </c>
      <c r="E35" s="19" t="s">
        <v>22</v>
      </c>
      <c r="F35" s="19" t="s">
        <v>48</v>
      </c>
      <c r="G35" s="19" t="s">
        <v>96</v>
      </c>
      <c r="H35" s="19" t="s">
        <v>63</v>
      </c>
      <c r="I35" s="19">
        <v>1</v>
      </c>
      <c r="J35" s="21">
        <v>2500</v>
      </c>
      <c r="K35" s="22">
        <v>0.05</v>
      </c>
      <c r="L35" s="21">
        <v>2375</v>
      </c>
    </row>
    <row r="36" spans="1:12">
      <c r="A36" s="19" t="s">
        <v>98</v>
      </c>
      <c r="B36" s="20">
        <v>46115</v>
      </c>
      <c r="C36" s="19" t="s">
        <v>47</v>
      </c>
      <c r="D36" s="19" t="s">
        <v>14</v>
      </c>
      <c r="E36" s="19" t="s">
        <v>22</v>
      </c>
      <c r="F36" s="19" t="s">
        <v>48</v>
      </c>
      <c r="G36" s="19" t="s">
        <v>99</v>
      </c>
      <c r="H36" s="19" t="s">
        <v>83</v>
      </c>
      <c r="I36" s="19">
        <v>3</v>
      </c>
      <c r="J36" s="21">
        <v>3060</v>
      </c>
      <c r="K36" s="22">
        <v>0</v>
      </c>
      <c r="L36" s="21">
        <v>9180</v>
      </c>
    </row>
    <row r="37" spans="1:12">
      <c r="A37" s="19" t="s">
        <v>100</v>
      </c>
      <c r="B37" s="20">
        <v>46112</v>
      </c>
      <c r="C37" s="19" t="s">
        <v>47</v>
      </c>
      <c r="D37" s="19" t="s">
        <v>14</v>
      </c>
      <c r="E37" s="19" t="s">
        <v>22</v>
      </c>
      <c r="F37" s="19" t="s">
        <v>48</v>
      </c>
      <c r="G37" s="19" t="s">
        <v>54</v>
      </c>
      <c r="H37" s="19" t="s">
        <v>83</v>
      </c>
      <c r="I37" s="19">
        <v>1</v>
      </c>
      <c r="J37" s="21">
        <v>1872</v>
      </c>
      <c r="K37" s="22">
        <v>0.05</v>
      </c>
      <c r="L37" s="21">
        <v>1778.3999999999999</v>
      </c>
    </row>
    <row r="38" spans="1:12">
      <c r="A38" s="19" t="s">
        <v>101</v>
      </c>
      <c r="B38" s="20">
        <v>46333</v>
      </c>
      <c r="C38" s="19" t="s">
        <v>86</v>
      </c>
      <c r="D38" s="19" t="s">
        <v>35</v>
      </c>
      <c r="E38" s="19" t="s">
        <v>15</v>
      </c>
      <c r="F38" s="19" t="s">
        <v>27</v>
      </c>
      <c r="G38" s="19" t="s">
        <v>36</v>
      </c>
      <c r="H38" s="19" t="s">
        <v>102</v>
      </c>
      <c r="I38" s="19">
        <v>6</v>
      </c>
      <c r="J38" s="21">
        <v>765</v>
      </c>
      <c r="K38" s="22">
        <v>0.2</v>
      </c>
      <c r="L38" s="21">
        <v>3672</v>
      </c>
    </row>
    <row r="39" spans="1:12">
      <c r="A39" s="19" t="s">
        <v>103</v>
      </c>
      <c r="B39" s="20">
        <v>46256</v>
      </c>
      <c r="C39" s="19" t="s">
        <v>47</v>
      </c>
      <c r="D39" s="19" t="s">
        <v>35</v>
      </c>
      <c r="E39" s="19" t="s">
        <v>15</v>
      </c>
      <c r="F39" s="19" t="s">
        <v>48</v>
      </c>
      <c r="G39" s="19" t="s">
        <v>49</v>
      </c>
      <c r="H39" s="19" t="s">
        <v>50</v>
      </c>
      <c r="I39" s="19">
        <v>1</v>
      </c>
      <c r="J39" s="21">
        <v>4284</v>
      </c>
      <c r="K39" s="22">
        <v>0.05</v>
      </c>
      <c r="L39" s="21">
        <v>4069.7999999999997</v>
      </c>
    </row>
    <row r="40" spans="1:12">
      <c r="A40" s="19" t="s">
        <v>104</v>
      </c>
      <c r="B40" s="20">
        <v>46103</v>
      </c>
      <c r="C40" s="19" t="s">
        <v>47</v>
      </c>
      <c r="D40" s="19" t="s">
        <v>35</v>
      </c>
      <c r="E40" s="19" t="s">
        <v>22</v>
      </c>
      <c r="F40" s="19" t="s">
        <v>60</v>
      </c>
      <c r="G40" s="19" t="s">
        <v>67</v>
      </c>
      <c r="H40" s="19" t="s">
        <v>83</v>
      </c>
      <c r="I40" s="19">
        <v>2</v>
      </c>
      <c r="J40" s="21">
        <v>1560</v>
      </c>
      <c r="K40" s="22">
        <v>0</v>
      </c>
      <c r="L40" s="21">
        <v>3120</v>
      </c>
    </row>
    <row r="41" spans="1:12">
      <c r="A41" s="19" t="s">
        <v>105</v>
      </c>
      <c r="B41" s="20">
        <v>46107</v>
      </c>
      <c r="C41" s="19" t="s">
        <v>20</v>
      </c>
      <c r="D41" s="19" t="s">
        <v>35</v>
      </c>
      <c r="E41" s="19" t="s">
        <v>22</v>
      </c>
      <c r="F41" s="19" t="s">
        <v>60</v>
      </c>
      <c r="G41" s="19" t="s">
        <v>61</v>
      </c>
      <c r="H41" s="19" t="s">
        <v>58</v>
      </c>
      <c r="I41" s="19">
        <v>3</v>
      </c>
      <c r="J41" s="21">
        <v>901</v>
      </c>
      <c r="K41" s="22">
        <v>0.2</v>
      </c>
      <c r="L41" s="21">
        <v>2162.4</v>
      </c>
    </row>
    <row r="42" spans="1:12">
      <c r="A42" s="19" t="s">
        <v>106</v>
      </c>
      <c r="B42" s="20">
        <v>46084</v>
      </c>
      <c r="C42" s="19" t="s">
        <v>86</v>
      </c>
      <c r="D42" s="19" t="s">
        <v>35</v>
      </c>
      <c r="E42" s="19" t="s">
        <v>22</v>
      </c>
      <c r="F42" s="19" t="s">
        <v>48</v>
      </c>
      <c r="G42" s="19" t="s">
        <v>96</v>
      </c>
      <c r="H42" s="19" t="s">
        <v>93</v>
      </c>
      <c r="I42" s="19">
        <v>1</v>
      </c>
      <c r="J42" s="21">
        <v>2500</v>
      </c>
      <c r="K42" s="22">
        <v>0.03</v>
      </c>
      <c r="L42" s="21">
        <v>2425</v>
      </c>
    </row>
    <row r="43" spans="1:12">
      <c r="A43" s="19" t="s">
        <v>107</v>
      </c>
      <c r="B43" s="20">
        <v>46038</v>
      </c>
      <c r="C43" s="19" t="s">
        <v>20</v>
      </c>
      <c r="D43" s="19" t="s">
        <v>35</v>
      </c>
      <c r="E43" s="19" t="s">
        <v>22</v>
      </c>
      <c r="F43" s="19" t="s">
        <v>27</v>
      </c>
      <c r="G43" s="19" t="s">
        <v>36</v>
      </c>
      <c r="H43" s="19" t="s">
        <v>58</v>
      </c>
      <c r="I43" s="19">
        <v>7</v>
      </c>
      <c r="J43" s="21">
        <v>780</v>
      </c>
      <c r="K43" s="22">
        <v>0.05</v>
      </c>
      <c r="L43" s="21">
        <v>5187</v>
      </c>
    </row>
    <row r="44" spans="1:12">
      <c r="A44" s="19" t="s">
        <v>108</v>
      </c>
      <c r="B44" s="20">
        <v>46294</v>
      </c>
      <c r="C44" s="19" t="s">
        <v>13</v>
      </c>
      <c r="D44" s="19" t="s">
        <v>35</v>
      </c>
      <c r="E44" s="19" t="s">
        <v>15</v>
      </c>
      <c r="F44" s="19" t="s">
        <v>60</v>
      </c>
      <c r="G44" s="19" t="s">
        <v>61</v>
      </c>
      <c r="H44" s="19" t="s">
        <v>18</v>
      </c>
      <c r="I44" s="19">
        <v>1</v>
      </c>
      <c r="J44" s="21">
        <v>901</v>
      </c>
      <c r="K44" s="22">
        <v>0.05</v>
      </c>
      <c r="L44" s="21">
        <v>855.94999999999993</v>
      </c>
    </row>
    <row r="45" spans="1:12">
      <c r="A45" s="19" t="s">
        <v>109</v>
      </c>
      <c r="B45" s="20">
        <v>46199</v>
      </c>
      <c r="C45" s="19" t="s">
        <v>20</v>
      </c>
      <c r="D45" s="19" t="s">
        <v>21</v>
      </c>
      <c r="E45" s="19" t="s">
        <v>22</v>
      </c>
      <c r="F45" s="19" t="s">
        <v>48</v>
      </c>
      <c r="G45" s="19" t="s">
        <v>49</v>
      </c>
      <c r="H45" s="19" t="s">
        <v>25</v>
      </c>
      <c r="I45" s="19">
        <v>2</v>
      </c>
      <c r="J45" s="21">
        <v>4368</v>
      </c>
      <c r="K45" s="22">
        <v>0.08</v>
      </c>
      <c r="L45" s="21">
        <v>8037.1200000000008</v>
      </c>
    </row>
    <row r="46" spans="1:12">
      <c r="A46" s="19" t="s">
        <v>110</v>
      </c>
      <c r="B46" s="20">
        <v>46311</v>
      </c>
      <c r="C46" s="19" t="s">
        <v>20</v>
      </c>
      <c r="D46" s="19" t="s">
        <v>35</v>
      </c>
      <c r="E46" s="19" t="s">
        <v>22</v>
      </c>
      <c r="F46" s="19" t="s">
        <v>48</v>
      </c>
      <c r="G46" s="19" t="s">
        <v>99</v>
      </c>
      <c r="H46" s="19" t="s">
        <v>25</v>
      </c>
      <c r="I46" s="19">
        <v>1</v>
      </c>
      <c r="J46" s="21">
        <v>3180</v>
      </c>
      <c r="K46" s="22">
        <v>0.05</v>
      </c>
      <c r="L46" s="21">
        <v>3021</v>
      </c>
    </row>
    <row r="47" spans="1:12">
      <c r="A47" s="19" t="s">
        <v>111</v>
      </c>
      <c r="B47" s="20">
        <v>46273</v>
      </c>
      <c r="C47" s="19" t="s">
        <v>86</v>
      </c>
      <c r="D47" s="19" t="s">
        <v>14</v>
      </c>
      <c r="E47" s="19" t="s">
        <v>22</v>
      </c>
      <c r="F47" s="19" t="s">
        <v>16</v>
      </c>
      <c r="G47" s="19" t="s">
        <v>112</v>
      </c>
      <c r="H47" s="19" t="s">
        <v>93</v>
      </c>
      <c r="I47" s="19">
        <v>4</v>
      </c>
      <c r="J47" s="21">
        <v>67.599999999999994</v>
      </c>
      <c r="K47" s="22">
        <v>0.08</v>
      </c>
      <c r="L47" s="21">
        <v>248.768</v>
      </c>
    </row>
    <row r="48" spans="1:12">
      <c r="A48" s="19" t="s">
        <v>113</v>
      </c>
      <c r="B48" s="20">
        <v>46184</v>
      </c>
      <c r="C48" s="19" t="s">
        <v>20</v>
      </c>
      <c r="D48" s="19" t="s">
        <v>21</v>
      </c>
      <c r="E48" s="19" t="s">
        <v>15</v>
      </c>
      <c r="F48" s="19" t="s">
        <v>60</v>
      </c>
      <c r="G48" s="19" t="s">
        <v>91</v>
      </c>
      <c r="H48" s="19" t="s">
        <v>63</v>
      </c>
      <c r="I48" s="19">
        <v>1</v>
      </c>
      <c r="J48" s="21">
        <v>603.20000000000005</v>
      </c>
      <c r="K48" s="22">
        <v>0.2</v>
      </c>
      <c r="L48" s="21">
        <v>482.56000000000006</v>
      </c>
    </row>
    <row r="49" spans="1:12">
      <c r="A49" s="19" t="s">
        <v>114</v>
      </c>
      <c r="B49" s="20">
        <v>46323</v>
      </c>
      <c r="C49" s="19" t="s">
        <v>47</v>
      </c>
      <c r="D49" s="19" t="s">
        <v>41</v>
      </c>
      <c r="E49" s="19" t="s">
        <v>22</v>
      </c>
      <c r="F49" s="19" t="s">
        <v>23</v>
      </c>
      <c r="G49" s="19" t="s">
        <v>38</v>
      </c>
      <c r="H49" s="19" t="s">
        <v>50</v>
      </c>
      <c r="I49" s="19">
        <v>1</v>
      </c>
      <c r="J49" s="21">
        <v>339.2</v>
      </c>
      <c r="K49" s="22">
        <v>0.05</v>
      </c>
      <c r="L49" s="21">
        <v>322.23999999999995</v>
      </c>
    </row>
    <row r="50" spans="1:12">
      <c r="A50" s="19" t="s">
        <v>115</v>
      </c>
      <c r="B50" s="20">
        <v>46195</v>
      </c>
      <c r="C50" s="19" t="s">
        <v>13</v>
      </c>
      <c r="D50" s="19" t="s">
        <v>21</v>
      </c>
      <c r="E50" s="19" t="s">
        <v>15</v>
      </c>
      <c r="F50" s="19" t="s">
        <v>60</v>
      </c>
      <c r="G50" s="19" t="s">
        <v>61</v>
      </c>
      <c r="H50" s="19" t="s">
        <v>43</v>
      </c>
      <c r="I50" s="19">
        <v>4</v>
      </c>
      <c r="J50" s="21">
        <v>807.5</v>
      </c>
      <c r="K50" s="22">
        <v>0.1</v>
      </c>
      <c r="L50" s="21">
        <v>2907</v>
      </c>
    </row>
    <row r="51" spans="1:12">
      <c r="A51" s="19" t="s">
        <v>116</v>
      </c>
      <c r="B51" s="20">
        <v>46043</v>
      </c>
      <c r="C51" s="19" t="s">
        <v>20</v>
      </c>
      <c r="D51" s="19" t="s">
        <v>41</v>
      </c>
      <c r="E51" s="19" t="s">
        <v>15</v>
      </c>
      <c r="F51" s="19" t="s">
        <v>16</v>
      </c>
      <c r="G51" s="19" t="s">
        <v>57</v>
      </c>
      <c r="H51" s="19" t="s">
        <v>63</v>
      </c>
      <c r="I51" s="19">
        <v>2</v>
      </c>
      <c r="J51" s="21">
        <v>38</v>
      </c>
      <c r="K51" s="22">
        <v>0.05</v>
      </c>
      <c r="L51" s="21">
        <v>72.2</v>
      </c>
    </row>
    <row r="52" spans="1:12">
      <c r="A52" s="19" t="s">
        <v>117</v>
      </c>
      <c r="B52" s="20">
        <v>46139</v>
      </c>
      <c r="C52" s="19" t="s">
        <v>20</v>
      </c>
      <c r="D52" s="19" t="s">
        <v>41</v>
      </c>
      <c r="E52" s="19" t="s">
        <v>22</v>
      </c>
      <c r="F52" s="19" t="s">
        <v>23</v>
      </c>
      <c r="G52" s="19" t="s">
        <v>52</v>
      </c>
      <c r="H52" s="19" t="s">
        <v>58</v>
      </c>
      <c r="I52" s="19">
        <v>1</v>
      </c>
      <c r="J52" s="21">
        <v>459</v>
      </c>
      <c r="K52" s="22">
        <v>0</v>
      </c>
      <c r="L52" s="21">
        <v>459</v>
      </c>
    </row>
    <row r="53" spans="1:12">
      <c r="A53" s="19" t="s">
        <v>118</v>
      </c>
      <c r="B53" s="20">
        <v>46023</v>
      </c>
      <c r="C53" s="19" t="s">
        <v>47</v>
      </c>
      <c r="D53" s="19" t="s">
        <v>14</v>
      </c>
      <c r="E53" s="19" t="s">
        <v>15</v>
      </c>
      <c r="F53" s="19" t="s">
        <v>16</v>
      </c>
      <c r="G53" s="19" t="s">
        <v>112</v>
      </c>
      <c r="H53" s="19" t="s">
        <v>50</v>
      </c>
      <c r="I53" s="19">
        <v>3</v>
      </c>
      <c r="J53" s="21">
        <v>68.900000000000006</v>
      </c>
      <c r="K53" s="22">
        <v>0.05</v>
      </c>
      <c r="L53" s="21">
        <v>196.36500000000001</v>
      </c>
    </row>
    <row r="54" spans="1:12">
      <c r="A54" s="19" t="s">
        <v>119</v>
      </c>
      <c r="B54" s="20">
        <v>46182</v>
      </c>
      <c r="C54" s="19" t="s">
        <v>13</v>
      </c>
      <c r="D54" s="19" t="s">
        <v>14</v>
      </c>
      <c r="E54" s="19" t="s">
        <v>22</v>
      </c>
      <c r="F54" s="19" t="s">
        <v>23</v>
      </c>
      <c r="G54" s="19" t="s">
        <v>52</v>
      </c>
      <c r="H54" s="19" t="s">
        <v>18</v>
      </c>
      <c r="I54" s="19">
        <v>7</v>
      </c>
      <c r="J54" s="21">
        <v>450</v>
      </c>
      <c r="K54" s="22">
        <v>0.03</v>
      </c>
      <c r="L54" s="21">
        <v>3055.5</v>
      </c>
    </row>
    <row r="55" spans="1:12">
      <c r="A55" s="19" t="s">
        <v>120</v>
      </c>
      <c r="B55" s="20">
        <v>46375</v>
      </c>
      <c r="C55" s="19" t="s">
        <v>13</v>
      </c>
      <c r="D55" s="19" t="s">
        <v>41</v>
      </c>
      <c r="E55" s="19" t="s">
        <v>22</v>
      </c>
      <c r="F55" s="19" t="s">
        <v>23</v>
      </c>
      <c r="G55" s="19" t="s">
        <v>52</v>
      </c>
      <c r="H55" s="19" t="s">
        <v>43</v>
      </c>
      <c r="I55" s="19">
        <v>1</v>
      </c>
      <c r="J55" s="21">
        <v>450</v>
      </c>
      <c r="K55" s="22">
        <v>0.15</v>
      </c>
      <c r="L55" s="21">
        <v>382.5</v>
      </c>
    </row>
    <row r="56" spans="1:12">
      <c r="A56" s="19" t="s">
        <v>121</v>
      </c>
      <c r="B56" s="20">
        <v>46238</v>
      </c>
      <c r="C56" s="19" t="s">
        <v>47</v>
      </c>
      <c r="D56" s="19" t="s">
        <v>21</v>
      </c>
      <c r="E56" s="19" t="s">
        <v>15</v>
      </c>
      <c r="F56" s="19" t="s">
        <v>60</v>
      </c>
      <c r="G56" s="19" t="s">
        <v>67</v>
      </c>
      <c r="H56" s="19" t="s">
        <v>83</v>
      </c>
      <c r="I56" s="19">
        <v>2</v>
      </c>
      <c r="J56" s="21">
        <v>1455</v>
      </c>
      <c r="K56" s="22">
        <v>0.03</v>
      </c>
      <c r="L56" s="21">
        <v>2822.7</v>
      </c>
    </row>
    <row r="57" spans="1:12">
      <c r="A57" s="19" t="s">
        <v>122</v>
      </c>
      <c r="B57" s="20">
        <v>46330</v>
      </c>
      <c r="C57" s="19" t="s">
        <v>20</v>
      </c>
      <c r="D57" s="19" t="s">
        <v>14</v>
      </c>
      <c r="E57" s="19" t="s">
        <v>22</v>
      </c>
      <c r="F57" s="19" t="s">
        <v>60</v>
      </c>
      <c r="G57" s="19" t="s">
        <v>61</v>
      </c>
      <c r="H57" s="19" t="s">
        <v>58</v>
      </c>
      <c r="I57" s="19">
        <v>1</v>
      </c>
      <c r="J57" s="21">
        <v>884</v>
      </c>
      <c r="K57" s="22">
        <v>0.08</v>
      </c>
      <c r="L57" s="21">
        <v>813.28000000000009</v>
      </c>
    </row>
    <row r="58" spans="1:12">
      <c r="A58" s="19" t="s">
        <v>123</v>
      </c>
      <c r="B58" s="20">
        <v>46138</v>
      </c>
      <c r="C58" s="19" t="s">
        <v>47</v>
      </c>
      <c r="D58" s="19" t="s">
        <v>35</v>
      </c>
      <c r="E58" s="19" t="s">
        <v>22</v>
      </c>
      <c r="F58" s="19" t="s">
        <v>73</v>
      </c>
      <c r="G58" s="19" t="s">
        <v>74</v>
      </c>
      <c r="H58" s="19" t="s">
        <v>50</v>
      </c>
      <c r="I58" s="19">
        <v>5</v>
      </c>
      <c r="J58" s="21">
        <v>8</v>
      </c>
      <c r="K58" s="22">
        <v>0.05</v>
      </c>
      <c r="L58" s="21">
        <v>38</v>
      </c>
    </row>
    <row r="59" spans="1:12">
      <c r="A59" s="19" t="s">
        <v>124</v>
      </c>
      <c r="B59" s="20">
        <v>46127</v>
      </c>
      <c r="C59" s="19" t="s">
        <v>86</v>
      </c>
      <c r="D59" s="19" t="s">
        <v>21</v>
      </c>
      <c r="E59" s="19" t="s">
        <v>22</v>
      </c>
      <c r="F59" s="19" t="s">
        <v>48</v>
      </c>
      <c r="G59" s="19" t="s">
        <v>71</v>
      </c>
      <c r="H59" s="19" t="s">
        <v>93</v>
      </c>
      <c r="I59" s="19">
        <v>2</v>
      </c>
      <c r="J59" s="21">
        <v>3392</v>
      </c>
      <c r="K59" s="22">
        <v>0.03</v>
      </c>
      <c r="L59" s="21">
        <v>6580.48</v>
      </c>
    </row>
    <row r="60" spans="1:12">
      <c r="A60" s="19" t="s">
        <v>125</v>
      </c>
      <c r="B60" s="20">
        <v>46151</v>
      </c>
      <c r="C60" s="19" t="s">
        <v>86</v>
      </c>
      <c r="D60" s="19" t="s">
        <v>41</v>
      </c>
      <c r="E60" s="19" t="s">
        <v>22</v>
      </c>
      <c r="F60" s="19" t="s">
        <v>16</v>
      </c>
      <c r="G60" s="19" t="s">
        <v>42</v>
      </c>
      <c r="H60" s="19" t="s">
        <v>102</v>
      </c>
      <c r="I60" s="19">
        <v>1</v>
      </c>
      <c r="J60" s="21">
        <v>45</v>
      </c>
      <c r="K60" s="22">
        <v>0.1</v>
      </c>
      <c r="L60" s="21">
        <v>40.5</v>
      </c>
    </row>
    <row r="61" spans="1:12">
      <c r="A61" s="19" t="s">
        <v>126</v>
      </c>
      <c r="B61" s="20">
        <v>46211</v>
      </c>
      <c r="C61" s="19" t="s">
        <v>13</v>
      </c>
      <c r="D61" s="19" t="s">
        <v>35</v>
      </c>
      <c r="E61" s="19" t="s">
        <v>22</v>
      </c>
      <c r="F61" s="19" t="s">
        <v>73</v>
      </c>
      <c r="G61" s="19" t="s">
        <v>127</v>
      </c>
      <c r="H61" s="19" t="s">
        <v>29</v>
      </c>
      <c r="I61" s="19">
        <v>4</v>
      </c>
      <c r="J61" s="21">
        <v>25</v>
      </c>
      <c r="K61" s="22">
        <v>0.1</v>
      </c>
      <c r="L61" s="21">
        <v>90</v>
      </c>
    </row>
    <row r="62" spans="1:12">
      <c r="A62" s="19" t="s">
        <v>128</v>
      </c>
      <c r="B62" s="20">
        <v>46277</v>
      </c>
      <c r="C62" s="19" t="s">
        <v>20</v>
      </c>
      <c r="D62" s="19" t="s">
        <v>21</v>
      </c>
      <c r="E62" s="19" t="s">
        <v>22</v>
      </c>
      <c r="F62" s="19" t="s">
        <v>73</v>
      </c>
      <c r="G62" s="19" t="s">
        <v>129</v>
      </c>
      <c r="H62" s="19" t="s">
        <v>63</v>
      </c>
      <c r="I62" s="19">
        <v>4</v>
      </c>
      <c r="J62" s="21">
        <v>35.700000000000003</v>
      </c>
      <c r="K62" s="22">
        <v>0.03</v>
      </c>
      <c r="L62" s="21">
        <v>138.51600000000002</v>
      </c>
    </row>
    <row r="63" spans="1:12">
      <c r="A63" s="19" t="s">
        <v>130</v>
      </c>
      <c r="B63" s="20">
        <v>46105</v>
      </c>
      <c r="C63" s="19" t="s">
        <v>31</v>
      </c>
      <c r="D63" s="19" t="s">
        <v>14</v>
      </c>
      <c r="E63" s="19" t="s">
        <v>22</v>
      </c>
      <c r="F63" s="19" t="s">
        <v>23</v>
      </c>
      <c r="G63" s="19" t="s">
        <v>38</v>
      </c>
      <c r="H63" s="19" t="s">
        <v>39</v>
      </c>
      <c r="I63" s="19">
        <v>1</v>
      </c>
      <c r="J63" s="21">
        <v>320</v>
      </c>
      <c r="K63" s="22">
        <v>0.05</v>
      </c>
      <c r="L63" s="21">
        <v>304</v>
      </c>
    </row>
    <row r="64" spans="1:12">
      <c r="A64" s="19" t="s">
        <v>131</v>
      </c>
      <c r="B64" s="20">
        <v>46259</v>
      </c>
      <c r="C64" s="19" t="s">
        <v>20</v>
      </c>
      <c r="D64" s="19" t="s">
        <v>14</v>
      </c>
      <c r="E64" s="19" t="s">
        <v>15</v>
      </c>
      <c r="F64" s="19" t="s">
        <v>16</v>
      </c>
      <c r="G64" s="19" t="s">
        <v>112</v>
      </c>
      <c r="H64" s="19" t="s">
        <v>58</v>
      </c>
      <c r="I64" s="19">
        <v>1</v>
      </c>
      <c r="J64" s="21">
        <v>66.3</v>
      </c>
      <c r="K64" s="22">
        <v>0</v>
      </c>
      <c r="L64" s="21">
        <v>66.3</v>
      </c>
    </row>
    <row r="65" spans="1:12">
      <c r="A65" s="19" t="s">
        <v>132</v>
      </c>
      <c r="B65" s="20">
        <v>46055</v>
      </c>
      <c r="C65" s="19" t="s">
        <v>47</v>
      </c>
      <c r="D65" s="19" t="s">
        <v>21</v>
      </c>
      <c r="E65" s="19" t="s">
        <v>22</v>
      </c>
      <c r="F65" s="19" t="s">
        <v>16</v>
      </c>
      <c r="G65" s="19" t="s">
        <v>69</v>
      </c>
      <c r="H65" s="19" t="s">
        <v>83</v>
      </c>
      <c r="I65" s="19">
        <v>5</v>
      </c>
      <c r="J65" s="21">
        <v>53.35</v>
      </c>
      <c r="K65" s="22">
        <v>0.08</v>
      </c>
      <c r="L65" s="21">
        <v>245.41</v>
      </c>
    </row>
    <row r="66" spans="1:12">
      <c r="A66" s="19" t="s">
        <v>133</v>
      </c>
      <c r="B66" s="20">
        <v>46184</v>
      </c>
      <c r="C66" s="19" t="s">
        <v>31</v>
      </c>
      <c r="D66" s="19" t="s">
        <v>14</v>
      </c>
      <c r="E66" s="19" t="s">
        <v>22</v>
      </c>
      <c r="F66" s="19" t="s">
        <v>60</v>
      </c>
      <c r="G66" s="19" t="s">
        <v>91</v>
      </c>
      <c r="H66" s="19" t="s">
        <v>39</v>
      </c>
      <c r="I66" s="19">
        <v>1</v>
      </c>
      <c r="J66" s="21">
        <v>603.20000000000005</v>
      </c>
      <c r="K66" s="22">
        <v>0.1</v>
      </c>
      <c r="L66" s="21">
        <v>542.88000000000011</v>
      </c>
    </row>
    <row r="67" spans="1:12">
      <c r="A67" s="19" t="s">
        <v>134</v>
      </c>
      <c r="B67" s="20">
        <v>46027</v>
      </c>
      <c r="C67" s="19" t="s">
        <v>47</v>
      </c>
      <c r="D67" s="19" t="s">
        <v>41</v>
      </c>
      <c r="E67" s="19" t="s">
        <v>15</v>
      </c>
      <c r="F67" s="19" t="s">
        <v>16</v>
      </c>
      <c r="G67" s="19" t="s">
        <v>65</v>
      </c>
      <c r="H67" s="19" t="s">
        <v>50</v>
      </c>
      <c r="I67" s="19">
        <v>3</v>
      </c>
      <c r="J67" s="21">
        <v>83.2</v>
      </c>
      <c r="K67" s="22">
        <v>0.1</v>
      </c>
      <c r="L67" s="21">
        <v>224.64000000000001</v>
      </c>
    </row>
    <row r="68" spans="1:12">
      <c r="A68" s="19" t="s">
        <v>135</v>
      </c>
      <c r="B68" s="20">
        <v>46308</v>
      </c>
      <c r="C68" s="19" t="s">
        <v>20</v>
      </c>
      <c r="D68" s="19" t="s">
        <v>21</v>
      </c>
      <c r="E68" s="19" t="s">
        <v>22</v>
      </c>
      <c r="F68" s="19" t="s">
        <v>27</v>
      </c>
      <c r="G68" s="19" t="s">
        <v>28</v>
      </c>
      <c r="H68" s="19" t="s">
        <v>25</v>
      </c>
      <c r="I68" s="19">
        <v>3</v>
      </c>
      <c r="J68" s="21">
        <v>19</v>
      </c>
      <c r="K68" s="22">
        <v>0.1</v>
      </c>
      <c r="L68" s="21">
        <v>51.300000000000004</v>
      </c>
    </row>
    <row r="69" spans="1:12">
      <c r="A69" s="19" t="s">
        <v>136</v>
      </c>
      <c r="B69" s="20">
        <v>46243</v>
      </c>
      <c r="C69" s="19" t="s">
        <v>13</v>
      </c>
      <c r="D69" s="19" t="s">
        <v>14</v>
      </c>
      <c r="E69" s="19" t="s">
        <v>15</v>
      </c>
      <c r="F69" s="19" t="s">
        <v>16</v>
      </c>
      <c r="G69" s="19" t="s">
        <v>42</v>
      </c>
      <c r="H69" s="19" t="s">
        <v>29</v>
      </c>
      <c r="I69" s="19">
        <v>2</v>
      </c>
      <c r="J69" s="21">
        <v>46.8</v>
      </c>
      <c r="K69" s="22">
        <v>0.05</v>
      </c>
      <c r="L69" s="21">
        <v>88.919999999999987</v>
      </c>
    </row>
    <row r="70" spans="1:12">
      <c r="A70" s="19" t="s">
        <v>137</v>
      </c>
      <c r="B70" s="20">
        <v>46032</v>
      </c>
      <c r="C70" s="19" t="s">
        <v>13</v>
      </c>
      <c r="D70" s="19" t="s">
        <v>35</v>
      </c>
      <c r="E70" s="19" t="s">
        <v>22</v>
      </c>
      <c r="F70" s="19" t="s">
        <v>23</v>
      </c>
      <c r="G70" s="19" t="s">
        <v>138</v>
      </c>
      <c r="H70" s="19" t="s">
        <v>43</v>
      </c>
      <c r="I70" s="19">
        <v>6</v>
      </c>
      <c r="J70" s="21">
        <v>60</v>
      </c>
      <c r="K70" s="22">
        <v>0.08</v>
      </c>
      <c r="L70" s="21">
        <v>331.2</v>
      </c>
    </row>
    <row r="71" spans="1:12">
      <c r="A71" s="19" t="s">
        <v>139</v>
      </c>
      <c r="B71" s="20">
        <v>46090</v>
      </c>
      <c r="C71" s="19" t="s">
        <v>47</v>
      </c>
      <c r="D71" s="19" t="s">
        <v>14</v>
      </c>
      <c r="E71" s="19" t="s">
        <v>15</v>
      </c>
      <c r="F71" s="19" t="s">
        <v>48</v>
      </c>
      <c r="G71" s="19" t="s">
        <v>99</v>
      </c>
      <c r="H71" s="19" t="s">
        <v>83</v>
      </c>
      <c r="I71" s="19">
        <v>1</v>
      </c>
      <c r="J71" s="21">
        <v>3000</v>
      </c>
      <c r="K71" s="22">
        <v>0.05</v>
      </c>
      <c r="L71" s="21">
        <v>2850</v>
      </c>
    </row>
    <row r="72" spans="1:12">
      <c r="A72" s="19" t="s">
        <v>140</v>
      </c>
      <c r="B72" s="20">
        <v>46274</v>
      </c>
      <c r="C72" s="19" t="s">
        <v>20</v>
      </c>
      <c r="D72" s="19" t="s">
        <v>21</v>
      </c>
      <c r="E72" s="19" t="s">
        <v>15</v>
      </c>
      <c r="F72" s="19" t="s">
        <v>16</v>
      </c>
      <c r="G72" s="19" t="s">
        <v>69</v>
      </c>
      <c r="H72" s="19" t="s">
        <v>25</v>
      </c>
      <c r="I72" s="19">
        <v>3</v>
      </c>
      <c r="J72" s="21">
        <v>56.1</v>
      </c>
      <c r="K72" s="22">
        <v>0</v>
      </c>
      <c r="L72" s="21">
        <v>168.3</v>
      </c>
    </row>
    <row r="73" spans="1:12">
      <c r="A73" s="19" t="s">
        <v>141</v>
      </c>
      <c r="B73" s="20">
        <v>46383</v>
      </c>
      <c r="C73" s="19" t="s">
        <v>47</v>
      </c>
      <c r="D73" s="19" t="s">
        <v>21</v>
      </c>
      <c r="E73" s="19" t="s">
        <v>15</v>
      </c>
      <c r="F73" s="19" t="s">
        <v>73</v>
      </c>
      <c r="G73" s="19" t="s">
        <v>129</v>
      </c>
      <c r="H73" s="19" t="s">
        <v>55</v>
      </c>
      <c r="I73" s="19">
        <v>4</v>
      </c>
      <c r="J73" s="21">
        <v>33.25</v>
      </c>
      <c r="K73" s="22">
        <v>0.03</v>
      </c>
      <c r="L73" s="21">
        <v>129.01</v>
      </c>
    </row>
    <row r="74" spans="1:12">
      <c r="A74" s="19" t="s">
        <v>142</v>
      </c>
      <c r="B74" s="20">
        <v>46295</v>
      </c>
      <c r="C74" s="19" t="s">
        <v>86</v>
      </c>
      <c r="D74" s="19" t="s">
        <v>41</v>
      </c>
      <c r="E74" s="19" t="s">
        <v>22</v>
      </c>
      <c r="F74" s="19" t="s">
        <v>73</v>
      </c>
      <c r="G74" s="19" t="s">
        <v>127</v>
      </c>
      <c r="H74" s="19" t="s">
        <v>87</v>
      </c>
      <c r="I74" s="19">
        <v>2</v>
      </c>
      <c r="J74" s="21">
        <v>26.5</v>
      </c>
      <c r="K74" s="22">
        <v>0.05</v>
      </c>
      <c r="L74" s="21">
        <v>50.349999999999994</v>
      </c>
    </row>
    <row r="75" spans="1:12">
      <c r="A75" s="19" t="s">
        <v>143</v>
      </c>
      <c r="B75" s="20">
        <v>46059</v>
      </c>
      <c r="C75" s="19" t="s">
        <v>86</v>
      </c>
      <c r="D75" s="19" t="s">
        <v>35</v>
      </c>
      <c r="E75" s="19" t="s">
        <v>15</v>
      </c>
      <c r="F75" s="19" t="s">
        <v>27</v>
      </c>
      <c r="G75" s="19" t="s">
        <v>32</v>
      </c>
      <c r="H75" s="19" t="s">
        <v>93</v>
      </c>
      <c r="I75" s="19">
        <v>3</v>
      </c>
      <c r="J75" s="21">
        <v>296.8</v>
      </c>
      <c r="K75" s="22">
        <v>0.05</v>
      </c>
      <c r="L75" s="21">
        <v>845.88</v>
      </c>
    </row>
    <row r="76" spans="1:12">
      <c r="A76" s="19" t="s">
        <v>144</v>
      </c>
      <c r="B76" s="20">
        <v>46369</v>
      </c>
      <c r="C76" s="19" t="s">
        <v>47</v>
      </c>
      <c r="D76" s="19" t="s">
        <v>41</v>
      </c>
      <c r="E76" s="19" t="s">
        <v>15</v>
      </c>
      <c r="F76" s="19" t="s">
        <v>73</v>
      </c>
      <c r="G76" s="19" t="s">
        <v>145</v>
      </c>
      <c r="H76" s="19" t="s">
        <v>55</v>
      </c>
      <c r="I76" s="19">
        <v>1</v>
      </c>
      <c r="J76" s="21">
        <v>18.72</v>
      </c>
      <c r="K76" s="22">
        <v>0.08</v>
      </c>
      <c r="L76" s="21">
        <v>17.2224</v>
      </c>
    </row>
    <row r="77" spans="1:12">
      <c r="A77" s="19" t="s">
        <v>146</v>
      </c>
      <c r="B77" s="20">
        <v>46316</v>
      </c>
      <c r="C77" s="19" t="s">
        <v>20</v>
      </c>
      <c r="D77" s="19" t="s">
        <v>14</v>
      </c>
      <c r="E77" s="19" t="s">
        <v>15</v>
      </c>
      <c r="F77" s="19" t="s">
        <v>16</v>
      </c>
      <c r="G77" s="19" t="s">
        <v>57</v>
      </c>
      <c r="H77" s="19" t="s">
        <v>25</v>
      </c>
      <c r="I77" s="19">
        <v>6</v>
      </c>
      <c r="J77" s="21">
        <v>40.28</v>
      </c>
      <c r="K77" s="22">
        <v>0.05</v>
      </c>
      <c r="L77" s="21">
        <v>229.596</v>
      </c>
    </row>
    <row r="78" spans="1:12">
      <c r="A78" s="19" t="s">
        <v>147</v>
      </c>
      <c r="B78" s="20">
        <v>46376</v>
      </c>
      <c r="C78" s="19" t="s">
        <v>47</v>
      </c>
      <c r="D78" s="19" t="s">
        <v>35</v>
      </c>
      <c r="E78" s="19" t="s">
        <v>15</v>
      </c>
      <c r="F78" s="19" t="s">
        <v>16</v>
      </c>
      <c r="G78" s="19" t="s">
        <v>69</v>
      </c>
      <c r="H78" s="19" t="s">
        <v>50</v>
      </c>
      <c r="I78" s="19">
        <v>4</v>
      </c>
      <c r="J78" s="21">
        <v>53.35</v>
      </c>
      <c r="K78" s="22">
        <v>0.15</v>
      </c>
      <c r="L78" s="21">
        <v>181.39</v>
      </c>
    </row>
    <row r="79" spans="1:12">
      <c r="A79" s="19" t="s">
        <v>148</v>
      </c>
      <c r="B79" s="20">
        <v>46177</v>
      </c>
      <c r="C79" s="19" t="s">
        <v>13</v>
      </c>
      <c r="D79" s="19" t="s">
        <v>14</v>
      </c>
      <c r="E79" s="19" t="s">
        <v>22</v>
      </c>
      <c r="F79" s="19" t="s">
        <v>16</v>
      </c>
      <c r="G79" s="19" t="s">
        <v>17</v>
      </c>
      <c r="H79" s="19" t="s">
        <v>29</v>
      </c>
      <c r="I79" s="19">
        <v>2</v>
      </c>
      <c r="J79" s="21">
        <v>15</v>
      </c>
      <c r="K79" s="22">
        <v>0.08</v>
      </c>
      <c r="L79" s="21">
        <v>27.6</v>
      </c>
    </row>
    <row r="80" spans="1:12">
      <c r="A80" s="19" t="s">
        <v>149</v>
      </c>
      <c r="B80" s="20">
        <v>46130</v>
      </c>
      <c r="C80" s="19" t="s">
        <v>31</v>
      </c>
      <c r="D80" s="19" t="s">
        <v>14</v>
      </c>
      <c r="E80" s="19" t="s">
        <v>22</v>
      </c>
      <c r="F80" s="19" t="s">
        <v>23</v>
      </c>
      <c r="G80" s="19" t="s">
        <v>38</v>
      </c>
      <c r="H80" s="19" t="s">
        <v>33</v>
      </c>
      <c r="I80" s="19">
        <v>2</v>
      </c>
      <c r="J80" s="21">
        <v>310.39999999999998</v>
      </c>
      <c r="K80" s="22">
        <v>0.1</v>
      </c>
      <c r="L80" s="21">
        <v>558.72</v>
      </c>
    </row>
    <row r="81" spans="1:12">
      <c r="A81" s="19" t="s">
        <v>150</v>
      </c>
      <c r="B81" s="20">
        <v>46168</v>
      </c>
      <c r="C81" s="19" t="s">
        <v>20</v>
      </c>
      <c r="D81" s="19" t="s">
        <v>41</v>
      </c>
      <c r="E81" s="19" t="s">
        <v>15</v>
      </c>
      <c r="F81" s="19" t="s">
        <v>16</v>
      </c>
      <c r="G81" s="19" t="s">
        <v>65</v>
      </c>
      <c r="H81" s="19" t="s">
        <v>63</v>
      </c>
      <c r="I81" s="19">
        <v>5</v>
      </c>
      <c r="J81" s="21">
        <v>84.8</v>
      </c>
      <c r="K81" s="22">
        <v>0.05</v>
      </c>
      <c r="L81" s="21">
        <v>402.79999999999995</v>
      </c>
    </row>
    <row r="82" spans="1:12">
      <c r="A82" s="19" t="s">
        <v>151</v>
      </c>
      <c r="B82" s="20">
        <v>46160</v>
      </c>
      <c r="C82" s="19" t="s">
        <v>13</v>
      </c>
      <c r="D82" s="19" t="s">
        <v>14</v>
      </c>
      <c r="E82" s="19" t="s">
        <v>22</v>
      </c>
      <c r="F82" s="19" t="s">
        <v>73</v>
      </c>
      <c r="G82" s="19" t="s">
        <v>81</v>
      </c>
      <c r="H82" s="19" t="s">
        <v>18</v>
      </c>
      <c r="I82" s="19">
        <v>1</v>
      </c>
      <c r="J82" s="21">
        <v>12.48</v>
      </c>
      <c r="K82" s="22">
        <v>0.1</v>
      </c>
      <c r="L82" s="21">
        <v>11.232000000000001</v>
      </c>
    </row>
    <row r="83" spans="1:12">
      <c r="A83" s="19" t="s">
        <v>152</v>
      </c>
      <c r="B83" s="20">
        <v>46158</v>
      </c>
      <c r="C83" s="19" t="s">
        <v>13</v>
      </c>
      <c r="D83" s="19" t="s">
        <v>41</v>
      </c>
      <c r="E83" s="19" t="s">
        <v>22</v>
      </c>
      <c r="F83" s="19" t="s">
        <v>23</v>
      </c>
      <c r="G83" s="19" t="s">
        <v>38</v>
      </c>
      <c r="H83" s="19" t="s">
        <v>43</v>
      </c>
      <c r="I83" s="19">
        <v>7</v>
      </c>
      <c r="J83" s="21">
        <v>339.2</v>
      </c>
      <c r="K83" s="22">
        <v>0.03</v>
      </c>
      <c r="L83" s="21">
        <v>2303.1680000000001</v>
      </c>
    </row>
    <row r="84" spans="1:12">
      <c r="A84" s="19" t="s">
        <v>153</v>
      </c>
      <c r="B84" s="20">
        <v>46146</v>
      </c>
      <c r="C84" s="19" t="s">
        <v>47</v>
      </c>
      <c r="D84" s="19" t="s">
        <v>21</v>
      </c>
      <c r="E84" s="19" t="s">
        <v>22</v>
      </c>
      <c r="F84" s="19" t="s">
        <v>60</v>
      </c>
      <c r="G84" s="19" t="s">
        <v>61</v>
      </c>
      <c r="H84" s="19" t="s">
        <v>50</v>
      </c>
      <c r="I84" s="19">
        <v>3</v>
      </c>
      <c r="J84" s="21">
        <v>884</v>
      </c>
      <c r="K84" s="22">
        <v>0.2</v>
      </c>
      <c r="L84" s="21">
        <v>2121.6</v>
      </c>
    </row>
    <row r="85" spans="1:12">
      <c r="A85" s="19" t="s">
        <v>154</v>
      </c>
      <c r="B85" s="20">
        <v>46182</v>
      </c>
      <c r="C85" s="19" t="s">
        <v>86</v>
      </c>
      <c r="D85" s="19" t="s">
        <v>35</v>
      </c>
      <c r="E85" s="19" t="s">
        <v>22</v>
      </c>
      <c r="F85" s="19" t="s">
        <v>27</v>
      </c>
      <c r="G85" s="19" t="s">
        <v>155</v>
      </c>
      <c r="H85" s="19" t="s">
        <v>102</v>
      </c>
      <c r="I85" s="19">
        <v>8</v>
      </c>
      <c r="J85" s="21">
        <v>183.6</v>
      </c>
      <c r="K85" s="22">
        <v>0.15</v>
      </c>
      <c r="L85" s="21">
        <v>1248.48</v>
      </c>
    </row>
    <row r="86" spans="1:12">
      <c r="A86" s="19" t="s">
        <v>156</v>
      </c>
      <c r="B86" s="20">
        <v>46328</v>
      </c>
      <c r="C86" s="19" t="s">
        <v>20</v>
      </c>
      <c r="D86" s="19" t="s">
        <v>14</v>
      </c>
      <c r="E86" s="19" t="s">
        <v>22</v>
      </c>
      <c r="F86" s="19" t="s">
        <v>16</v>
      </c>
      <c r="G86" s="19" t="s">
        <v>112</v>
      </c>
      <c r="H86" s="19" t="s">
        <v>58</v>
      </c>
      <c r="I86" s="19">
        <v>2</v>
      </c>
      <c r="J86" s="21">
        <v>63.05</v>
      </c>
      <c r="K86" s="22">
        <v>0.03</v>
      </c>
      <c r="L86" s="21">
        <v>122.31699999999999</v>
      </c>
    </row>
    <row r="87" spans="1:12">
      <c r="A87" s="19" t="s">
        <v>157</v>
      </c>
      <c r="B87" s="20">
        <v>46269</v>
      </c>
      <c r="C87" s="19" t="s">
        <v>20</v>
      </c>
      <c r="D87" s="19" t="s">
        <v>35</v>
      </c>
      <c r="E87" s="19" t="s">
        <v>22</v>
      </c>
      <c r="F87" s="19" t="s">
        <v>16</v>
      </c>
      <c r="G87" s="19" t="s">
        <v>42</v>
      </c>
      <c r="H87" s="19" t="s">
        <v>25</v>
      </c>
      <c r="I87" s="19">
        <v>5</v>
      </c>
      <c r="J87" s="21">
        <v>45</v>
      </c>
      <c r="K87" s="22">
        <v>0.05</v>
      </c>
      <c r="L87" s="21">
        <v>213.75</v>
      </c>
    </row>
    <row r="88" spans="1:12">
      <c r="A88" s="19" t="s">
        <v>158</v>
      </c>
      <c r="B88" s="20">
        <v>46222</v>
      </c>
      <c r="C88" s="19" t="s">
        <v>13</v>
      </c>
      <c r="D88" s="19" t="s">
        <v>14</v>
      </c>
      <c r="E88" s="19" t="s">
        <v>15</v>
      </c>
      <c r="F88" s="19" t="s">
        <v>23</v>
      </c>
      <c r="G88" s="19" t="s">
        <v>24</v>
      </c>
      <c r="H88" s="19" t="s">
        <v>18</v>
      </c>
      <c r="I88" s="19">
        <v>3</v>
      </c>
      <c r="J88" s="21">
        <v>90</v>
      </c>
      <c r="K88" s="22">
        <v>0.05</v>
      </c>
      <c r="L88" s="21">
        <v>256.5</v>
      </c>
    </row>
    <row r="89" spans="1:12">
      <c r="A89" s="19" t="s">
        <v>159</v>
      </c>
      <c r="B89" s="20">
        <v>46182</v>
      </c>
      <c r="C89" s="19" t="s">
        <v>20</v>
      </c>
      <c r="D89" s="19" t="s">
        <v>35</v>
      </c>
      <c r="E89" s="19" t="s">
        <v>22</v>
      </c>
      <c r="F89" s="19" t="s">
        <v>60</v>
      </c>
      <c r="G89" s="19" t="s">
        <v>67</v>
      </c>
      <c r="H89" s="19" t="s">
        <v>58</v>
      </c>
      <c r="I89" s="19">
        <v>1</v>
      </c>
      <c r="J89" s="21">
        <v>1500</v>
      </c>
      <c r="K89" s="22">
        <v>0.2</v>
      </c>
      <c r="L89" s="21">
        <v>1200</v>
      </c>
    </row>
    <row r="90" spans="1:12">
      <c r="A90" s="19" t="s">
        <v>160</v>
      </c>
      <c r="B90" s="20">
        <v>46126</v>
      </c>
      <c r="C90" s="19" t="s">
        <v>13</v>
      </c>
      <c r="D90" s="19" t="s">
        <v>21</v>
      </c>
      <c r="E90" s="19" t="s">
        <v>15</v>
      </c>
      <c r="F90" s="19" t="s">
        <v>27</v>
      </c>
      <c r="G90" s="19" t="s">
        <v>155</v>
      </c>
      <c r="H90" s="19" t="s">
        <v>43</v>
      </c>
      <c r="I90" s="19">
        <v>1</v>
      </c>
      <c r="J90" s="21">
        <v>174.6</v>
      </c>
      <c r="K90" s="22">
        <v>0.05</v>
      </c>
      <c r="L90" s="21">
        <v>165.86999999999998</v>
      </c>
    </row>
    <row r="91" spans="1:12">
      <c r="A91" s="19" t="s">
        <v>161</v>
      </c>
      <c r="B91" s="20">
        <v>46135</v>
      </c>
      <c r="C91" s="19" t="s">
        <v>86</v>
      </c>
      <c r="D91" s="19" t="s">
        <v>41</v>
      </c>
      <c r="E91" s="19" t="s">
        <v>22</v>
      </c>
      <c r="F91" s="19" t="s">
        <v>16</v>
      </c>
      <c r="G91" s="19" t="s">
        <v>65</v>
      </c>
      <c r="H91" s="19" t="s">
        <v>102</v>
      </c>
      <c r="I91" s="19">
        <v>6</v>
      </c>
      <c r="J91" s="21">
        <v>76</v>
      </c>
      <c r="K91" s="22">
        <v>0.1</v>
      </c>
      <c r="L91" s="21">
        <v>410.40000000000003</v>
      </c>
    </row>
    <row r="92" spans="1:12">
      <c r="A92" s="19" t="s">
        <v>162</v>
      </c>
      <c r="B92" s="20">
        <v>46303</v>
      </c>
      <c r="C92" s="19" t="s">
        <v>20</v>
      </c>
      <c r="D92" s="19" t="s">
        <v>14</v>
      </c>
      <c r="E92" s="19" t="s">
        <v>22</v>
      </c>
      <c r="F92" s="19" t="s">
        <v>23</v>
      </c>
      <c r="G92" s="19" t="s">
        <v>38</v>
      </c>
      <c r="H92" s="19" t="s">
        <v>63</v>
      </c>
      <c r="I92" s="19">
        <v>6</v>
      </c>
      <c r="J92" s="21">
        <v>310.39999999999998</v>
      </c>
      <c r="K92" s="22">
        <v>0.08</v>
      </c>
      <c r="L92" s="21">
        <v>1713.4079999999999</v>
      </c>
    </row>
    <row r="93" spans="1:12">
      <c r="A93" s="19" t="s">
        <v>163</v>
      </c>
      <c r="B93" s="20">
        <v>46297</v>
      </c>
      <c r="C93" s="19" t="s">
        <v>20</v>
      </c>
      <c r="D93" s="19" t="s">
        <v>35</v>
      </c>
      <c r="E93" s="19" t="s">
        <v>15</v>
      </c>
      <c r="F93" s="19" t="s">
        <v>48</v>
      </c>
      <c r="G93" s="19" t="s">
        <v>49</v>
      </c>
      <c r="H93" s="19" t="s">
        <v>63</v>
      </c>
      <c r="I93" s="19">
        <v>1</v>
      </c>
      <c r="J93" s="21">
        <v>4200</v>
      </c>
      <c r="K93" s="22">
        <v>0.1</v>
      </c>
      <c r="L93" s="21">
        <v>3780</v>
      </c>
    </row>
    <row r="94" spans="1:12">
      <c r="A94" s="19" t="s">
        <v>164</v>
      </c>
      <c r="B94" s="20">
        <v>46233</v>
      </c>
      <c r="C94" s="19" t="s">
        <v>86</v>
      </c>
      <c r="D94" s="19" t="s">
        <v>14</v>
      </c>
      <c r="E94" s="19" t="s">
        <v>22</v>
      </c>
      <c r="F94" s="19" t="s">
        <v>27</v>
      </c>
      <c r="G94" s="19" t="s">
        <v>28</v>
      </c>
      <c r="H94" s="19" t="s">
        <v>93</v>
      </c>
      <c r="I94" s="19">
        <v>5</v>
      </c>
      <c r="J94" s="21">
        <v>20.399999999999999</v>
      </c>
      <c r="K94" s="22">
        <v>0.05</v>
      </c>
      <c r="L94" s="21">
        <v>96.899999999999991</v>
      </c>
    </row>
    <row r="95" spans="1:12">
      <c r="A95" s="19" t="s">
        <v>165</v>
      </c>
      <c r="B95" s="20">
        <v>46112</v>
      </c>
      <c r="C95" s="19" t="s">
        <v>31</v>
      </c>
      <c r="D95" s="19" t="s">
        <v>35</v>
      </c>
      <c r="E95" s="19" t="s">
        <v>22</v>
      </c>
      <c r="F95" s="19" t="s">
        <v>60</v>
      </c>
      <c r="G95" s="19" t="s">
        <v>67</v>
      </c>
      <c r="H95" s="19" t="s">
        <v>39</v>
      </c>
      <c r="I95" s="19">
        <v>3</v>
      </c>
      <c r="J95" s="21">
        <v>1455</v>
      </c>
      <c r="K95" s="22">
        <v>0</v>
      </c>
      <c r="L95" s="21">
        <v>4365</v>
      </c>
    </row>
    <row r="96" spans="1:12">
      <c r="A96" s="19" t="s">
        <v>166</v>
      </c>
      <c r="B96" s="20">
        <v>46065</v>
      </c>
      <c r="C96" s="19" t="s">
        <v>13</v>
      </c>
      <c r="D96" s="19" t="s">
        <v>35</v>
      </c>
      <c r="E96" s="19" t="s">
        <v>22</v>
      </c>
      <c r="F96" s="19" t="s">
        <v>73</v>
      </c>
      <c r="G96" s="19" t="s">
        <v>129</v>
      </c>
      <c r="H96" s="19" t="s">
        <v>43</v>
      </c>
      <c r="I96" s="19">
        <v>8</v>
      </c>
      <c r="J96" s="21">
        <v>33.950000000000003</v>
      </c>
      <c r="K96" s="22">
        <v>0.08</v>
      </c>
      <c r="L96" s="21">
        <v>249.87200000000004</v>
      </c>
    </row>
    <row r="97" spans="1:12">
      <c r="A97" s="19" t="s">
        <v>167</v>
      </c>
      <c r="B97" s="20">
        <v>46344</v>
      </c>
      <c r="C97" s="19" t="s">
        <v>86</v>
      </c>
      <c r="D97" s="19" t="s">
        <v>21</v>
      </c>
      <c r="E97" s="19" t="s">
        <v>22</v>
      </c>
      <c r="F97" s="19" t="s">
        <v>23</v>
      </c>
      <c r="G97" s="19" t="s">
        <v>24</v>
      </c>
      <c r="H97" s="19" t="s">
        <v>93</v>
      </c>
      <c r="I97" s="19">
        <v>3</v>
      </c>
      <c r="J97" s="21">
        <v>90</v>
      </c>
      <c r="K97" s="22">
        <v>0.03</v>
      </c>
      <c r="L97" s="21">
        <v>261.89999999999998</v>
      </c>
    </row>
    <row r="98" spans="1:12">
      <c r="A98" s="19" t="s">
        <v>168</v>
      </c>
      <c r="B98" s="20">
        <v>46366</v>
      </c>
      <c r="C98" s="19" t="s">
        <v>47</v>
      </c>
      <c r="D98" s="19" t="s">
        <v>14</v>
      </c>
      <c r="E98" s="19" t="s">
        <v>15</v>
      </c>
      <c r="F98" s="19" t="s">
        <v>60</v>
      </c>
      <c r="G98" s="19" t="s">
        <v>76</v>
      </c>
      <c r="H98" s="19" t="s">
        <v>55</v>
      </c>
      <c r="I98" s="19">
        <v>1</v>
      </c>
      <c r="J98" s="21">
        <v>742</v>
      </c>
      <c r="K98" s="22">
        <v>0.2</v>
      </c>
      <c r="L98" s="21">
        <v>593.6</v>
      </c>
    </row>
    <row r="99" spans="1:12">
      <c r="A99" s="19" t="s">
        <v>169</v>
      </c>
      <c r="B99" s="20">
        <v>46370</v>
      </c>
      <c r="C99" s="19" t="s">
        <v>20</v>
      </c>
      <c r="D99" s="19" t="s">
        <v>35</v>
      </c>
      <c r="E99" s="19" t="s">
        <v>22</v>
      </c>
      <c r="F99" s="19" t="s">
        <v>23</v>
      </c>
      <c r="G99" s="19" t="s">
        <v>24</v>
      </c>
      <c r="H99" s="19" t="s">
        <v>58</v>
      </c>
      <c r="I99" s="19">
        <v>13</v>
      </c>
      <c r="J99" s="21">
        <v>93.6</v>
      </c>
      <c r="K99" s="22">
        <v>0.05</v>
      </c>
      <c r="L99" s="21">
        <v>1155.9599999999998</v>
      </c>
    </row>
    <row r="100" spans="1:12">
      <c r="A100" s="19" t="s">
        <v>170</v>
      </c>
      <c r="B100" s="20">
        <v>46157</v>
      </c>
      <c r="C100" s="19" t="s">
        <v>20</v>
      </c>
      <c r="D100" s="19" t="s">
        <v>14</v>
      </c>
      <c r="E100" s="19" t="s">
        <v>22</v>
      </c>
      <c r="F100" s="19" t="s">
        <v>27</v>
      </c>
      <c r="G100" s="19" t="s">
        <v>28</v>
      </c>
      <c r="H100" s="19" t="s">
        <v>25</v>
      </c>
      <c r="I100" s="19">
        <v>1</v>
      </c>
      <c r="J100" s="21">
        <v>20.399999999999999</v>
      </c>
      <c r="K100" s="22">
        <v>0.03</v>
      </c>
      <c r="L100" s="21">
        <v>19.787999999999997</v>
      </c>
    </row>
    <row r="101" spans="1:12">
      <c r="A101" s="19" t="s">
        <v>171</v>
      </c>
      <c r="B101" s="20">
        <v>46383</v>
      </c>
      <c r="C101" s="19" t="s">
        <v>20</v>
      </c>
      <c r="D101" s="19" t="s">
        <v>35</v>
      </c>
      <c r="E101" s="19" t="s">
        <v>22</v>
      </c>
      <c r="F101" s="19" t="s">
        <v>60</v>
      </c>
      <c r="G101" s="19" t="s">
        <v>91</v>
      </c>
      <c r="H101" s="19" t="s">
        <v>25</v>
      </c>
      <c r="I101" s="19">
        <v>3</v>
      </c>
      <c r="J101" s="21">
        <v>551</v>
      </c>
      <c r="K101" s="22">
        <v>0.05</v>
      </c>
      <c r="L101" s="21">
        <v>1570.35</v>
      </c>
    </row>
    <row r="102" spans="1:12">
      <c r="A102" s="19" t="s">
        <v>172</v>
      </c>
      <c r="B102" s="20">
        <v>46302</v>
      </c>
      <c r="C102" s="19" t="s">
        <v>31</v>
      </c>
      <c r="D102" s="19" t="s">
        <v>35</v>
      </c>
      <c r="E102" s="19" t="s">
        <v>15</v>
      </c>
      <c r="F102" s="19" t="s">
        <v>48</v>
      </c>
      <c r="G102" s="19" t="s">
        <v>96</v>
      </c>
      <c r="H102" s="19" t="s">
        <v>39</v>
      </c>
      <c r="I102" s="19">
        <v>2</v>
      </c>
      <c r="J102" s="21">
        <v>2550</v>
      </c>
      <c r="K102" s="22">
        <v>0.1</v>
      </c>
      <c r="L102" s="21">
        <v>4590</v>
      </c>
    </row>
    <row r="103" spans="1:12">
      <c r="A103" s="19" t="s">
        <v>173</v>
      </c>
      <c r="B103" s="20">
        <v>46050</v>
      </c>
      <c r="C103" s="19" t="s">
        <v>47</v>
      </c>
      <c r="D103" s="19" t="s">
        <v>41</v>
      </c>
      <c r="E103" s="19" t="s">
        <v>22</v>
      </c>
      <c r="F103" s="19" t="s">
        <v>73</v>
      </c>
      <c r="G103" s="19" t="s">
        <v>127</v>
      </c>
      <c r="H103" s="19" t="s">
        <v>50</v>
      </c>
      <c r="I103" s="19">
        <v>1</v>
      </c>
      <c r="J103" s="21">
        <v>23.75</v>
      </c>
      <c r="K103" s="22">
        <v>0.05</v>
      </c>
      <c r="L103" s="21">
        <v>22.5625</v>
      </c>
    </row>
    <row r="104" spans="1:12">
      <c r="A104" s="19" t="s">
        <v>174</v>
      </c>
      <c r="B104" s="20">
        <v>46235</v>
      </c>
      <c r="C104" s="19" t="s">
        <v>31</v>
      </c>
      <c r="D104" s="19" t="s">
        <v>14</v>
      </c>
      <c r="E104" s="19" t="s">
        <v>22</v>
      </c>
      <c r="F104" s="19" t="s">
        <v>60</v>
      </c>
      <c r="G104" s="19" t="s">
        <v>91</v>
      </c>
      <c r="H104" s="19" t="s">
        <v>39</v>
      </c>
      <c r="I104" s="19">
        <v>1</v>
      </c>
      <c r="J104" s="21">
        <v>614.79999999999995</v>
      </c>
      <c r="K104" s="22">
        <v>0.05</v>
      </c>
      <c r="L104" s="21">
        <v>584.05999999999995</v>
      </c>
    </row>
    <row r="105" spans="1:12">
      <c r="A105" s="19" t="s">
        <v>175</v>
      </c>
      <c r="B105" s="20">
        <v>46070</v>
      </c>
      <c r="C105" s="19" t="s">
        <v>31</v>
      </c>
      <c r="D105" s="19" t="s">
        <v>21</v>
      </c>
      <c r="E105" s="19" t="s">
        <v>22</v>
      </c>
      <c r="F105" s="19" t="s">
        <v>73</v>
      </c>
      <c r="G105" s="19" t="s">
        <v>74</v>
      </c>
      <c r="H105" s="19" t="s">
        <v>79</v>
      </c>
      <c r="I105" s="19">
        <v>2</v>
      </c>
      <c r="J105" s="21">
        <v>8</v>
      </c>
      <c r="K105" s="22">
        <v>0.2</v>
      </c>
      <c r="L105" s="21">
        <v>12.8</v>
      </c>
    </row>
    <row r="106" spans="1:12">
      <c r="A106" s="19" t="s">
        <v>176</v>
      </c>
      <c r="B106" s="20">
        <v>46384</v>
      </c>
      <c r="C106" s="19" t="s">
        <v>86</v>
      </c>
      <c r="D106" s="19" t="s">
        <v>35</v>
      </c>
      <c r="E106" s="19" t="s">
        <v>22</v>
      </c>
      <c r="F106" s="19" t="s">
        <v>27</v>
      </c>
      <c r="G106" s="19" t="s">
        <v>32</v>
      </c>
      <c r="H106" s="19" t="s">
        <v>93</v>
      </c>
      <c r="I106" s="19">
        <v>5</v>
      </c>
      <c r="J106" s="21">
        <v>271.60000000000002</v>
      </c>
      <c r="K106" s="22">
        <v>0.03</v>
      </c>
      <c r="L106" s="21">
        <v>1317.26</v>
      </c>
    </row>
    <row r="107" spans="1:12">
      <c r="A107" s="19" t="s">
        <v>177</v>
      </c>
      <c r="B107" s="20">
        <v>46133</v>
      </c>
      <c r="C107" s="19" t="s">
        <v>20</v>
      </c>
      <c r="D107" s="19" t="s">
        <v>35</v>
      </c>
      <c r="E107" s="19" t="s">
        <v>22</v>
      </c>
      <c r="F107" s="19" t="s">
        <v>60</v>
      </c>
      <c r="G107" s="19" t="s">
        <v>67</v>
      </c>
      <c r="H107" s="19" t="s">
        <v>58</v>
      </c>
      <c r="I107" s="19">
        <v>2</v>
      </c>
      <c r="J107" s="21">
        <v>1590</v>
      </c>
      <c r="K107" s="22">
        <v>0.05</v>
      </c>
      <c r="L107" s="21">
        <v>3021</v>
      </c>
    </row>
    <row r="108" spans="1:12">
      <c r="A108" s="19" t="s">
        <v>178</v>
      </c>
      <c r="B108" s="20">
        <v>46074</v>
      </c>
      <c r="C108" s="19" t="s">
        <v>13</v>
      </c>
      <c r="D108" s="19" t="s">
        <v>35</v>
      </c>
      <c r="E108" s="19" t="s">
        <v>22</v>
      </c>
      <c r="F108" s="19" t="s">
        <v>48</v>
      </c>
      <c r="G108" s="19" t="s">
        <v>49</v>
      </c>
      <c r="H108" s="19" t="s">
        <v>29</v>
      </c>
      <c r="I108" s="19">
        <v>1</v>
      </c>
      <c r="J108" s="21">
        <v>4200</v>
      </c>
      <c r="K108" s="22">
        <v>0.15</v>
      </c>
      <c r="L108" s="21">
        <v>3570</v>
      </c>
    </row>
    <row r="109" spans="1:12">
      <c r="A109" s="19" t="s">
        <v>179</v>
      </c>
      <c r="B109" s="20">
        <v>46177</v>
      </c>
      <c r="C109" s="19" t="s">
        <v>86</v>
      </c>
      <c r="D109" s="19" t="s">
        <v>14</v>
      </c>
      <c r="E109" s="19" t="s">
        <v>15</v>
      </c>
      <c r="F109" s="19" t="s">
        <v>27</v>
      </c>
      <c r="G109" s="19" t="s">
        <v>155</v>
      </c>
      <c r="H109" s="19" t="s">
        <v>102</v>
      </c>
      <c r="I109" s="19">
        <v>1</v>
      </c>
      <c r="J109" s="21">
        <v>174.6</v>
      </c>
      <c r="K109" s="22">
        <v>0.03</v>
      </c>
      <c r="L109" s="21">
        <v>169.36199999999999</v>
      </c>
    </row>
    <row r="110" spans="1:12">
      <c r="A110" s="19" t="s">
        <v>180</v>
      </c>
      <c r="B110" s="20">
        <v>46077</v>
      </c>
      <c r="C110" s="19" t="s">
        <v>86</v>
      </c>
      <c r="D110" s="19" t="s">
        <v>14</v>
      </c>
      <c r="E110" s="19" t="s">
        <v>15</v>
      </c>
      <c r="F110" s="19" t="s">
        <v>27</v>
      </c>
      <c r="G110" s="19" t="s">
        <v>28</v>
      </c>
      <c r="H110" s="19" t="s">
        <v>102</v>
      </c>
      <c r="I110" s="19">
        <v>2</v>
      </c>
      <c r="J110" s="21">
        <v>19.399999999999999</v>
      </c>
      <c r="K110" s="22">
        <v>0.1</v>
      </c>
      <c r="L110" s="21">
        <v>34.92</v>
      </c>
    </row>
    <row r="111" spans="1:12">
      <c r="A111" s="19" t="s">
        <v>181</v>
      </c>
      <c r="B111" s="20">
        <v>46350</v>
      </c>
      <c r="C111" s="19" t="s">
        <v>31</v>
      </c>
      <c r="D111" s="19" t="s">
        <v>14</v>
      </c>
      <c r="E111" s="19" t="s">
        <v>15</v>
      </c>
      <c r="F111" s="19" t="s">
        <v>16</v>
      </c>
      <c r="G111" s="19" t="s">
        <v>65</v>
      </c>
      <c r="H111" s="19" t="s">
        <v>79</v>
      </c>
      <c r="I111" s="19">
        <v>1</v>
      </c>
      <c r="J111" s="21">
        <v>80</v>
      </c>
      <c r="K111" s="22">
        <v>0.08</v>
      </c>
      <c r="L111" s="21">
        <v>73.600000000000009</v>
      </c>
    </row>
    <row r="112" spans="1:12">
      <c r="A112" s="19" t="s">
        <v>182</v>
      </c>
      <c r="B112" s="20">
        <v>46160</v>
      </c>
      <c r="C112" s="19" t="s">
        <v>86</v>
      </c>
      <c r="D112" s="19" t="s">
        <v>35</v>
      </c>
      <c r="E112" s="19" t="s">
        <v>22</v>
      </c>
      <c r="F112" s="19" t="s">
        <v>73</v>
      </c>
      <c r="G112" s="19" t="s">
        <v>74</v>
      </c>
      <c r="H112" s="19" t="s">
        <v>87</v>
      </c>
      <c r="I112" s="19">
        <v>8</v>
      </c>
      <c r="J112" s="21">
        <v>7.6</v>
      </c>
      <c r="K112" s="22">
        <v>0.1</v>
      </c>
      <c r="L112" s="21">
        <v>54.72</v>
      </c>
    </row>
    <row r="113" spans="1:12">
      <c r="A113" s="19" t="s">
        <v>183</v>
      </c>
      <c r="B113" s="20">
        <v>46118</v>
      </c>
      <c r="C113" s="19" t="s">
        <v>86</v>
      </c>
      <c r="D113" s="19" t="s">
        <v>35</v>
      </c>
      <c r="E113" s="19" t="s">
        <v>22</v>
      </c>
      <c r="F113" s="19" t="s">
        <v>48</v>
      </c>
      <c r="G113" s="19" t="s">
        <v>96</v>
      </c>
      <c r="H113" s="19" t="s">
        <v>93</v>
      </c>
      <c r="I113" s="19">
        <v>1</v>
      </c>
      <c r="J113" s="21">
        <v>2500</v>
      </c>
      <c r="K113" s="22">
        <v>0.05</v>
      </c>
      <c r="L113" s="21">
        <v>2375</v>
      </c>
    </row>
    <row r="114" spans="1:12">
      <c r="A114" s="19" t="s">
        <v>184</v>
      </c>
      <c r="B114" s="20">
        <v>46296</v>
      </c>
      <c r="C114" s="19" t="s">
        <v>31</v>
      </c>
      <c r="D114" s="19" t="s">
        <v>21</v>
      </c>
      <c r="E114" s="19" t="s">
        <v>22</v>
      </c>
      <c r="F114" s="19" t="s">
        <v>60</v>
      </c>
      <c r="G114" s="19" t="s">
        <v>61</v>
      </c>
      <c r="H114" s="19" t="s">
        <v>39</v>
      </c>
      <c r="I114" s="19">
        <v>1</v>
      </c>
      <c r="J114" s="21">
        <v>867</v>
      </c>
      <c r="K114" s="22">
        <v>0.03</v>
      </c>
      <c r="L114" s="21">
        <v>840.99</v>
      </c>
    </row>
    <row r="115" spans="1:12">
      <c r="A115" s="19" t="s">
        <v>185</v>
      </c>
      <c r="B115" s="20">
        <v>46263</v>
      </c>
      <c r="C115" s="19" t="s">
        <v>31</v>
      </c>
      <c r="D115" s="19" t="s">
        <v>14</v>
      </c>
      <c r="E115" s="19" t="s">
        <v>22</v>
      </c>
      <c r="F115" s="19" t="s">
        <v>23</v>
      </c>
      <c r="G115" s="19" t="s">
        <v>138</v>
      </c>
      <c r="H115" s="19" t="s">
        <v>33</v>
      </c>
      <c r="I115" s="19">
        <v>3</v>
      </c>
      <c r="J115" s="21">
        <v>63.6</v>
      </c>
      <c r="K115" s="22">
        <v>0.05</v>
      </c>
      <c r="L115" s="21">
        <v>181.26</v>
      </c>
    </row>
    <row r="116" spans="1:12">
      <c r="A116" s="19" t="s">
        <v>186</v>
      </c>
      <c r="B116" s="20">
        <v>46180</v>
      </c>
      <c r="C116" s="19" t="s">
        <v>13</v>
      </c>
      <c r="D116" s="19" t="s">
        <v>14</v>
      </c>
      <c r="E116" s="19" t="s">
        <v>22</v>
      </c>
      <c r="F116" s="19" t="s">
        <v>16</v>
      </c>
      <c r="G116" s="19" t="s">
        <v>17</v>
      </c>
      <c r="H116" s="19" t="s">
        <v>18</v>
      </c>
      <c r="I116" s="19">
        <v>3</v>
      </c>
      <c r="J116" s="21">
        <v>15.9</v>
      </c>
      <c r="K116" s="22">
        <v>0.05</v>
      </c>
      <c r="L116" s="21">
        <v>45.314999999999998</v>
      </c>
    </row>
    <row r="117" spans="1:12">
      <c r="A117" s="19" t="s">
        <v>187</v>
      </c>
      <c r="B117" s="20">
        <v>46193</v>
      </c>
      <c r="C117" s="19" t="s">
        <v>31</v>
      </c>
      <c r="D117" s="19" t="s">
        <v>14</v>
      </c>
      <c r="E117" s="19" t="s">
        <v>22</v>
      </c>
      <c r="F117" s="19" t="s">
        <v>23</v>
      </c>
      <c r="G117" s="19" t="s">
        <v>138</v>
      </c>
      <c r="H117" s="19" t="s">
        <v>39</v>
      </c>
      <c r="I117" s="19">
        <v>2</v>
      </c>
      <c r="J117" s="21">
        <v>60</v>
      </c>
      <c r="K117" s="22">
        <v>0</v>
      </c>
      <c r="L117" s="21">
        <v>120</v>
      </c>
    </row>
    <row r="118" spans="1:12">
      <c r="A118" s="19" t="s">
        <v>188</v>
      </c>
      <c r="B118" s="20">
        <v>46178</v>
      </c>
      <c r="C118" s="19" t="s">
        <v>86</v>
      </c>
      <c r="D118" s="19" t="s">
        <v>35</v>
      </c>
      <c r="E118" s="19" t="s">
        <v>22</v>
      </c>
      <c r="F118" s="19" t="s">
        <v>73</v>
      </c>
      <c r="G118" s="19" t="s">
        <v>129</v>
      </c>
      <c r="H118" s="19" t="s">
        <v>102</v>
      </c>
      <c r="I118" s="19">
        <v>6</v>
      </c>
      <c r="J118" s="21">
        <v>33.950000000000003</v>
      </c>
      <c r="K118" s="22">
        <v>0.15</v>
      </c>
      <c r="L118" s="21">
        <v>173.14500000000001</v>
      </c>
    </row>
    <row r="119" spans="1:12">
      <c r="A119" s="19" t="s">
        <v>189</v>
      </c>
      <c r="B119" s="20">
        <v>46052</v>
      </c>
      <c r="C119" s="19" t="s">
        <v>31</v>
      </c>
      <c r="D119" s="19" t="s">
        <v>14</v>
      </c>
      <c r="E119" s="19" t="s">
        <v>22</v>
      </c>
      <c r="F119" s="19" t="s">
        <v>48</v>
      </c>
      <c r="G119" s="19" t="s">
        <v>49</v>
      </c>
      <c r="H119" s="19" t="s">
        <v>33</v>
      </c>
      <c r="I119" s="19">
        <v>1</v>
      </c>
      <c r="J119" s="21">
        <v>4200</v>
      </c>
      <c r="K119" s="22">
        <v>0</v>
      </c>
      <c r="L119" s="21">
        <v>4200</v>
      </c>
    </row>
    <row r="120" spans="1:12">
      <c r="A120" s="19" t="s">
        <v>190</v>
      </c>
      <c r="B120" s="20">
        <v>46112</v>
      </c>
      <c r="C120" s="19" t="s">
        <v>20</v>
      </c>
      <c r="D120" s="19" t="s">
        <v>41</v>
      </c>
      <c r="E120" s="19" t="s">
        <v>22</v>
      </c>
      <c r="F120" s="19" t="s">
        <v>16</v>
      </c>
      <c r="G120" s="19" t="s">
        <v>42</v>
      </c>
      <c r="H120" s="19" t="s">
        <v>25</v>
      </c>
      <c r="I120" s="19">
        <v>2</v>
      </c>
      <c r="J120" s="21">
        <v>45</v>
      </c>
      <c r="K120" s="22">
        <v>0.05</v>
      </c>
      <c r="L120" s="21">
        <v>85.5</v>
      </c>
    </row>
    <row r="121" spans="1:12">
      <c r="A121" s="19" t="s">
        <v>191</v>
      </c>
      <c r="B121" s="20">
        <v>46183</v>
      </c>
      <c r="C121" s="19" t="s">
        <v>13</v>
      </c>
      <c r="D121" s="19" t="s">
        <v>14</v>
      </c>
      <c r="E121" s="19" t="s">
        <v>22</v>
      </c>
      <c r="F121" s="19" t="s">
        <v>16</v>
      </c>
      <c r="G121" s="19" t="s">
        <v>17</v>
      </c>
      <c r="H121" s="19" t="s">
        <v>29</v>
      </c>
      <c r="I121" s="19">
        <v>3</v>
      </c>
      <c r="J121" s="21">
        <v>14.55</v>
      </c>
      <c r="K121" s="22">
        <v>0.05</v>
      </c>
      <c r="L121" s="21">
        <v>41.467500000000001</v>
      </c>
    </row>
    <row r="122" spans="1:12">
      <c r="A122" s="19" t="s">
        <v>192</v>
      </c>
      <c r="B122" s="20">
        <v>46173</v>
      </c>
      <c r="C122" s="19" t="s">
        <v>47</v>
      </c>
      <c r="D122" s="19" t="s">
        <v>41</v>
      </c>
      <c r="E122" s="19" t="s">
        <v>15</v>
      </c>
      <c r="F122" s="19" t="s">
        <v>16</v>
      </c>
      <c r="G122" s="19" t="s">
        <v>112</v>
      </c>
      <c r="H122" s="19" t="s">
        <v>55</v>
      </c>
      <c r="I122" s="19">
        <v>3</v>
      </c>
      <c r="J122" s="21">
        <v>65</v>
      </c>
      <c r="K122" s="22">
        <v>0.1</v>
      </c>
      <c r="L122" s="21">
        <v>175.5</v>
      </c>
    </row>
    <row r="123" spans="1:12">
      <c r="A123" s="19" t="s">
        <v>193</v>
      </c>
      <c r="B123" s="20">
        <v>46078</v>
      </c>
      <c r="C123" s="19" t="s">
        <v>13</v>
      </c>
      <c r="D123" s="19" t="s">
        <v>21</v>
      </c>
      <c r="E123" s="19" t="s">
        <v>22</v>
      </c>
      <c r="F123" s="19" t="s">
        <v>60</v>
      </c>
      <c r="G123" s="19" t="s">
        <v>67</v>
      </c>
      <c r="H123" s="19" t="s">
        <v>29</v>
      </c>
      <c r="I123" s="19">
        <v>1</v>
      </c>
      <c r="J123" s="21">
        <v>1530</v>
      </c>
      <c r="K123" s="22">
        <v>0</v>
      </c>
      <c r="L123" s="21">
        <v>1530</v>
      </c>
    </row>
    <row r="124" spans="1:12">
      <c r="A124" s="19" t="s">
        <v>194</v>
      </c>
      <c r="B124" s="20">
        <v>46291</v>
      </c>
      <c r="C124" s="19" t="s">
        <v>86</v>
      </c>
      <c r="D124" s="19" t="s">
        <v>14</v>
      </c>
      <c r="E124" s="19" t="s">
        <v>22</v>
      </c>
      <c r="F124" s="19" t="s">
        <v>48</v>
      </c>
      <c r="G124" s="19" t="s">
        <v>49</v>
      </c>
      <c r="H124" s="19" t="s">
        <v>93</v>
      </c>
      <c r="I124" s="19">
        <v>1</v>
      </c>
      <c r="J124" s="21">
        <v>3990</v>
      </c>
      <c r="K124" s="22">
        <v>0.1</v>
      </c>
      <c r="L124" s="21">
        <v>3591</v>
      </c>
    </row>
    <row r="125" spans="1:12">
      <c r="A125" s="19" t="s">
        <v>195</v>
      </c>
      <c r="B125" s="20">
        <v>46293</v>
      </c>
      <c r="C125" s="19" t="s">
        <v>31</v>
      </c>
      <c r="D125" s="19" t="s">
        <v>21</v>
      </c>
      <c r="E125" s="19" t="s">
        <v>22</v>
      </c>
      <c r="F125" s="19" t="s">
        <v>60</v>
      </c>
      <c r="G125" s="19" t="s">
        <v>91</v>
      </c>
      <c r="H125" s="19" t="s">
        <v>79</v>
      </c>
      <c r="I125" s="19">
        <v>4</v>
      </c>
      <c r="J125" s="21">
        <v>614.79999999999995</v>
      </c>
      <c r="K125" s="22">
        <v>0.08</v>
      </c>
      <c r="L125" s="21">
        <v>2262.4639999999999</v>
      </c>
    </row>
    <row r="126" spans="1:12">
      <c r="A126" s="19" t="s">
        <v>196</v>
      </c>
      <c r="B126" s="20">
        <v>46158</v>
      </c>
      <c r="C126" s="19" t="s">
        <v>20</v>
      </c>
      <c r="D126" s="19" t="s">
        <v>41</v>
      </c>
      <c r="E126" s="19" t="s">
        <v>22</v>
      </c>
      <c r="F126" s="19" t="s">
        <v>73</v>
      </c>
      <c r="G126" s="19" t="s">
        <v>129</v>
      </c>
      <c r="H126" s="19" t="s">
        <v>25</v>
      </c>
      <c r="I126" s="19">
        <v>3</v>
      </c>
      <c r="J126" s="21">
        <v>33.950000000000003</v>
      </c>
      <c r="K126" s="22">
        <v>0.03</v>
      </c>
      <c r="L126" s="21">
        <v>98.794499999999999</v>
      </c>
    </row>
    <row r="127" spans="1:12">
      <c r="A127" s="19" t="s">
        <v>197</v>
      </c>
      <c r="B127" s="20">
        <v>46280</v>
      </c>
      <c r="C127" s="19" t="s">
        <v>20</v>
      </c>
      <c r="D127" s="19" t="s">
        <v>21</v>
      </c>
      <c r="E127" s="19" t="s">
        <v>22</v>
      </c>
      <c r="F127" s="19" t="s">
        <v>73</v>
      </c>
      <c r="G127" s="19" t="s">
        <v>145</v>
      </c>
      <c r="H127" s="19" t="s">
        <v>25</v>
      </c>
      <c r="I127" s="19">
        <v>4</v>
      </c>
      <c r="J127" s="21">
        <v>18.72</v>
      </c>
      <c r="K127" s="22">
        <v>0.08</v>
      </c>
      <c r="L127" s="21">
        <v>68.889600000000002</v>
      </c>
    </row>
    <row r="128" spans="1:12">
      <c r="A128" s="19" t="s">
        <v>198</v>
      </c>
      <c r="B128" s="20">
        <v>46316</v>
      </c>
      <c r="C128" s="19" t="s">
        <v>86</v>
      </c>
      <c r="D128" s="19" t="s">
        <v>14</v>
      </c>
      <c r="E128" s="19" t="s">
        <v>22</v>
      </c>
      <c r="F128" s="19" t="s">
        <v>48</v>
      </c>
      <c r="G128" s="19" t="s">
        <v>54</v>
      </c>
      <c r="H128" s="19" t="s">
        <v>93</v>
      </c>
      <c r="I128" s="19">
        <v>1</v>
      </c>
      <c r="J128" s="21">
        <v>1800</v>
      </c>
      <c r="K128" s="22">
        <v>0.08</v>
      </c>
      <c r="L128" s="21">
        <v>1656</v>
      </c>
    </row>
    <row r="129" spans="1:12">
      <c r="A129" s="19" t="s">
        <v>199</v>
      </c>
      <c r="B129" s="20">
        <v>46366</v>
      </c>
      <c r="C129" s="19" t="s">
        <v>47</v>
      </c>
      <c r="D129" s="19" t="s">
        <v>35</v>
      </c>
      <c r="E129" s="19" t="s">
        <v>22</v>
      </c>
      <c r="F129" s="19" t="s">
        <v>60</v>
      </c>
      <c r="G129" s="19" t="s">
        <v>91</v>
      </c>
      <c r="H129" s="19" t="s">
        <v>83</v>
      </c>
      <c r="I129" s="19">
        <v>2</v>
      </c>
      <c r="J129" s="21">
        <v>580</v>
      </c>
      <c r="K129" s="22">
        <v>0.1</v>
      </c>
      <c r="L129" s="21">
        <v>1044</v>
      </c>
    </row>
    <row r="130" spans="1:12">
      <c r="A130" s="19" t="s">
        <v>200</v>
      </c>
      <c r="B130" s="20">
        <v>46348</v>
      </c>
      <c r="C130" s="19" t="s">
        <v>13</v>
      </c>
      <c r="D130" s="19" t="s">
        <v>41</v>
      </c>
      <c r="E130" s="19" t="s">
        <v>22</v>
      </c>
      <c r="F130" s="19" t="s">
        <v>73</v>
      </c>
      <c r="G130" s="19" t="s">
        <v>127</v>
      </c>
      <c r="H130" s="19" t="s">
        <v>29</v>
      </c>
      <c r="I130" s="19">
        <v>3</v>
      </c>
      <c r="J130" s="21">
        <v>26</v>
      </c>
      <c r="K130" s="22">
        <v>0</v>
      </c>
      <c r="L130" s="21">
        <v>78</v>
      </c>
    </row>
    <row r="131" spans="1:12">
      <c r="A131" s="19" t="s">
        <v>201</v>
      </c>
      <c r="B131" s="20">
        <v>46088</v>
      </c>
      <c r="C131" s="19" t="s">
        <v>86</v>
      </c>
      <c r="D131" s="19" t="s">
        <v>35</v>
      </c>
      <c r="E131" s="19" t="s">
        <v>15</v>
      </c>
      <c r="F131" s="19" t="s">
        <v>27</v>
      </c>
      <c r="G131" s="19" t="s">
        <v>36</v>
      </c>
      <c r="H131" s="19" t="s">
        <v>87</v>
      </c>
      <c r="I131" s="19">
        <v>5</v>
      </c>
      <c r="J131" s="21">
        <v>727.5</v>
      </c>
      <c r="K131" s="22">
        <v>0.1</v>
      </c>
      <c r="L131" s="21">
        <v>3273.75</v>
      </c>
    </row>
    <row r="132" spans="1:12">
      <c r="A132" s="19" t="s">
        <v>202</v>
      </c>
      <c r="B132" s="20">
        <v>46322</v>
      </c>
      <c r="C132" s="19" t="s">
        <v>13</v>
      </c>
      <c r="D132" s="19" t="s">
        <v>21</v>
      </c>
      <c r="E132" s="19" t="s">
        <v>22</v>
      </c>
      <c r="F132" s="19" t="s">
        <v>73</v>
      </c>
      <c r="G132" s="19" t="s">
        <v>74</v>
      </c>
      <c r="H132" s="19" t="s">
        <v>18</v>
      </c>
      <c r="I132" s="19">
        <v>3</v>
      </c>
      <c r="J132" s="21">
        <v>8</v>
      </c>
      <c r="K132" s="22">
        <v>0</v>
      </c>
      <c r="L132" s="21">
        <v>24</v>
      </c>
    </row>
    <row r="133" spans="1:12">
      <c r="A133" s="19" t="s">
        <v>203</v>
      </c>
      <c r="B133" s="20">
        <v>46351</v>
      </c>
      <c r="C133" s="19" t="s">
        <v>13</v>
      </c>
      <c r="D133" s="19" t="s">
        <v>41</v>
      </c>
      <c r="E133" s="19" t="s">
        <v>22</v>
      </c>
      <c r="F133" s="19" t="s">
        <v>16</v>
      </c>
      <c r="G133" s="19" t="s">
        <v>57</v>
      </c>
      <c r="H133" s="19" t="s">
        <v>43</v>
      </c>
      <c r="I133" s="19">
        <v>7</v>
      </c>
      <c r="J133" s="21">
        <v>38</v>
      </c>
      <c r="K133" s="22">
        <v>0.1</v>
      </c>
      <c r="L133" s="21">
        <v>239.4</v>
      </c>
    </row>
    <row r="134" spans="1:12">
      <c r="A134" s="19" t="s">
        <v>204</v>
      </c>
      <c r="B134" s="20">
        <v>46303</v>
      </c>
      <c r="C134" s="19" t="s">
        <v>20</v>
      </c>
      <c r="D134" s="19" t="s">
        <v>14</v>
      </c>
      <c r="E134" s="19" t="s">
        <v>22</v>
      </c>
      <c r="F134" s="19" t="s">
        <v>60</v>
      </c>
      <c r="G134" s="19" t="s">
        <v>61</v>
      </c>
      <c r="H134" s="19" t="s">
        <v>63</v>
      </c>
      <c r="I134" s="19">
        <v>2</v>
      </c>
      <c r="J134" s="21">
        <v>867</v>
      </c>
      <c r="K134" s="22">
        <v>0.08</v>
      </c>
      <c r="L134" s="21">
        <v>1595.28</v>
      </c>
    </row>
    <row r="135" spans="1:12">
      <c r="A135" s="19" t="s">
        <v>205</v>
      </c>
      <c r="B135" s="20">
        <v>46183</v>
      </c>
      <c r="C135" s="19" t="s">
        <v>13</v>
      </c>
      <c r="D135" s="19" t="s">
        <v>21</v>
      </c>
      <c r="E135" s="19" t="s">
        <v>22</v>
      </c>
      <c r="F135" s="19" t="s">
        <v>16</v>
      </c>
      <c r="G135" s="19" t="s">
        <v>112</v>
      </c>
      <c r="H135" s="19" t="s">
        <v>29</v>
      </c>
      <c r="I135" s="19">
        <v>5</v>
      </c>
      <c r="J135" s="21">
        <v>65</v>
      </c>
      <c r="K135" s="22">
        <v>0</v>
      </c>
      <c r="L135" s="21">
        <v>325</v>
      </c>
    </row>
    <row r="136" spans="1:12">
      <c r="A136" s="19" t="s">
        <v>206</v>
      </c>
      <c r="B136" s="20">
        <v>46344</v>
      </c>
      <c r="C136" s="19" t="s">
        <v>47</v>
      </c>
      <c r="D136" s="19" t="s">
        <v>35</v>
      </c>
      <c r="E136" s="19" t="s">
        <v>22</v>
      </c>
      <c r="F136" s="19" t="s">
        <v>48</v>
      </c>
      <c r="G136" s="19" t="s">
        <v>71</v>
      </c>
      <c r="H136" s="19" t="s">
        <v>50</v>
      </c>
      <c r="I136" s="19">
        <v>1</v>
      </c>
      <c r="J136" s="21">
        <v>3200</v>
      </c>
      <c r="K136" s="22">
        <v>0.2</v>
      </c>
      <c r="L136" s="21">
        <v>2560</v>
      </c>
    </row>
    <row r="137" spans="1:12">
      <c r="A137" s="19" t="s">
        <v>207</v>
      </c>
      <c r="B137" s="20">
        <v>46329</v>
      </c>
      <c r="C137" s="19" t="s">
        <v>47</v>
      </c>
      <c r="D137" s="19" t="s">
        <v>14</v>
      </c>
      <c r="E137" s="19" t="s">
        <v>22</v>
      </c>
      <c r="F137" s="19" t="s">
        <v>48</v>
      </c>
      <c r="G137" s="19" t="s">
        <v>71</v>
      </c>
      <c r="H137" s="19" t="s">
        <v>50</v>
      </c>
      <c r="I137" s="19">
        <v>1</v>
      </c>
      <c r="J137" s="21">
        <v>3328</v>
      </c>
      <c r="K137" s="22">
        <v>0.08</v>
      </c>
      <c r="L137" s="21">
        <v>3061.76</v>
      </c>
    </row>
    <row r="138" spans="1:12">
      <c r="A138" s="19" t="s">
        <v>208</v>
      </c>
      <c r="B138" s="20">
        <v>46176</v>
      </c>
      <c r="C138" s="19" t="s">
        <v>86</v>
      </c>
      <c r="D138" s="19" t="s">
        <v>14</v>
      </c>
      <c r="E138" s="19" t="s">
        <v>22</v>
      </c>
      <c r="F138" s="19" t="s">
        <v>73</v>
      </c>
      <c r="G138" s="19" t="s">
        <v>129</v>
      </c>
      <c r="H138" s="19" t="s">
        <v>102</v>
      </c>
      <c r="I138" s="19">
        <v>1</v>
      </c>
      <c r="J138" s="21">
        <v>35</v>
      </c>
      <c r="K138" s="22">
        <v>0.05</v>
      </c>
      <c r="L138" s="21">
        <v>33.25</v>
      </c>
    </row>
    <row r="139" spans="1:12">
      <c r="A139" s="19" t="s">
        <v>209</v>
      </c>
      <c r="B139" s="20">
        <v>46270</v>
      </c>
      <c r="C139" s="19" t="s">
        <v>13</v>
      </c>
      <c r="D139" s="19" t="s">
        <v>21</v>
      </c>
      <c r="E139" s="19" t="s">
        <v>22</v>
      </c>
      <c r="F139" s="19" t="s">
        <v>73</v>
      </c>
      <c r="G139" s="19" t="s">
        <v>127</v>
      </c>
      <c r="H139" s="19" t="s">
        <v>43</v>
      </c>
      <c r="I139" s="19">
        <v>1</v>
      </c>
      <c r="J139" s="21">
        <v>25</v>
      </c>
      <c r="K139" s="22">
        <v>0</v>
      </c>
      <c r="L139" s="21">
        <v>25</v>
      </c>
    </row>
    <row r="140" spans="1:12">
      <c r="A140" s="19" t="s">
        <v>210</v>
      </c>
      <c r="B140" s="20">
        <v>46248</v>
      </c>
      <c r="C140" s="19" t="s">
        <v>31</v>
      </c>
      <c r="D140" s="19" t="s">
        <v>14</v>
      </c>
      <c r="E140" s="19" t="s">
        <v>15</v>
      </c>
      <c r="F140" s="19" t="s">
        <v>16</v>
      </c>
      <c r="G140" s="19" t="s">
        <v>69</v>
      </c>
      <c r="H140" s="19" t="s">
        <v>33</v>
      </c>
      <c r="I140" s="19">
        <v>1</v>
      </c>
      <c r="J140" s="21">
        <v>58.3</v>
      </c>
      <c r="K140" s="22">
        <v>0.1</v>
      </c>
      <c r="L140" s="21">
        <v>52.47</v>
      </c>
    </row>
    <row r="141" spans="1:12">
      <c r="A141" s="19" t="s">
        <v>211</v>
      </c>
      <c r="B141" s="20">
        <v>46235</v>
      </c>
      <c r="C141" s="19" t="s">
        <v>13</v>
      </c>
      <c r="D141" s="19" t="s">
        <v>21</v>
      </c>
      <c r="E141" s="19" t="s">
        <v>22</v>
      </c>
      <c r="F141" s="19" t="s">
        <v>48</v>
      </c>
      <c r="G141" s="19" t="s">
        <v>71</v>
      </c>
      <c r="H141" s="19" t="s">
        <v>43</v>
      </c>
      <c r="I141" s="19">
        <v>1</v>
      </c>
      <c r="J141" s="21">
        <v>3264</v>
      </c>
      <c r="K141" s="22">
        <v>0.05</v>
      </c>
      <c r="L141" s="21">
        <v>3100.7999999999997</v>
      </c>
    </row>
    <row r="142" spans="1:12">
      <c r="A142" s="19" t="s">
        <v>212</v>
      </c>
      <c r="B142" s="20">
        <v>46282</v>
      </c>
      <c r="C142" s="19" t="s">
        <v>47</v>
      </c>
      <c r="D142" s="19" t="s">
        <v>14</v>
      </c>
      <c r="E142" s="19" t="s">
        <v>22</v>
      </c>
      <c r="F142" s="19" t="s">
        <v>60</v>
      </c>
      <c r="G142" s="19" t="s">
        <v>91</v>
      </c>
      <c r="H142" s="19" t="s">
        <v>83</v>
      </c>
      <c r="I142" s="19">
        <v>3</v>
      </c>
      <c r="J142" s="21">
        <v>603.20000000000005</v>
      </c>
      <c r="K142" s="22">
        <v>0</v>
      </c>
      <c r="L142" s="21">
        <v>1809.6000000000001</v>
      </c>
    </row>
    <row r="143" spans="1:12">
      <c r="A143" s="19" t="s">
        <v>213</v>
      </c>
      <c r="B143" s="20">
        <v>46365</v>
      </c>
      <c r="C143" s="19" t="s">
        <v>13</v>
      </c>
      <c r="D143" s="19" t="s">
        <v>14</v>
      </c>
      <c r="E143" s="19" t="s">
        <v>15</v>
      </c>
      <c r="F143" s="19" t="s">
        <v>16</v>
      </c>
      <c r="G143" s="19" t="s">
        <v>17</v>
      </c>
      <c r="H143" s="19" t="s">
        <v>29</v>
      </c>
      <c r="I143" s="19">
        <v>4</v>
      </c>
      <c r="J143" s="21">
        <v>14.55</v>
      </c>
      <c r="K143" s="22">
        <v>0.1</v>
      </c>
      <c r="L143" s="21">
        <v>52.38</v>
      </c>
    </row>
    <row r="144" spans="1:12">
      <c r="A144" s="19" t="s">
        <v>214</v>
      </c>
      <c r="B144" s="20">
        <v>46065</v>
      </c>
      <c r="C144" s="19" t="s">
        <v>20</v>
      </c>
      <c r="D144" s="19" t="s">
        <v>41</v>
      </c>
      <c r="E144" s="19" t="s">
        <v>15</v>
      </c>
      <c r="F144" s="19" t="s">
        <v>73</v>
      </c>
      <c r="G144" s="19" t="s">
        <v>145</v>
      </c>
      <c r="H144" s="19" t="s">
        <v>25</v>
      </c>
      <c r="I144" s="19">
        <v>3</v>
      </c>
      <c r="J144" s="21">
        <v>19.079999999999998</v>
      </c>
      <c r="K144" s="22">
        <v>0.15</v>
      </c>
      <c r="L144" s="21">
        <v>48.653999999999996</v>
      </c>
    </row>
    <row r="145" spans="1:12">
      <c r="A145" s="19" t="s">
        <v>215</v>
      </c>
      <c r="B145" s="20">
        <v>46280</v>
      </c>
      <c r="C145" s="19" t="s">
        <v>31</v>
      </c>
      <c r="D145" s="19" t="s">
        <v>14</v>
      </c>
      <c r="E145" s="19" t="s">
        <v>22</v>
      </c>
      <c r="F145" s="19" t="s">
        <v>73</v>
      </c>
      <c r="G145" s="19" t="s">
        <v>129</v>
      </c>
      <c r="H145" s="19" t="s">
        <v>39</v>
      </c>
      <c r="I145" s="19">
        <v>3</v>
      </c>
      <c r="J145" s="21">
        <v>35</v>
      </c>
      <c r="K145" s="22">
        <v>0.2</v>
      </c>
      <c r="L145" s="21">
        <v>84</v>
      </c>
    </row>
    <row r="146" spans="1:12">
      <c r="A146" s="19" t="s">
        <v>216</v>
      </c>
      <c r="B146" s="20">
        <v>46175</v>
      </c>
      <c r="C146" s="19" t="s">
        <v>13</v>
      </c>
      <c r="D146" s="19" t="s">
        <v>14</v>
      </c>
      <c r="E146" s="19" t="s">
        <v>15</v>
      </c>
      <c r="F146" s="19" t="s">
        <v>23</v>
      </c>
      <c r="G146" s="19" t="s">
        <v>138</v>
      </c>
      <c r="H146" s="19" t="s">
        <v>29</v>
      </c>
      <c r="I146" s="19">
        <v>1</v>
      </c>
      <c r="J146" s="21">
        <v>60</v>
      </c>
      <c r="K146" s="22">
        <v>0.08</v>
      </c>
      <c r="L146" s="21">
        <v>55.2</v>
      </c>
    </row>
    <row r="147" spans="1:12">
      <c r="A147" s="19" t="s">
        <v>217</v>
      </c>
      <c r="B147" s="20">
        <v>46324</v>
      </c>
      <c r="C147" s="19" t="s">
        <v>47</v>
      </c>
      <c r="D147" s="19" t="s">
        <v>14</v>
      </c>
      <c r="E147" s="19" t="s">
        <v>15</v>
      </c>
      <c r="F147" s="19" t="s">
        <v>23</v>
      </c>
      <c r="G147" s="19" t="s">
        <v>138</v>
      </c>
      <c r="H147" s="19" t="s">
        <v>50</v>
      </c>
      <c r="I147" s="19">
        <v>5</v>
      </c>
      <c r="J147" s="21">
        <v>60</v>
      </c>
      <c r="K147" s="22">
        <v>0.08</v>
      </c>
      <c r="L147" s="21">
        <v>276</v>
      </c>
    </row>
    <row r="148" spans="1:12">
      <c r="A148" s="19" t="s">
        <v>218</v>
      </c>
      <c r="B148" s="20">
        <v>46200</v>
      </c>
      <c r="C148" s="19" t="s">
        <v>31</v>
      </c>
      <c r="D148" s="19" t="s">
        <v>14</v>
      </c>
      <c r="E148" s="19" t="s">
        <v>15</v>
      </c>
      <c r="F148" s="19" t="s">
        <v>48</v>
      </c>
      <c r="G148" s="19" t="s">
        <v>54</v>
      </c>
      <c r="H148" s="19" t="s">
        <v>79</v>
      </c>
      <c r="I148" s="19">
        <v>1</v>
      </c>
      <c r="J148" s="21">
        <v>1800</v>
      </c>
      <c r="K148" s="22">
        <v>0.1</v>
      </c>
      <c r="L148" s="21">
        <v>1620</v>
      </c>
    </row>
    <row r="149" spans="1:12">
      <c r="A149" s="19" t="s">
        <v>219</v>
      </c>
      <c r="B149" s="20">
        <v>46277</v>
      </c>
      <c r="C149" s="19" t="s">
        <v>20</v>
      </c>
      <c r="D149" s="19" t="s">
        <v>35</v>
      </c>
      <c r="E149" s="19" t="s">
        <v>22</v>
      </c>
      <c r="F149" s="19" t="s">
        <v>60</v>
      </c>
      <c r="G149" s="19" t="s">
        <v>76</v>
      </c>
      <c r="H149" s="19" t="s">
        <v>25</v>
      </c>
      <c r="I149" s="19">
        <v>2</v>
      </c>
      <c r="J149" s="21">
        <v>700</v>
      </c>
      <c r="K149" s="22">
        <v>0.1</v>
      </c>
      <c r="L149" s="21">
        <v>1260</v>
      </c>
    </row>
    <row r="150" spans="1:12">
      <c r="A150" s="19" t="s">
        <v>220</v>
      </c>
      <c r="B150" s="20">
        <v>46074</v>
      </c>
      <c r="C150" s="19" t="s">
        <v>86</v>
      </c>
      <c r="D150" s="19" t="s">
        <v>21</v>
      </c>
      <c r="E150" s="19" t="s">
        <v>22</v>
      </c>
      <c r="F150" s="19" t="s">
        <v>16</v>
      </c>
      <c r="G150" s="19" t="s">
        <v>42</v>
      </c>
      <c r="H150" s="19" t="s">
        <v>102</v>
      </c>
      <c r="I150" s="19">
        <v>5</v>
      </c>
      <c r="J150" s="21">
        <v>45</v>
      </c>
      <c r="K150" s="22">
        <v>0.08</v>
      </c>
      <c r="L150" s="21">
        <v>207</v>
      </c>
    </row>
    <row r="151" spans="1:12">
      <c r="A151" s="19" t="s">
        <v>221</v>
      </c>
      <c r="B151" s="20">
        <v>46025</v>
      </c>
      <c r="C151" s="19" t="s">
        <v>31</v>
      </c>
      <c r="D151" s="19" t="s">
        <v>35</v>
      </c>
      <c r="E151" s="19" t="s">
        <v>22</v>
      </c>
      <c r="F151" s="19" t="s">
        <v>27</v>
      </c>
      <c r="G151" s="19" t="s">
        <v>32</v>
      </c>
      <c r="H151" s="19" t="s">
        <v>33</v>
      </c>
      <c r="I151" s="19">
        <v>8</v>
      </c>
      <c r="J151" s="21">
        <v>280</v>
      </c>
      <c r="K151" s="22">
        <v>0.2</v>
      </c>
      <c r="L151" s="21">
        <v>1792</v>
      </c>
    </row>
    <row r="152" spans="1:12">
      <c r="A152" s="19" t="s">
        <v>222</v>
      </c>
      <c r="B152" s="20">
        <v>46176</v>
      </c>
      <c r="C152" s="19" t="s">
        <v>20</v>
      </c>
      <c r="D152" s="19" t="s">
        <v>21</v>
      </c>
      <c r="E152" s="19" t="s">
        <v>22</v>
      </c>
      <c r="F152" s="19" t="s">
        <v>23</v>
      </c>
      <c r="G152" s="19" t="s">
        <v>38</v>
      </c>
      <c r="H152" s="19" t="s">
        <v>58</v>
      </c>
      <c r="I152" s="19">
        <v>1</v>
      </c>
      <c r="J152" s="21">
        <v>310.39999999999998</v>
      </c>
      <c r="K152" s="22">
        <v>0.05</v>
      </c>
      <c r="L152" s="21">
        <v>294.87999999999994</v>
      </c>
    </row>
    <row r="153" spans="1:12">
      <c r="A153" s="19" t="s">
        <v>223</v>
      </c>
      <c r="B153" s="20">
        <v>46191</v>
      </c>
      <c r="C153" s="19" t="s">
        <v>31</v>
      </c>
      <c r="D153" s="19" t="s">
        <v>35</v>
      </c>
      <c r="E153" s="19" t="s">
        <v>22</v>
      </c>
      <c r="F153" s="19" t="s">
        <v>48</v>
      </c>
      <c r="G153" s="19" t="s">
        <v>99</v>
      </c>
      <c r="H153" s="19" t="s">
        <v>79</v>
      </c>
      <c r="I153" s="19">
        <v>1</v>
      </c>
      <c r="J153" s="21">
        <v>3000</v>
      </c>
      <c r="K153" s="22">
        <v>0.2</v>
      </c>
      <c r="L153" s="21">
        <v>2400</v>
      </c>
    </row>
    <row r="154" spans="1:12">
      <c r="A154" s="19" t="s">
        <v>224</v>
      </c>
      <c r="B154" s="20">
        <v>46081</v>
      </c>
      <c r="C154" s="19" t="s">
        <v>31</v>
      </c>
      <c r="D154" s="19" t="s">
        <v>14</v>
      </c>
      <c r="E154" s="19" t="s">
        <v>22</v>
      </c>
      <c r="F154" s="19" t="s">
        <v>27</v>
      </c>
      <c r="G154" s="19" t="s">
        <v>28</v>
      </c>
      <c r="H154" s="19" t="s">
        <v>33</v>
      </c>
      <c r="I154" s="19">
        <v>4</v>
      </c>
      <c r="J154" s="21">
        <v>20.399999999999999</v>
      </c>
      <c r="K154" s="22">
        <v>0.05</v>
      </c>
      <c r="L154" s="21">
        <v>77.52</v>
      </c>
    </row>
    <row r="155" spans="1:12">
      <c r="A155" s="19" t="s">
        <v>225</v>
      </c>
      <c r="B155" s="20">
        <v>46354</v>
      </c>
      <c r="C155" s="19" t="s">
        <v>31</v>
      </c>
      <c r="D155" s="19" t="s">
        <v>35</v>
      </c>
      <c r="E155" s="19" t="s">
        <v>22</v>
      </c>
      <c r="F155" s="19" t="s">
        <v>48</v>
      </c>
      <c r="G155" s="19" t="s">
        <v>54</v>
      </c>
      <c r="H155" s="19" t="s">
        <v>79</v>
      </c>
      <c r="I155" s="19">
        <v>1</v>
      </c>
      <c r="J155" s="21">
        <v>1800</v>
      </c>
      <c r="K155" s="22">
        <v>0.05</v>
      </c>
      <c r="L155" s="21">
        <v>1710</v>
      </c>
    </row>
    <row r="156" spans="1:12">
      <c r="A156" s="19" t="s">
        <v>226</v>
      </c>
      <c r="B156" s="20">
        <v>46128</v>
      </c>
      <c r="C156" s="19" t="s">
        <v>31</v>
      </c>
      <c r="D156" s="19" t="s">
        <v>21</v>
      </c>
      <c r="E156" s="19" t="s">
        <v>22</v>
      </c>
      <c r="F156" s="19" t="s">
        <v>73</v>
      </c>
      <c r="G156" s="19" t="s">
        <v>74</v>
      </c>
      <c r="H156" s="19" t="s">
        <v>33</v>
      </c>
      <c r="I156" s="19">
        <v>3</v>
      </c>
      <c r="J156" s="21">
        <v>8</v>
      </c>
      <c r="K156" s="22">
        <v>0</v>
      </c>
      <c r="L156" s="21">
        <v>24</v>
      </c>
    </row>
    <row r="157" spans="1:12">
      <c r="A157" s="19" t="s">
        <v>227</v>
      </c>
      <c r="B157" s="20">
        <v>46196</v>
      </c>
      <c r="C157" s="19" t="s">
        <v>13</v>
      </c>
      <c r="D157" s="19" t="s">
        <v>21</v>
      </c>
      <c r="E157" s="19" t="s">
        <v>22</v>
      </c>
      <c r="F157" s="19" t="s">
        <v>73</v>
      </c>
      <c r="G157" s="19" t="s">
        <v>127</v>
      </c>
      <c r="H157" s="19" t="s">
        <v>29</v>
      </c>
      <c r="I157" s="19">
        <v>7</v>
      </c>
      <c r="J157" s="21">
        <v>25</v>
      </c>
      <c r="K157" s="22">
        <v>0.1</v>
      </c>
      <c r="L157" s="21">
        <v>157.5</v>
      </c>
    </row>
    <row r="158" spans="1:12">
      <c r="A158" s="19" t="s">
        <v>228</v>
      </c>
      <c r="B158" s="20">
        <v>46190</v>
      </c>
      <c r="C158" s="19" t="s">
        <v>86</v>
      </c>
      <c r="D158" s="19" t="s">
        <v>41</v>
      </c>
      <c r="E158" s="19" t="s">
        <v>22</v>
      </c>
      <c r="F158" s="19" t="s">
        <v>23</v>
      </c>
      <c r="G158" s="19" t="s">
        <v>38</v>
      </c>
      <c r="H158" s="19" t="s">
        <v>93</v>
      </c>
      <c r="I158" s="19">
        <v>2</v>
      </c>
      <c r="J158" s="21">
        <v>320</v>
      </c>
      <c r="K158" s="22">
        <v>0.2</v>
      </c>
      <c r="L158" s="21">
        <v>512</v>
      </c>
    </row>
    <row r="159" spans="1:12">
      <c r="A159" s="19" t="s">
        <v>229</v>
      </c>
      <c r="B159" s="20">
        <v>46343</v>
      </c>
      <c r="C159" s="19" t="s">
        <v>31</v>
      </c>
      <c r="D159" s="19" t="s">
        <v>14</v>
      </c>
      <c r="E159" s="19" t="s">
        <v>15</v>
      </c>
      <c r="F159" s="19" t="s">
        <v>23</v>
      </c>
      <c r="G159" s="19" t="s">
        <v>138</v>
      </c>
      <c r="H159" s="19" t="s">
        <v>39</v>
      </c>
      <c r="I159" s="19">
        <v>5</v>
      </c>
      <c r="J159" s="21">
        <v>60</v>
      </c>
      <c r="K159" s="22">
        <v>0.05</v>
      </c>
      <c r="L159" s="21">
        <v>285</v>
      </c>
    </row>
    <row r="160" spans="1:12">
      <c r="A160" s="19" t="s">
        <v>230</v>
      </c>
      <c r="B160" s="20">
        <v>46365</v>
      </c>
      <c r="C160" s="19" t="s">
        <v>31</v>
      </c>
      <c r="D160" s="19" t="s">
        <v>14</v>
      </c>
      <c r="E160" s="19" t="s">
        <v>22</v>
      </c>
      <c r="F160" s="19" t="s">
        <v>60</v>
      </c>
      <c r="G160" s="19" t="s">
        <v>61</v>
      </c>
      <c r="H160" s="19" t="s">
        <v>39</v>
      </c>
      <c r="I160" s="19">
        <v>1</v>
      </c>
      <c r="J160" s="21">
        <v>850</v>
      </c>
      <c r="K160" s="22">
        <v>0.1</v>
      </c>
      <c r="L160" s="21">
        <v>765</v>
      </c>
    </row>
    <row r="161" spans="1:12">
      <c r="A161" s="19" t="s">
        <v>231</v>
      </c>
      <c r="B161" s="20">
        <v>46172</v>
      </c>
      <c r="C161" s="19" t="s">
        <v>20</v>
      </c>
      <c r="D161" s="19" t="s">
        <v>41</v>
      </c>
      <c r="E161" s="19" t="s">
        <v>15</v>
      </c>
      <c r="F161" s="19" t="s">
        <v>16</v>
      </c>
      <c r="G161" s="19" t="s">
        <v>17</v>
      </c>
      <c r="H161" s="19" t="s">
        <v>63</v>
      </c>
      <c r="I161" s="19">
        <v>3</v>
      </c>
      <c r="J161" s="21">
        <v>15</v>
      </c>
      <c r="K161" s="22">
        <v>0.1</v>
      </c>
      <c r="L161" s="21">
        <v>40.5</v>
      </c>
    </row>
    <row r="162" spans="1:12">
      <c r="A162" s="19" t="s">
        <v>232</v>
      </c>
      <c r="B162" s="20">
        <v>46235</v>
      </c>
      <c r="C162" s="19" t="s">
        <v>20</v>
      </c>
      <c r="D162" s="19" t="s">
        <v>21</v>
      </c>
      <c r="E162" s="19" t="s">
        <v>15</v>
      </c>
      <c r="F162" s="19" t="s">
        <v>27</v>
      </c>
      <c r="G162" s="19" t="s">
        <v>155</v>
      </c>
      <c r="H162" s="19" t="s">
        <v>63</v>
      </c>
      <c r="I162" s="19">
        <v>5</v>
      </c>
      <c r="J162" s="21">
        <v>180</v>
      </c>
      <c r="K162" s="22">
        <v>0.08</v>
      </c>
      <c r="L162" s="21">
        <v>828</v>
      </c>
    </row>
    <row r="163" spans="1:12">
      <c r="A163" s="19" t="s">
        <v>233</v>
      </c>
      <c r="B163" s="20">
        <v>46196</v>
      </c>
      <c r="C163" s="19" t="s">
        <v>31</v>
      </c>
      <c r="D163" s="19" t="s">
        <v>21</v>
      </c>
      <c r="E163" s="19" t="s">
        <v>22</v>
      </c>
      <c r="F163" s="19" t="s">
        <v>16</v>
      </c>
      <c r="G163" s="19" t="s">
        <v>65</v>
      </c>
      <c r="H163" s="19" t="s">
        <v>39</v>
      </c>
      <c r="I163" s="19">
        <v>2</v>
      </c>
      <c r="J163" s="21">
        <v>80</v>
      </c>
      <c r="K163" s="22">
        <v>0.1</v>
      </c>
      <c r="L163" s="21">
        <v>144</v>
      </c>
    </row>
    <row r="164" spans="1:12">
      <c r="A164" s="19" t="s">
        <v>234</v>
      </c>
      <c r="B164" s="20">
        <v>46368</v>
      </c>
      <c r="C164" s="19" t="s">
        <v>47</v>
      </c>
      <c r="D164" s="19" t="s">
        <v>14</v>
      </c>
      <c r="E164" s="19" t="s">
        <v>22</v>
      </c>
      <c r="F164" s="19" t="s">
        <v>60</v>
      </c>
      <c r="G164" s="19" t="s">
        <v>67</v>
      </c>
      <c r="H164" s="19" t="s">
        <v>50</v>
      </c>
      <c r="I164" s="19">
        <v>1</v>
      </c>
      <c r="J164" s="21">
        <v>1500</v>
      </c>
      <c r="K164" s="22">
        <v>0.05</v>
      </c>
      <c r="L164" s="21">
        <v>1425</v>
      </c>
    </row>
    <row r="165" spans="1:12">
      <c r="A165" s="19" t="s">
        <v>235</v>
      </c>
      <c r="B165" s="20">
        <v>46083</v>
      </c>
      <c r="C165" s="19" t="s">
        <v>86</v>
      </c>
      <c r="D165" s="19" t="s">
        <v>21</v>
      </c>
      <c r="E165" s="19" t="s">
        <v>22</v>
      </c>
      <c r="F165" s="19" t="s">
        <v>48</v>
      </c>
      <c r="G165" s="19" t="s">
        <v>96</v>
      </c>
      <c r="H165" s="19" t="s">
        <v>93</v>
      </c>
      <c r="I165" s="19">
        <v>3</v>
      </c>
      <c r="J165" s="21">
        <v>2550</v>
      </c>
      <c r="K165" s="22">
        <v>0.08</v>
      </c>
      <c r="L165" s="21">
        <v>7038</v>
      </c>
    </row>
    <row r="166" spans="1:12">
      <c r="A166" s="19" t="s">
        <v>236</v>
      </c>
      <c r="B166" s="20">
        <v>46311</v>
      </c>
      <c r="C166" s="19" t="s">
        <v>47</v>
      </c>
      <c r="D166" s="19" t="s">
        <v>21</v>
      </c>
      <c r="E166" s="19" t="s">
        <v>22</v>
      </c>
      <c r="F166" s="19" t="s">
        <v>60</v>
      </c>
      <c r="G166" s="19" t="s">
        <v>91</v>
      </c>
      <c r="H166" s="19" t="s">
        <v>50</v>
      </c>
      <c r="I166" s="19">
        <v>2</v>
      </c>
      <c r="J166" s="21">
        <v>603.20000000000005</v>
      </c>
      <c r="K166" s="22">
        <v>0.2</v>
      </c>
      <c r="L166" s="21">
        <v>965.12000000000012</v>
      </c>
    </row>
    <row r="167" spans="1:12">
      <c r="A167" s="19" t="s">
        <v>237</v>
      </c>
      <c r="B167" s="20">
        <v>46236</v>
      </c>
      <c r="C167" s="19" t="s">
        <v>31</v>
      </c>
      <c r="D167" s="19" t="s">
        <v>21</v>
      </c>
      <c r="E167" s="19" t="s">
        <v>22</v>
      </c>
      <c r="F167" s="19" t="s">
        <v>23</v>
      </c>
      <c r="G167" s="19" t="s">
        <v>24</v>
      </c>
      <c r="H167" s="19" t="s">
        <v>33</v>
      </c>
      <c r="I167" s="19">
        <v>3</v>
      </c>
      <c r="J167" s="21">
        <v>90</v>
      </c>
      <c r="K167" s="22">
        <v>0.1</v>
      </c>
      <c r="L167" s="21">
        <v>243</v>
      </c>
    </row>
    <row r="168" spans="1:12">
      <c r="A168" s="19" t="s">
        <v>238</v>
      </c>
      <c r="B168" s="20">
        <v>46062</v>
      </c>
      <c r="C168" s="19" t="s">
        <v>13</v>
      </c>
      <c r="D168" s="19" t="s">
        <v>35</v>
      </c>
      <c r="E168" s="19" t="s">
        <v>22</v>
      </c>
      <c r="F168" s="19" t="s">
        <v>60</v>
      </c>
      <c r="G168" s="19" t="s">
        <v>61</v>
      </c>
      <c r="H168" s="19" t="s">
        <v>43</v>
      </c>
      <c r="I168" s="19">
        <v>2</v>
      </c>
      <c r="J168" s="21">
        <v>867</v>
      </c>
      <c r="K168" s="22">
        <v>0</v>
      </c>
      <c r="L168" s="21">
        <v>1734</v>
      </c>
    </row>
    <row r="169" spans="1:12">
      <c r="A169" s="19" t="s">
        <v>239</v>
      </c>
      <c r="B169" s="20">
        <v>46191</v>
      </c>
      <c r="C169" s="19" t="s">
        <v>86</v>
      </c>
      <c r="D169" s="19" t="s">
        <v>41</v>
      </c>
      <c r="E169" s="19" t="s">
        <v>22</v>
      </c>
      <c r="F169" s="19" t="s">
        <v>16</v>
      </c>
      <c r="G169" s="19" t="s">
        <v>42</v>
      </c>
      <c r="H169" s="19" t="s">
        <v>87</v>
      </c>
      <c r="I169" s="19">
        <v>2</v>
      </c>
      <c r="J169" s="21">
        <v>46.8</v>
      </c>
      <c r="K169" s="22">
        <v>0.2</v>
      </c>
      <c r="L169" s="21">
        <v>74.88</v>
      </c>
    </row>
    <row r="170" spans="1:12">
      <c r="A170" s="19" t="s">
        <v>240</v>
      </c>
      <c r="B170" s="20">
        <v>46381</v>
      </c>
      <c r="C170" s="19" t="s">
        <v>31</v>
      </c>
      <c r="D170" s="19" t="s">
        <v>21</v>
      </c>
      <c r="E170" s="19" t="s">
        <v>22</v>
      </c>
      <c r="F170" s="19" t="s">
        <v>16</v>
      </c>
      <c r="G170" s="19" t="s">
        <v>42</v>
      </c>
      <c r="H170" s="19" t="s">
        <v>39</v>
      </c>
      <c r="I170" s="19">
        <v>4</v>
      </c>
      <c r="J170" s="21">
        <v>45</v>
      </c>
      <c r="K170" s="22">
        <v>0.15</v>
      </c>
      <c r="L170" s="21">
        <v>153</v>
      </c>
    </row>
    <row r="171" spans="1:12">
      <c r="A171" s="19" t="s">
        <v>241</v>
      </c>
      <c r="B171" s="20">
        <v>46193</v>
      </c>
      <c r="C171" s="19" t="s">
        <v>47</v>
      </c>
      <c r="D171" s="19" t="s">
        <v>14</v>
      </c>
      <c r="E171" s="19" t="s">
        <v>22</v>
      </c>
      <c r="F171" s="19" t="s">
        <v>48</v>
      </c>
      <c r="G171" s="19" t="s">
        <v>49</v>
      </c>
      <c r="H171" s="19" t="s">
        <v>55</v>
      </c>
      <c r="I171" s="19">
        <v>1</v>
      </c>
      <c r="J171" s="21">
        <v>4200</v>
      </c>
      <c r="K171" s="22">
        <v>0.08</v>
      </c>
      <c r="L171" s="21">
        <v>3864</v>
      </c>
    </row>
    <row r="172" spans="1:12">
      <c r="A172" s="19" t="s">
        <v>242</v>
      </c>
      <c r="B172" s="20">
        <v>46226</v>
      </c>
      <c r="C172" s="19" t="s">
        <v>20</v>
      </c>
      <c r="D172" s="19" t="s">
        <v>21</v>
      </c>
      <c r="E172" s="19" t="s">
        <v>15</v>
      </c>
      <c r="F172" s="19" t="s">
        <v>48</v>
      </c>
      <c r="G172" s="19" t="s">
        <v>71</v>
      </c>
      <c r="H172" s="19" t="s">
        <v>58</v>
      </c>
      <c r="I172" s="19">
        <v>1</v>
      </c>
      <c r="J172" s="21">
        <v>3328</v>
      </c>
      <c r="K172" s="22">
        <v>0.08</v>
      </c>
      <c r="L172" s="21">
        <v>3061.76</v>
      </c>
    </row>
    <row r="173" spans="1:12">
      <c r="A173" s="19" t="s">
        <v>243</v>
      </c>
      <c r="B173" s="20">
        <v>46347</v>
      </c>
      <c r="C173" s="19" t="s">
        <v>31</v>
      </c>
      <c r="D173" s="19" t="s">
        <v>21</v>
      </c>
      <c r="E173" s="19" t="s">
        <v>22</v>
      </c>
      <c r="F173" s="19" t="s">
        <v>73</v>
      </c>
      <c r="G173" s="19" t="s">
        <v>74</v>
      </c>
      <c r="H173" s="19" t="s">
        <v>79</v>
      </c>
      <c r="I173" s="19">
        <v>4</v>
      </c>
      <c r="J173" s="21">
        <v>8</v>
      </c>
      <c r="K173" s="22">
        <v>0.1</v>
      </c>
      <c r="L173" s="21">
        <v>28.8</v>
      </c>
    </row>
    <row r="174" spans="1:12">
      <c r="A174" s="19" t="s">
        <v>244</v>
      </c>
      <c r="B174" s="20">
        <v>46227</v>
      </c>
      <c r="C174" s="19" t="s">
        <v>20</v>
      </c>
      <c r="D174" s="19" t="s">
        <v>41</v>
      </c>
      <c r="E174" s="19" t="s">
        <v>15</v>
      </c>
      <c r="F174" s="19" t="s">
        <v>23</v>
      </c>
      <c r="G174" s="19" t="s">
        <v>52</v>
      </c>
      <c r="H174" s="19" t="s">
        <v>63</v>
      </c>
      <c r="I174" s="19">
        <v>1</v>
      </c>
      <c r="J174" s="21">
        <v>436.5</v>
      </c>
      <c r="K174" s="22">
        <v>0.05</v>
      </c>
      <c r="L174" s="21">
        <v>414.67499999999995</v>
      </c>
    </row>
    <row r="175" spans="1:12">
      <c r="A175" s="19" t="s">
        <v>245</v>
      </c>
      <c r="B175" s="20">
        <v>46104</v>
      </c>
      <c r="C175" s="19" t="s">
        <v>31</v>
      </c>
      <c r="D175" s="19" t="s">
        <v>21</v>
      </c>
      <c r="E175" s="19" t="s">
        <v>22</v>
      </c>
      <c r="F175" s="19" t="s">
        <v>60</v>
      </c>
      <c r="G175" s="19" t="s">
        <v>91</v>
      </c>
      <c r="H175" s="19" t="s">
        <v>39</v>
      </c>
      <c r="I175" s="19">
        <v>2</v>
      </c>
      <c r="J175" s="21">
        <v>580</v>
      </c>
      <c r="K175" s="22">
        <v>0.05</v>
      </c>
      <c r="L175" s="21">
        <v>1102</v>
      </c>
    </row>
    <row r="176" spans="1:12">
      <c r="A176" s="19" t="s">
        <v>246</v>
      </c>
      <c r="B176" s="20">
        <v>46186</v>
      </c>
      <c r="C176" s="19" t="s">
        <v>86</v>
      </c>
      <c r="D176" s="19" t="s">
        <v>14</v>
      </c>
      <c r="E176" s="19" t="s">
        <v>22</v>
      </c>
      <c r="F176" s="19" t="s">
        <v>48</v>
      </c>
      <c r="G176" s="19" t="s">
        <v>54</v>
      </c>
      <c r="H176" s="19" t="s">
        <v>93</v>
      </c>
      <c r="I176" s="19">
        <v>1</v>
      </c>
      <c r="J176" s="21">
        <v>1800</v>
      </c>
      <c r="K176" s="22">
        <v>0.05</v>
      </c>
      <c r="L176" s="21">
        <v>1710</v>
      </c>
    </row>
    <row r="177" spans="1:12">
      <c r="A177" s="19" t="s">
        <v>247</v>
      </c>
      <c r="B177" s="20">
        <v>46122</v>
      </c>
      <c r="C177" s="19" t="s">
        <v>31</v>
      </c>
      <c r="D177" s="19" t="s">
        <v>41</v>
      </c>
      <c r="E177" s="19" t="s">
        <v>15</v>
      </c>
      <c r="F177" s="19" t="s">
        <v>16</v>
      </c>
      <c r="G177" s="19" t="s">
        <v>112</v>
      </c>
      <c r="H177" s="19" t="s">
        <v>39</v>
      </c>
      <c r="I177" s="19">
        <v>2</v>
      </c>
      <c r="J177" s="21">
        <v>68.900000000000006</v>
      </c>
      <c r="K177" s="22">
        <v>0.05</v>
      </c>
      <c r="L177" s="21">
        <v>130.91</v>
      </c>
    </row>
    <row r="178" spans="1:12">
      <c r="A178" s="19" t="s">
        <v>248</v>
      </c>
      <c r="B178" s="20">
        <v>46116</v>
      </c>
      <c r="C178" s="19" t="s">
        <v>20</v>
      </c>
      <c r="D178" s="19" t="s">
        <v>21</v>
      </c>
      <c r="E178" s="19" t="s">
        <v>22</v>
      </c>
      <c r="F178" s="19" t="s">
        <v>48</v>
      </c>
      <c r="G178" s="19" t="s">
        <v>54</v>
      </c>
      <c r="H178" s="19" t="s">
        <v>58</v>
      </c>
      <c r="I178" s="19">
        <v>1</v>
      </c>
      <c r="J178" s="21">
        <v>1800</v>
      </c>
      <c r="K178" s="22">
        <v>0.03</v>
      </c>
      <c r="L178" s="21">
        <v>1746</v>
      </c>
    </row>
    <row r="179" spans="1:12">
      <c r="A179" s="19" t="s">
        <v>249</v>
      </c>
      <c r="B179" s="20">
        <v>46068</v>
      </c>
      <c r="C179" s="19" t="s">
        <v>13</v>
      </c>
      <c r="D179" s="19" t="s">
        <v>35</v>
      </c>
      <c r="E179" s="19" t="s">
        <v>15</v>
      </c>
      <c r="F179" s="19" t="s">
        <v>73</v>
      </c>
      <c r="G179" s="19" t="s">
        <v>129</v>
      </c>
      <c r="H179" s="19" t="s">
        <v>43</v>
      </c>
      <c r="I179" s="19">
        <v>3</v>
      </c>
      <c r="J179" s="21">
        <v>35</v>
      </c>
      <c r="K179" s="22">
        <v>0.08</v>
      </c>
      <c r="L179" s="21">
        <v>96.600000000000009</v>
      </c>
    </row>
    <row r="180" spans="1:12">
      <c r="A180" s="19" t="s">
        <v>250</v>
      </c>
      <c r="B180" s="20">
        <v>46114</v>
      </c>
      <c r="C180" s="19" t="s">
        <v>13</v>
      </c>
      <c r="D180" s="19" t="s">
        <v>21</v>
      </c>
      <c r="E180" s="19" t="s">
        <v>22</v>
      </c>
      <c r="F180" s="19" t="s">
        <v>16</v>
      </c>
      <c r="G180" s="19" t="s">
        <v>69</v>
      </c>
      <c r="H180" s="19" t="s">
        <v>18</v>
      </c>
      <c r="I180" s="19">
        <v>4</v>
      </c>
      <c r="J180" s="21">
        <v>56.1</v>
      </c>
      <c r="K180" s="22">
        <v>0</v>
      </c>
      <c r="L180" s="21">
        <v>224.4</v>
      </c>
    </row>
    <row r="181" spans="1:12">
      <c r="A181" s="19" t="s">
        <v>251</v>
      </c>
      <c r="B181" s="20">
        <v>46040</v>
      </c>
      <c r="C181" s="19" t="s">
        <v>47</v>
      </c>
      <c r="D181" s="19" t="s">
        <v>14</v>
      </c>
      <c r="E181" s="19" t="s">
        <v>22</v>
      </c>
      <c r="F181" s="19" t="s">
        <v>73</v>
      </c>
      <c r="G181" s="19" t="s">
        <v>145</v>
      </c>
      <c r="H181" s="19" t="s">
        <v>83</v>
      </c>
      <c r="I181" s="19">
        <v>3</v>
      </c>
      <c r="J181" s="21">
        <v>19.079999999999998</v>
      </c>
      <c r="K181" s="22">
        <v>0.1</v>
      </c>
      <c r="L181" s="21">
        <v>51.515999999999998</v>
      </c>
    </row>
    <row r="182" spans="1:12">
      <c r="A182" s="19" t="s">
        <v>252</v>
      </c>
      <c r="B182" s="20">
        <v>46163</v>
      </c>
      <c r="C182" s="19" t="s">
        <v>31</v>
      </c>
      <c r="D182" s="19" t="s">
        <v>35</v>
      </c>
      <c r="E182" s="19" t="s">
        <v>22</v>
      </c>
      <c r="F182" s="19" t="s">
        <v>48</v>
      </c>
      <c r="G182" s="19" t="s">
        <v>71</v>
      </c>
      <c r="H182" s="19" t="s">
        <v>79</v>
      </c>
      <c r="I182" s="19">
        <v>1</v>
      </c>
      <c r="J182" s="21">
        <v>3200</v>
      </c>
      <c r="K182" s="22">
        <v>0.15</v>
      </c>
      <c r="L182" s="21">
        <v>2720</v>
      </c>
    </row>
    <row r="183" spans="1:12">
      <c r="A183" s="19" t="s">
        <v>253</v>
      </c>
      <c r="B183" s="20">
        <v>46369</v>
      </c>
      <c r="C183" s="19" t="s">
        <v>47</v>
      </c>
      <c r="D183" s="19" t="s">
        <v>14</v>
      </c>
      <c r="E183" s="19" t="s">
        <v>22</v>
      </c>
      <c r="F183" s="19" t="s">
        <v>73</v>
      </c>
      <c r="G183" s="19" t="s">
        <v>129</v>
      </c>
      <c r="H183" s="19" t="s">
        <v>50</v>
      </c>
      <c r="I183" s="19">
        <v>1</v>
      </c>
      <c r="J183" s="21">
        <v>33.25</v>
      </c>
      <c r="K183" s="22">
        <v>0.1</v>
      </c>
      <c r="L183" s="21">
        <v>29.925000000000001</v>
      </c>
    </row>
    <row r="184" spans="1:12">
      <c r="A184" s="19" t="s">
        <v>254</v>
      </c>
      <c r="B184" s="20">
        <v>46367</v>
      </c>
      <c r="C184" s="19" t="s">
        <v>86</v>
      </c>
      <c r="D184" s="19" t="s">
        <v>41</v>
      </c>
      <c r="E184" s="19" t="s">
        <v>22</v>
      </c>
      <c r="F184" s="19" t="s">
        <v>60</v>
      </c>
      <c r="G184" s="19" t="s">
        <v>61</v>
      </c>
      <c r="H184" s="19" t="s">
        <v>102</v>
      </c>
      <c r="I184" s="19">
        <v>1</v>
      </c>
      <c r="J184" s="21">
        <v>901</v>
      </c>
      <c r="K184" s="22">
        <v>0.15</v>
      </c>
      <c r="L184" s="21">
        <v>765.85</v>
      </c>
    </row>
    <row r="185" spans="1:12">
      <c r="A185" s="19" t="s">
        <v>255</v>
      </c>
      <c r="B185" s="20">
        <v>46096</v>
      </c>
      <c r="C185" s="19" t="s">
        <v>13</v>
      </c>
      <c r="D185" s="19" t="s">
        <v>35</v>
      </c>
      <c r="E185" s="19" t="s">
        <v>15</v>
      </c>
      <c r="F185" s="19" t="s">
        <v>48</v>
      </c>
      <c r="G185" s="19" t="s">
        <v>54</v>
      </c>
      <c r="H185" s="19" t="s">
        <v>29</v>
      </c>
      <c r="I185" s="19">
        <v>1</v>
      </c>
      <c r="J185" s="21">
        <v>1800</v>
      </c>
      <c r="K185" s="22">
        <v>0.15</v>
      </c>
      <c r="L185" s="21">
        <v>1530</v>
      </c>
    </row>
    <row r="186" spans="1:12">
      <c r="A186" s="19" t="s">
        <v>256</v>
      </c>
      <c r="B186" s="20">
        <v>46343</v>
      </c>
      <c r="C186" s="19" t="s">
        <v>86</v>
      </c>
      <c r="D186" s="19" t="s">
        <v>21</v>
      </c>
      <c r="E186" s="19" t="s">
        <v>15</v>
      </c>
      <c r="F186" s="19" t="s">
        <v>27</v>
      </c>
      <c r="G186" s="19" t="s">
        <v>155</v>
      </c>
      <c r="H186" s="19" t="s">
        <v>102</v>
      </c>
      <c r="I186" s="19">
        <v>6</v>
      </c>
      <c r="J186" s="21">
        <v>183.6</v>
      </c>
      <c r="K186" s="22">
        <v>0</v>
      </c>
      <c r="L186" s="21">
        <v>1101.5999999999999</v>
      </c>
    </row>
    <row r="187" spans="1:12">
      <c r="A187" s="19" t="s">
        <v>257</v>
      </c>
      <c r="B187" s="20">
        <v>46137</v>
      </c>
      <c r="C187" s="19" t="s">
        <v>86</v>
      </c>
      <c r="D187" s="19" t="s">
        <v>14</v>
      </c>
      <c r="E187" s="19" t="s">
        <v>22</v>
      </c>
      <c r="F187" s="19" t="s">
        <v>60</v>
      </c>
      <c r="G187" s="19" t="s">
        <v>67</v>
      </c>
      <c r="H187" s="19" t="s">
        <v>93</v>
      </c>
      <c r="I187" s="19">
        <v>2</v>
      </c>
      <c r="J187" s="21">
        <v>1530</v>
      </c>
      <c r="K187" s="22">
        <v>0</v>
      </c>
      <c r="L187" s="21">
        <v>3060</v>
      </c>
    </row>
    <row r="188" spans="1:12">
      <c r="A188" s="19" t="s">
        <v>258</v>
      </c>
      <c r="B188" s="20">
        <v>46179</v>
      </c>
      <c r="C188" s="19" t="s">
        <v>86</v>
      </c>
      <c r="D188" s="19" t="s">
        <v>21</v>
      </c>
      <c r="E188" s="19" t="s">
        <v>22</v>
      </c>
      <c r="F188" s="19" t="s">
        <v>23</v>
      </c>
      <c r="G188" s="19" t="s">
        <v>138</v>
      </c>
      <c r="H188" s="19" t="s">
        <v>102</v>
      </c>
      <c r="I188" s="19">
        <v>3</v>
      </c>
      <c r="J188" s="21">
        <v>58.2</v>
      </c>
      <c r="K188" s="22">
        <v>0.2</v>
      </c>
      <c r="L188" s="21">
        <v>139.68000000000004</v>
      </c>
    </row>
    <row r="189" spans="1:12">
      <c r="A189" s="19" t="s">
        <v>259</v>
      </c>
      <c r="B189" s="20">
        <v>46242</v>
      </c>
      <c r="C189" s="19" t="s">
        <v>47</v>
      </c>
      <c r="D189" s="19" t="s">
        <v>21</v>
      </c>
      <c r="E189" s="19" t="s">
        <v>22</v>
      </c>
      <c r="F189" s="19" t="s">
        <v>27</v>
      </c>
      <c r="G189" s="19" t="s">
        <v>28</v>
      </c>
      <c r="H189" s="19" t="s">
        <v>55</v>
      </c>
      <c r="I189" s="19">
        <v>4</v>
      </c>
      <c r="J189" s="21">
        <v>20.8</v>
      </c>
      <c r="K189" s="22">
        <v>0.15</v>
      </c>
      <c r="L189" s="21">
        <v>70.72</v>
      </c>
    </row>
    <row r="190" spans="1:12">
      <c r="A190" s="19" t="s">
        <v>260</v>
      </c>
      <c r="B190" s="20">
        <v>46353</v>
      </c>
      <c r="C190" s="19" t="s">
        <v>31</v>
      </c>
      <c r="D190" s="19" t="s">
        <v>14</v>
      </c>
      <c r="E190" s="19" t="s">
        <v>22</v>
      </c>
      <c r="F190" s="19" t="s">
        <v>73</v>
      </c>
      <c r="G190" s="19" t="s">
        <v>127</v>
      </c>
      <c r="H190" s="19" t="s">
        <v>39</v>
      </c>
      <c r="I190" s="19">
        <v>3</v>
      </c>
      <c r="J190" s="21">
        <v>26.5</v>
      </c>
      <c r="K190" s="22">
        <v>0.08</v>
      </c>
      <c r="L190" s="21">
        <v>73.14</v>
      </c>
    </row>
    <row r="191" spans="1:12">
      <c r="A191" s="19" t="s">
        <v>261</v>
      </c>
      <c r="B191" s="20">
        <v>46080</v>
      </c>
      <c r="C191" s="19" t="s">
        <v>20</v>
      </c>
      <c r="D191" s="19" t="s">
        <v>21</v>
      </c>
      <c r="E191" s="19" t="s">
        <v>22</v>
      </c>
      <c r="F191" s="19" t="s">
        <v>16</v>
      </c>
      <c r="G191" s="19" t="s">
        <v>57</v>
      </c>
      <c r="H191" s="19" t="s">
        <v>58</v>
      </c>
      <c r="I191" s="19">
        <v>1</v>
      </c>
      <c r="J191" s="21">
        <v>40.28</v>
      </c>
      <c r="K191" s="22">
        <v>0.03</v>
      </c>
      <c r="L191" s="21">
        <v>39.071599999999997</v>
      </c>
    </row>
    <row r="192" spans="1:12">
      <c r="A192" s="19" t="s">
        <v>262</v>
      </c>
      <c r="B192" s="20">
        <v>46232</v>
      </c>
      <c r="C192" s="19" t="s">
        <v>20</v>
      </c>
      <c r="D192" s="19" t="s">
        <v>41</v>
      </c>
      <c r="E192" s="19" t="s">
        <v>22</v>
      </c>
      <c r="F192" s="19" t="s">
        <v>60</v>
      </c>
      <c r="G192" s="19" t="s">
        <v>76</v>
      </c>
      <c r="H192" s="19" t="s">
        <v>63</v>
      </c>
      <c r="I192" s="19">
        <v>2</v>
      </c>
      <c r="J192" s="21">
        <v>665</v>
      </c>
      <c r="K192" s="22">
        <v>0.1</v>
      </c>
      <c r="L192" s="21">
        <v>1197</v>
      </c>
    </row>
    <row r="193" spans="1:12">
      <c r="A193" s="19" t="s">
        <v>263</v>
      </c>
      <c r="B193" s="20">
        <v>46308</v>
      </c>
      <c r="C193" s="19" t="s">
        <v>86</v>
      </c>
      <c r="D193" s="19" t="s">
        <v>14</v>
      </c>
      <c r="E193" s="19" t="s">
        <v>15</v>
      </c>
      <c r="F193" s="19" t="s">
        <v>16</v>
      </c>
      <c r="G193" s="19" t="s">
        <v>69</v>
      </c>
      <c r="H193" s="19" t="s">
        <v>93</v>
      </c>
      <c r="I193" s="19">
        <v>4</v>
      </c>
      <c r="J193" s="21">
        <v>56.1</v>
      </c>
      <c r="K193" s="22">
        <v>0.05</v>
      </c>
      <c r="L193" s="21">
        <v>213.18</v>
      </c>
    </row>
    <row r="194" spans="1:12">
      <c r="A194" s="19" t="s">
        <v>264</v>
      </c>
      <c r="B194" s="20">
        <v>46359</v>
      </c>
      <c r="C194" s="19" t="s">
        <v>47</v>
      </c>
      <c r="D194" s="19" t="s">
        <v>21</v>
      </c>
      <c r="E194" s="19" t="s">
        <v>15</v>
      </c>
      <c r="F194" s="19" t="s">
        <v>16</v>
      </c>
      <c r="G194" s="19" t="s">
        <v>112</v>
      </c>
      <c r="H194" s="19" t="s">
        <v>83</v>
      </c>
      <c r="I194" s="19">
        <v>2</v>
      </c>
      <c r="J194" s="21">
        <v>67.599999999999994</v>
      </c>
      <c r="K194" s="22">
        <v>0.15</v>
      </c>
      <c r="L194" s="21">
        <v>114.91999999999999</v>
      </c>
    </row>
    <row r="195" spans="1:12">
      <c r="A195" s="19" t="s">
        <v>265</v>
      </c>
      <c r="B195" s="20">
        <v>46356</v>
      </c>
      <c r="C195" s="19" t="s">
        <v>86</v>
      </c>
      <c r="D195" s="19" t="s">
        <v>14</v>
      </c>
      <c r="E195" s="19" t="s">
        <v>22</v>
      </c>
      <c r="F195" s="19" t="s">
        <v>73</v>
      </c>
      <c r="G195" s="19" t="s">
        <v>81</v>
      </c>
      <c r="H195" s="19" t="s">
        <v>102</v>
      </c>
      <c r="I195" s="19">
        <v>1</v>
      </c>
      <c r="J195" s="21">
        <v>12.24</v>
      </c>
      <c r="K195" s="22">
        <v>0.2</v>
      </c>
      <c r="L195" s="21">
        <v>9.7920000000000016</v>
      </c>
    </row>
    <row r="196" spans="1:12">
      <c r="A196" s="19" t="s">
        <v>266</v>
      </c>
      <c r="B196" s="20">
        <v>46227</v>
      </c>
      <c r="C196" s="19" t="s">
        <v>47</v>
      </c>
      <c r="D196" s="19" t="s">
        <v>41</v>
      </c>
      <c r="E196" s="19" t="s">
        <v>22</v>
      </c>
      <c r="F196" s="19" t="s">
        <v>27</v>
      </c>
      <c r="G196" s="19" t="s">
        <v>155</v>
      </c>
      <c r="H196" s="19" t="s">
        <v>50</v>
      </c>
      <c r="I196" s="19">
        <v>3</v>
      </c>
      <c r="J196" s="21">
        <v>187.2</v>
      </c>
      <c r="K196" s="22">
        <v>0.15</v>
      </c>
      <c r="L196" s="21">
        <v>477.3599999999999</v>
      </c>
    </row>
    <row r="197" spans="1:12">
      <c r="A197" s="19" t="s">
        <v>267</v>
      </c>
      <c r="B197" s="20">
        <v>46178</v>
      </c>
      <c r="C197" s="19" t="s">
        <v>86</v>
      </c>
      <c r="D197" s="19" t="s">
        <v>41</v>
      </c>
      <c r="E197" s="19" t="s">
        <v>22</v>
      </c>
      <c r="F197" s="19" t="s">
        <v>16</v>
      </c>
      <c r="G197" s="19" t="s">
        <v>17</v>
      </c>
      <c r="H197" s="19" t="s">
        <v>93</v>
      </c>
      <c r="I197" s="19">
        <v>3</v>
      </c>
      <c r="J197" s="21">
        <v>15.6</v>
      </c>
      <c r="K197" s="22">
        <v>0.2</v>
      </c>
      <c r="L197" s="21">
        <v>37.44</v>
      </c>
    </row>
    <row r="198" spans="1:12">
      <c r="A198" s="19" t="s">
        <v>268</v>
      </c>
      <c r="B198" s="20">
        <v>46115</v>
      </c>
      <c r="C198" s="19" t="s">
        <v>31</v>
      </c>
      <c r="D198" s="19" t="s">
        <v>14</v>
      </c>
      <c r="E198" s="19" t="s">
        <v>22</v>
      </c>
      <c r="F198" s="19" t="s">
        <v>23</v>
      </c>
      <c r="G198" s="19" t="s">
        <v>52</v>
      </c>
      <c r="H198" s="19" t="s">
        <v>79</v>
      </c>
      <c r="I198" s="19">
        <v>4</v>
      </c>
      <c r="J198" s="21">
        <v>450</v>
      </c>
      <c r="K198" s="22">
        <v>0.05</v>
      </c>
      <c r="L198" s="21">
        <v>1710</v>
      </c>
    </row>
    <row r="199" spans="1:12">
      <c r="A199" s="19" t="s">
        <v>269</v>
      </c>
      <c r="B199" s="20">
        <v>46228</v>
      </c>
      <c r="C199" s="19" t="s">
        <v>47</v>
      </c>
      <c r="D199" s="19" t="s">
        <v>14</v>
      </c>
      <c r="E199" s="19" t="s">
        <v>22</v>
      </c>
      <c r="F199" s="19" t="s">
        <v>16</v>
      </c>
      <c r="G199" s="19" t="s">
        <v>17</v>
      </c>
      <c r="H199" s="19" t="s">
        <v>83</v>
      </c>
      <c r="I199" s="19">
        <v>3</v>
      </c>
      <c r="J199" s="21">
        <v>15.3</v>
      </c>
      <c r="K199" s="22">
        <v>0.1</v>
      </c>
      <c r="L199" s="21">
        <v>41.310000000000009</v>
      </c>
    </row>
    <row r="200" spans="1:12">
      <c r="A200" s="19" t="s">
        <v>270</v>
      </c>
      <c r="B200" s="20">
        <v>46141</v>
      </c>
      <c r="C200" s="19" t="s">
        <v>31</v>
      </c>
      <c r="D200" s="19" t="s">
        <v>35</v>
      </c>
      <c r="E200" s="19" t="s">
        <v>15</v>
      </c>
      <c r="F200" s="19" t="s">
        <v>48</v>
      </c>
      <c r="G200" s="19" t="s">
        <v>71</v>
      </c>
      <c r="H200" s="19" t="s">
        <v>33</v>
      </c>
      <c r="I200" s="19">
        <v>1</v>
      </c>
      <c r="J200" s="21">
        <v>3200</v>
      </c>
      <c r="K200" s="22">
        <v>0.05</v>
      </c>
      <c r="L200" s="21">
        <v>3040</v>
      </c>
    </row>
    <row r="201" spans="1:12">
      <c r="A201" s="19" t="s">
        <v>271</v>
      </c>
      <c r="B201" s="20">
        <v>46034</v>
      </c>
      <c r="C201" s="19" t="s">
        <v>47</v>
      </c>
      <c r="D201" s="19" t="s">
        <v>35</v>
      </c>
      <c r="E201" s="19" t="s">
        <v>22</v>
      </c>
      <c r="F201" s="19" t="s">
        <v>48</v>
      </c>
      <c r="G201" s="19" t="s">
        <v>49</v>
      </c>
      <c r="H201" s="19" t="s">
        <v>55</v>
      </c>
      <c r="I201" s="19">
        <v>1</v>
      </c>
      <c r="J201" s="21">
        <v>4368</v>
      </c>
      <c r="K201" s="22">
        <v>0.05</v>
      </c>
      <c r="L201" s="21">
        <v>4149.5999999999995</v>
      </c>
    </row>
    <row r="202" spans="1:12">
      <c r="A202" s="19" t="s">
        <v>272</v>
      </c>
      <c r="B202" s="20">
        <v>46201</v>
      </c>
      <c r="C202" s="19" t="s">
        <v>31</v>
      </c>
      <c r="D202" s="19" t="s">
        <v>41</v>
      </c>
      <c r="E202" s="19" t="s">
        <v>15</v>
      </c>
      <c r="F202" s="19" t="s">
        <v>60</v>
      </c>
      <c r="G202" s="19" t="s">
        <v>91</v>
      </c>
      <c r="H202" s="19" t="s">
        <v>79</v>
      </c>
      <c r="I202" s="19">
        <v>4</v>
      </c>
      <c r="J202" s="21">
        <v>603.20000000000005</v>
      </c>
      <c r="K202" s="22">
        <v>0.08</v>
      </c>
      <c r="L202" s="21">
        <v>2219.7760000000003</v>
      </c>
    </row>
    <row r="203" spans="1:12">
      <c r="A203" s="19" t="s">
        <v>273</v>
      </c>
      <c r="B203" s="20">
        <v>46182</v>
      </c>
      <c r="C203" s="19" t="s">
        <v>31</v>
      </c>
      <c r="D203" s="19" t="s">
        <v>35</v>
      </c>
      <c r="E203" s="19" t="s">
        <v>22</v>
      </c>
      <c r="F203" s="19" t="s">
        <v>27</v>
      </c>
      <c r="G203" s="19" t="s">
        <v>32</v>
      </c>
      <c r="H203" s="19" t="s">
        <v>39</v>
      </c>
      <c r="I203" s="19">
        <v>2</v>
      </c>
      <c r="J203" s="21">
        <v>280</v>
      </c>
      <c r="K203" s="22">
        <v>0.08</v>
      </c>
      <c r="L203" s="21">
        <v>515.20000000000005</v>
      </c>
    </row>
    <row r="204" spans="1:12">
      <c r="A204" s="19" t="s">
        <v>274</v>
      </c>
      <c r="B204" s="20">
        <v>46262</v>
      </c>
      <c r="C204" s="19" t="s">
        <v>31</v>
      </c>
      <c r="D204" s="19" t="s">
        <v>41</v>
      </c>
      <c r="E204" s="19" t="s">
        <v>22</v>
      </c>
      <c r="F204" s="19" t="s">
        <v>23</v>
      </c>
      <c r="G204" s="19" t="s">
        <v>38</v>
      </c>
      <c r="H204" s="19" t="s">
        <v>33</v>
      </c>
      <c r="I204" s="19">
        <v>1</v>
      </c>
      <c r="J204" s="21">
        <v>339.2</v>
      </c>
      <c r="K204" s="22">
        <v>0.15</v>
      </c>
      <c r="L204" s="21">
        <v>288.32</v>
      </c>
    </row>
    <row r="205" spans="1:12">
      <c r="A205" s="19" t="s">
        <v>275</v>
      </c>
      <c r="B205" s="20">
        <v>46357</v>
      </c>
      <c r="C205" s="19" t="s">
        <v>31</v>
      </c>
      <c r="D205" s="19" t="s">
        <v>14</v>
      </c>
      <c r="E205" s="19" t="s">
        <v>22</v>
      </c>
      <c r="F205" s="19" t="s">
        <v>23</v>
      </c>
      <c r="G205" s="19" t="s">
        <v>24</v>
      </c>
      <c r="H205" s="19" t="s">
        <v>33</v>
      </c>
      <c r="I205" s="19">
        <v>4</v>
      </c>
      <c r="J205" s="21">
        <v>90</v>
      </c>
      <c r="K205" s="22">
        <v>0.1</v>
      </c>
      <c r="L205" s="21">
        <v>324</v>
      </c>
    </row>
    <row r="206" spans="1:12">
      <c r="A206" s="19" t="s">
        <v>276</v>
      </c>
      <c r="B206" s="20">
        <v>46374</v>
      </c>
      <c r="C206" s="19" t="s">
        <v>86</v>
      </c>
      <c r="D206" s="19" t="s">
        <v>14</v>
      </c>
      <c r="E206" s="19" t="s">
        <v>22</v>
      </c>
      <c r="F206" s="19" t="s">
        <v>23</v>
      </c>
      <c r="G206" s="19" t="s">
        <v>138</v>
      </c>
      <c r="H206" s="19" t="s">
        <v>102</v>
      </c>
      <c r="I206" s="19">
        <v>2</v>
      </c>
      <c r="J206" s="21">
        <v>60</v>
      </c>
      <c r="K206" s="22">
        <v>0.15</v>
      </c>
      <c r="L206" s="21">
        <v>102</v>
      </c>
    </row>
    <row r="207" spans="1:12">
      <c r="A207" s="19" t="s">
        <v>277</v>
      </c>
      <c r="B207" s="20">
        <v>46077</v>
      </c>
      <c r="C207" s="19" t="s">
        <v>20</v>
      </c>
      <c r="D207" s="19" t="s">
        <v>41</v>
      </c>
      <c r="E207" s="19" t="s">
        <v>22</v>
      </c>
      <c r="F207" s="19" t="s">
        <v>48</v>
      </c>
      <c r="G207" s="19" t="s">
        <v>49</v>
      </c>
      <c r="H207" s="19" t="s">
        <v>25</v>
      </c>
      <c r="I207" s="19">
        <v>1</v>
      </c>
      <c r="J207" s="21">
        <v>3990</v>
      </c>
      <c r="K207" s="22">
        <v>0.03</v>
      </c>
      <c r="L207" s="21">
        <v>3870.2999999999997</v>
      </c>
    </row>
    <row r="208" spans="1:12">
      <c r="A208" s="19" t="s">
        <v>278</v>
      </c>
      <c r="B208" s="20">
        <v>46040</v>
      </c>
      <c r="C208" s="19" t="s">
        <v>47</v>
      </c>
      <c r="D208" s="19" t="s">
        <v>21</v>
      </c>
      <c r="E208" s="19" t="s">
        <v>22</v>
      </c>
      <c r="F208" s="19" t="s">
        <v>16</v>
      </c>
      <c r="G208" s="19" t="s">
        <v>57</v>
      </c>
      <c r="H208" s="19" t="s">
        <v>83</v>
      </c>
      <c r="I208" s="19">
        <v>2</v>
      </c>
      <c r="J208" s="21">
        <v>38</v>
      </c>
      <c r="K208" s="22">
        <v>0.1</v>
      </c>
      <c r="L208" s="21">
        <v>68.400000000000006</v>
      </c>
    </row>
    <row r="209" spans="1:12">
      <c r="A209" s="19" t="s">
        <v>279</v>
      </c>
      <c r="B209" s="20">
        <v>46234</v>
      </c>
      <c r="C209" s="19" t="s">
        <v>13</v>
      </c>
      <c r="D209" s="19" t="s">
        <v>14</v>
      </c>
      <c r="E209" s="19" t="s">
        <v>22</v>
      </c>
      <c r="F209" s="19" t="s">
        <v>27</v>
      </c>
      <c r="G209" s="19" t="s">
        <v>155</v>
      </c>
      <c r="H209" s="19" t="s">
        <v>18</v>
      </c>
      <c r="I209" s="19">
        <v>1</v>
      </c>
      <c r="J209" s="21">
        <v>190.8</v>
      </c>
      <c r="K209" s="22">
        <v>0.1</v>
      </c>
      <c r="L209" s="21">
        <v>171.72000000000003</v>
      </c>
    </row>
    <row r="210" spans="1:12">
      <c r="A210" s="19" t="s">
        <v>280</v>
      </c>
      <c r="B210" s="20">
        <v>46099</v>
      </c>
      <c r="C210" s="19" t="s">
        <v>20</v>
      </c>
      <c r="D210" s="19" t="s">
        <v>41</v>
      </c>
      <c r="E210" s="19" t="s">
        <v>22</v>
      </c>
      <c r="F210" s="19" t="s">
        <v>23</v>
      </c>
      <c r="G210" s="19" t="s">
        <v>52</v>
      </c>
      <c r="H210" s="19" t="s">
        <v>58</v>
      </c>
      <c r="I210" s="19">
        <v>5</v>
      </c>
      <c r="J210" s="21">
        <v>427.5</v>
      </c>
      <c r="K210" s="22">
        <v>0</v>
      </c>
      <c r="L210" s="21">
        <v>2137.5</v>
      </c>
    </row>
    <row r="211" spans="1:12">
      <c r="A211" s="19" t="s">
        <v>281</v>
      </c>
      <c r="B211" s="20">
        <v>46023</v>
      </c>
      <c r="C211" s="19" t="s">
        <v>86</v>
      </c>
      <c r="D211" s="19" t="s">
        <v>41</v>
      </c>
      <c r="E211" s="19" t="s">
        <v>15</v>
      </c>
      <c r="F211" s="19" t="s">
        <v>23</v>
      </c>
      <c r="G211" s="19" t="s">
        <v>52</v>
      </c>
      <c r="H211" s="19" t="s">
        <v>87</v>
      </c>
      <c r="I211" s="19">
        <v>3</v>
      </c>
      <c r="J211" s="21">
        <v>450</v>
      </c>
      <c r="K211" s="22">
        <v>0.05</v>
      </c>
      <c r="L211" s="21">
        <v>1282.5</v>
      </c>
    </row>
    <row r="212" spans="1:12">
      <c r="A212" s="19" t="s">
        <v>282</v>
      </c>
      <c r="B212" s="20">
        <v>46295</v>
      </c>
      <c r="C212" s="19" t="s">
        <v>20</v>
      </c>
      <c r="D212" s="19" t="s">
        <v>21</v>
      </c>
      <c r="E212" s="19" t="s">
        <v>22</v>
      </c>
      <c r="F212" s="19" t="s">
        <v>16</v>
      </c>
      <c r="G212" s="19" t="s">
        <v>65</v>
      </c>
      <c r="H212" s="19" t="s">
        <v>63</v>
      </c>
      <c r="I212" s="19">
        <v>1</v>
      </c>
      <c r="J212" s="21">
        <v>83.2</v>
      </c>
      <c r="K212" s="22">
        <v>0.05</v>
      </c>
      <c r="L212" s="21">
        <v>79.039999999999992</v>
      </c>
    </row>
    <row r="213" spans="1:12">
      <c r="A213" s="19" t="s">
        <v>283</v>
      </c>
      <c r="B213" s="20">
        <v>46213</v>
      </c>
      <c r="C213" s="19" t="s">
        <v>31</v>
      </c>
      <c r="D213" s="19" t="s">
        <v>41</v>
      </c>
      <c r="E213" s="19" t="s">
        <v>22</v>
      </c>
      <c r="F213" s="19" t="s">
        <v>73</v>
      </c>
      <c r="G213" s="19" t="s">
        <v>81</v>
      </c>
      <c r="H213" s="19" t="s">
        <v>79</v>
      </c>
      <c r="I213" s="19">
        <v>6</v>
      </c>
      <c r="J213" s="21">
        <v>11.64</v>
      </c>
      <c r="K213" s="22">
        <v>0.08</v>
      </c>
      <c r="L213" s="21">
        <v>64.252800000000008</v>
      </c>
    </row>
    <row r="214" spans="1:12">
      <c r="A214" s="19" t="s">
        <v>284</v>
      </c>
      <c r="B214" s="20">
        <v>46098</v>
      </c>
      <c r="C214" s="19" t="s">
        <v>86</v>
      </c>
      <c r="D214" s="19" t="s">
        <v>14</v>
      </c>
      <c r="E214" s="19" t="s">
        <v>22</v>
      </c>
      <c r="F214" s="19" t="s">
        <v>16</v>
      </c>
      <c r="G214" s="19" t="s">
        <v>69</v>
      </c>
      <c r="H214" s="19" t="s">
        <v>93</v>
      </c>
      <c r="I214" s="19">
        <v>3</v>
      </c>
      <c r="J214" s="21">
        <v>58.3</v>
      </c>
      <c r="K214" s="22">
        <v>0.2</v>
      </c>
      <c r="L214" s="21">
        <v>139.91999999999999</v>
      </c>
    </row>
    <row r="215" spans="1:12">
      <c r="A215" s="19" t="s">
        <v>285</v>
      </c>
      <c r="B215" s="20">
        <v>46139</v>
      </c>
      <c r="C215" s="19" t="s">
        <v>47</v>
      </c>
      <c r="D215" s="19" t="s">
        <v>35</v>
      </c>
      <c r="E215" s="19" t="s">
        <v>22</v>
      </c>
      <c r="F215" s="19" t="s">
        <v>73</v>
      </c>
      <c r="G215" s="19" t="s">
        <v>127</v>
      </c>
      <c r="H215" s="19" t="s">
        <v>50</v>
      </c>
      <c r="I215" s="19">
        <v>6</v>
      </c>
      <c r="J215" s="21">
        <v>26</v>
      </c>
      <c r="K215" s="22">
        <v>0.08</v>
      </c>
      <c r="L215" s="21">
        <v>143.52000000000001</v>
      </c>
    </row>
    <row r="216" spans="1:12">
      <c r="A216" s="19" t="s">
        <v>286</v>
      </c>
      <c r="B216" s="20">
        <v>46288</v>
      </c>
      <c r="C216" s="19" t="s">
        <v>31</v>
      </c>
      <c r="D216" s="19" t="s">
        <v>21</v>
      </c>
      <c r="E216" s="19" t="s">
        <v>22</v>
      </c>
      <c r="F216" s="19" t="s">
        <v>73</v>
      </c>
      <c r="G216" s="19" t="s">
        <v>74</v>
      </c>
      <c r="H216" s="19" t="s">
        <v>79</v>
      </c>
      <c r="I216" s="19">
        <v>6</v>
      </c>
      <c r="J216" s="21">
        <v>7.76</v>
      </c>
      <c r="K216" s="22">
        <v>0.15</v>
      </c>
      <c r="L216" s="21">
        <v>39.576000000000001</v>
      </c>
    </row>
    <row r="217" spans="1:12">
      <c r="A217" s="19" t="s">
        <v>287</v>
      </c>
      <c r="B217" s="20">
        <v>46109</v>
      </c>
      <c r="C217" s="19" t="s">
        <v>13</v>
      </c>
      <c r="D217" s="19" t="s">
        <v>21</v>
      </c>
      <c r="E217" s="19" t="s">
        <v>15</v>
      </c>
      <c r="F217" s="19" t="s">
        <v>27</v>
      </c>
      <c r="G217" s="19" t="s">
        <v>28</v>
      </c>
      <c r="H217" s="19" t="s">
        <v>18</v>
      </c>
      <c r="I217" s="19">
        <v>1</v>
      </c>
      <c r="J217" s="21">
        <v>19</v>
      </c>
      <c r="K217" s="22">
        <v>0.1</v>
      </c>
      <c r="L217" s="21">
        <v>17.100000000000001</v>
      </c>
    </row>
    <row r="218" spans="1:12">
      <c r="A218" s="19" t="s">
        <v>288</v>
      </c>
      <c r="B218" s="20">
        <v>46375</v>
      </c>
      <c r="C218" s="19" t="s">
        <v>31</v>
      </c>
      <c r="D218" s="19" t="s">
        <v>41</v>
      </c>
      <c r="E218" s="19" t="s">
        <v>22</v>
      </c>
      <c r="F218" s="19" t="s">
        <v>27</v>
      </c>
      <c r="G218" s="19" t="s">
        <v>28</v>
      </c>
      <c r="H218" s="19" t="s">
        <v>33</v>
      </c>
      <c r="I218" s="19">
        <v>3</v>
      </c>
      <c r="J218" s="21">
        <v>20</v>
      </c>
      <c r="K218" s="22">
        <v>0.1</v>
      </c>
      <c r="L218" s="21">
        <v>54</v>
      </c>
    </row>
    <row r="219" spans="1:12">
      <c r="A219" s="19" t="s">
        <v>289</v>
      </c>
      <c r="B219" s="20">
        <v>46283</v>
      </c>
      <c r="C219" s="19" t="s">
        <v>86</v>
      </c>
      <c r="D219" s="19" t="s">
        <v>35</v>
      </c>
      <c r="E219" s="19" t="s">
        <v>15</v>
      </c>
      <c r="F219" s="19" t="s">
        <v>27</v>
      </c>
      <c r="G219" s="19" t="s">
        <v>32</v>
      </c>
      <c r="H219" s="19" t="s">
        <v>93</v>
      </c>
      <c r="I219" s="19">
        <v>2</v>
      </c>
      <c r="J219" s="21">
        <v>285.60000000000002</v>
      </c>
      <c r="K219" s="22">
        <v>0.05</v>
      </c>
      <c r="L219" s="21">
        <v>542.64</v>
      </c>
    </row>
    <row r="220" spans="1:12">
      <c r="A220" s="19" t="s">
        <v>290</v>
      </c>
      <c r="B220" s="20">
        <v>46167</v>
      </c>
      <c r="C220" s="19" t="s">
        <v>20</v>
      </c>
      <c r="D220" s="19" t="s">
        <v>21</v>
      </c>
      <c r="E220" s="19" t="s">
        <v>22</v>
      </c>
      <c r="F220" s="19" t="s">
        <v>48</v>
      </c>
      <c r="G220" s="19" t="s">
        <v>54</v>
      </c>
      <c r="H220" s="19" t="s">
        <v>63</v>
      </c>
      <c r="I220" s="19">
        <v>1</v>
      </c>
      <c r="J220" s="21">
        <v>1908</v>
      </c>
      <c r="K220" s="22">
        <v>0.05</v>
      </c>
      <c r="L220" s="21">
        <v>1812.6</v>
      </c>
    </row>
    <row r="221" spans="1:12">
      <c r="A221" s="19" t="s">
        <v>291</v>
      </c>
      <c r="B221" s="20">
        <v>46195</v>
      </c>
      <c r="C221" s="19" t="s">
        <v>20</v>
      </c>
      <c r="D221" s="19" t="s">
        <v>21</v>
      </c>
      <c r="E221" s="19" t="s">
        <v>22</v>
      </c>
      <c r="F221" s="19" t="s">
        <v>48</v>
      </c>
      <c r="G221" s="19" t="s">
        <v>96</v>
      </c>
      <c r="H221" s="19" t="s">
        <v>58</v>
      </c>
      <c r="I221" s="19">
        <v>1</v>
      </c>
      <c r="J221" s="21">
        <v>2425</v>
      </c>
      <c r="K221" s="22">
        <v>0.03</v>
      </c>
      <c r="L221" s="21">
        <v>2352.25</v>
      </c>
    </row>
    <row r="222" spans="1:12">
      <c r="A222" s="19" t="s">
        <v>292</v>
      </c>
      <c r="B222" s="20">
        <v>46300</v>
      </c>
      <c r="C222" s="19" t="s">
        <v>13</v>
      </c>
      <c r="D222" s="19" t="s">
        <v>14</v>
      </c>
      <c r="E222" s="19" t="s">
        <v>15</v>
      </c>
      <c r="F222" s="19" t="s">
        <v>16</v>
      </c>
      <c r="G222" s="19" t="s">
        <v>57</v>
      </c>
      <c r="H222" s="19" t="s">
        <v>18</v>
      </c>
      <c r="I222" s="19">
        <v>2</v>
      </c>
      <c r="J222" s="21">
        <v>40.28</v>
      </c>
      <c r="K222" s="22">
        <v>0</v>
      </c>
      <c r="L222" s="21">
        <v>80.56</v>
      </c>
    </row>
    <row r="223" spans="1:12">
      <c r="A223" s="19" t="s">
        <v>293</v>
      </c>
      <c r="B223" s="20">
        <v>46067</v>
      </c>
      <c r="C223" s="19" t="s">
        <v>20</v>
      </c>
      <c r="D223" s="19" t="s">
        <v>21</v>
      </c>
      <c r="E223" s="19" t="s">
        <v>22</v>
      </c>
      <c r="F223" s="19" t="s">
        <v>16</v>
      </c>
      <c r="G223" s="19" t="s">
        <v>57</v>
      </c>
      <c r="H223" s="19" t="s">
        <v>63</v>
      </c>
      <c r="I223" s="19">
        <v>3</v>
      </c>
      <c r="J223" s="21">
        <v>36.86</v>
      </c>
      <c r="K223" s="22">
        <v>0.1</v>
      </c>
      <c r="L223" s="21">
        <v>99.522000000000006</v>
      </c>
    </row>
    <row r="224" spans="1:12">
      <c r="A224" s="19" t="s">
        <v>294</v>
      </c>
      <c r="B224" s="20">
        <v>46036</v>
      </c>
      <c r="C224" s="19" t="s">
        <v>86</v>
      </c>
      <c r="D224" s="19" t="s">
        <v>14</v>
      </c>
      <c r="E224" s="19" t="s">
        <v>22</v>
      </c>
      <c r="F224" s="19" t="s">
        <v>27</v>
      </c>
      <c r="G224" s="19" t="s">
        <v>36</v>
      </c>
      <c r="H224" s="19" t="s">
        <v>102</v>
      </c>
      <c r="I224" s="19">
        <v>4</v>
      </c>
      <c r="J224" s="21">
        <v>750</v>
      </c>
      <c r="K224" s="22">
        <v>0</v>
      </c>
      <c r="L224" s="21">
        <v>3000</v>
      </c>
    </row>
    <row r="225" spans="1:12">
      <c r="A225" s="19" t="s">
        <v>295</v>
      </c>
      <c r="B225" s="20">
        <v>46128</v>
      </c>
      <c r="C225" s="19" t="s">
        <v>31</v>
      </c>
      <c r="D225" s="19" t="s">
        <v>14</v>
      </c>
      <c r="E225" s="19" t="s">
        <v>15</v>
      </c>
      <c r="F225" s="19" t="s">
        <v>16</v>
      </c>
      <c r="G225" s="19" t="s">
        <v>42</v>
      </c>
      <c r="H225" s="19" t="s">
        <v>39</v>
      </c>
      <c r="I225" s="19">
        <v>2</v>
      </c>
      <c r="J225" s="21">
        <v>45.9</v>
      </c>
      <c r="K225" s="22">
        <v>0</v>
      </c>
      <c r="L225" s="21">
        <v>91.8</v>
      </c>
    </row>
    <row r="226" spans="1:12">
      <c r="A226" s="19" t="s">
        <v>296</v>
      </c>
      <c r="B226" s="20">
        <v>46223</v>
      </c>
      <c r="C226" s="19" t="s">
        <v>31</v>
      </c>
      <c r="D226" s="19" t="s">
        <v>14</v>
      </c>
      <c r="E226" s="19" t="s">
        <v>15</v>
      </c>
      <c r="F226" s="19" t="s">
        <v>27</v>
      </c>
      <c r="G226" s="19" t="s">
        <v>28</v>
      </c>
      <c r="H226" s="19" t="s">
        <v>33</v>
      </c>
      <c r="I226" s="19">
        <v>5</v>
      </c>
      <c r="J226" s="21">
        <v>20.8</v>
      </c>
      <c r="K226" s="22">
        <v>0.03</v>
      </c>
      <c r="L226" s="21">
        <v>100.88</v>
      </c>
    </row>
    <row r="227" spans="1:12">
      <c r="A227" s="19" t="s">
        <v>297</v>
      </c>
      <c r="B227" s="20">
        <v>46200</v>
      </c>
      <c r="C227" s="19" t="s">
        <v>47</v>
      </c>
      <c r="D227" s="19" t="s">
        <v>41</v>
      </c>
      <c r="E227" s="19" t="s">
        <v>15</v>
      </c>
      <c r="F227" s="19" t="s">
        <v>16</v>
      </c>
      <c r="G227" s="19" t="s">
        <v>17</v>
      </c>
      <c r="H227" s="19" t="s">
        <v>83</v>
      </c>
      <c r="I227" s="19">
        <v>2</v>
      </c>
      <c r="J227" s="21">
        <v>15</v>
      </c>
      <c r="K227" s="22">
        <v>0.03</v>
      </c>
      <c r="L227" s="21">
        <v>29.099999999999998</v>
      </c>
    </row>
    <row r="228" spans="1:12">
      <c r="A228" s="19" t="s">
        <v>298</v>
      </c>
      <c r="B228" s="20">
        <v>46366</v>
      </c>
      <c r="C228" s="19" t="s">
        <v>13</v>
      </c>
      <c r="D228" s="19" t="s">
        <v>21</v>
      </c>
      <c r="E228" s="19" t="s">
        <v>22</v>
      </c>
      <c r="F228" s="19" t="s">
        <v>73</v>
      </c>
      <c r="G228" s="19" t="s">
        <v>129</v>
      </c>
      <c r="H228" s="19" t="s">
        <v>29</v>
      </c>
      <c r="I228" s="19">
        <v>2</v>
      </c>
      <c r="J228" s="21">
        <v>36.4</v>
      </c>
      <c r="K228" s="22">
        <v>0.15</v>
      </c>
      <c r="L228" s="21">
        <v>61.879999999999995</v>
      </c>
    </row>
    <row r="229" spans="1:12">
      <c r="A229" s="19" t="s">
        <v>299</v>
      </c>
      <c r="B229" s="20">
        <v>46072</v>
      </c>
      <c r="C229" s="19" t="s">
        <v>31</v>
      </c>
      <c r="D229" s="19" t="s">
        <v>41</v>
      </c>
      <c r="E229" s="19" t="s">
        <v>15</v>
      </c>
      <c r="F229" s="19" t="s">
        <v>23</v>
      </c>
      <c r="G229" s="19" t="s">
        <v>52</v>
      </c>
      <c r="H229" s="19" t="s">
        <v>33</v>
      </c>
      <c r="I229" s="19">
        <v>7</v>
      </c>
      <c r="J229" s="21">
        <v>477</v>
      </c>
      <c r="K229" s="22">
        <v>0.03</v>
      </c>
      <c r="L229" s="21">
        <v>3238.83</v>
      </c>
    </row>
    <row r="230" spans="1:12">
      <c r="A230" s="19" t="s">
        <v>300</v>
      </c>
      <c r="B230" s="20">
        <v>46329</v>
      </c>
      <c r="C230" s="19" t="s">
        <v>47</v>
      </c>
      <c r="D230" s="19" t="s">
        <v>35</v>
      </c>
      <c r="E230" s="19" t="s">
        <v>22</v>
      </c>
      <c r="F230" s="19" t="s">
        <v>60</v>
      </c>
      <c r="G230" s="19" t="s">
        <v>67</v>
      </c>
      <c r="H230" s="19" t="s">
        <v>83</v>
      </c>
      <c r="I230" s="19">
        <v>1</v>
      </c>
      <c r="J230" s="21">
        <v>1500</v>
      </c>
      <c r="K230" s="22">
        <v>0.03</v>
      </c>
      <c r="L230" s="21">
        <v>1455</v>
      </c>
    </row>
    <row r="231" spans="1:12">
      <c r="A231" s="19" t="s">
        <v>301</v>
      </c>
      <c r="B231" s="20">
        <v>46298</v>
      </c>
      <c r="C231" s="19" t="s">
        <v>20</v>
      </c>
      <c r="D231" s="19" t="s">
        <v>21</v>
      </c>
      <c r="E231" s="19" t="s">
        <v>22</v>
      </c>
      <c r="F231" s="19" t="s">
        <v>60</v>
      </c>
      <c r="G231" s="19" t="s">
        <v>76</v>
      </c>
      <c r="H231" s="19" t="s">
        <v>58</v>
      </c>
      <c r="I231" s="19">
        <v>3</v>
      </c>
      <c r="J231" s="21">
        <v>665</v>
      </c>
      <c r="K231" s="22">
        <v>0.05</v>
      </c>
      <c r="L231" s="21">
        <v>1895.25</v>
      </c>
    </row>
    <row r="232" spans="1:12">
      <c r="A232" s="19" t="s">
        <v>302</v>
      </c>
      <c r="B232" s="20">
        <v>46264</v>
      </c>
      <c r="C232" s="19" t="s">
        <v>31</v>
      </c>
      <c r="D232" s="19" t="s">
        <v>35</v>
      </c>
      <c r="E232" s="19" t="s">
        <v>22</v>
      </c>
      <c r="F232" s="19" t="s">
        <v>48</v>
      </c>
      <c r="G232" s="19" t="s">
        <v>99</v>
      </c>
      <c r="H232" s="19" t="s">
        <v>39</v>
      </c>
      <c r="I232" s="19">
        <v>1</v>
      </c>
      <c r="J232" s="21">
        <v>2850</v>
      </c>
      <c r="K232" s="22">
        <v>0.1</v>
      </c>
      <c r="L232" s="21">
        <v>2565</v>
      </c>
    </row>
    <row r="233" spans="1:12">
      <c r="A233" s="19" t="s">
        <v>303</v>
      </c>
      <c r="B233" s="20">
        <v>46198</v>
      </c>
      <c r="C233" s="19" t="s">
        <v>86</v>
      </c>
      <c r="D233" s="19" t="s">
        <v>35</v>
      </c>
      <c r="E233" s="19" t="s">
        <v>15</v>
      </c>
      <c r="F233" s="19" t="s">
        <v>48</v>
      </c>
      <c r="G233" s="19" t="s">
        <v>96</v>
      </c>
      <c r="H233" s="19" t="s">
        <v>87</v>
      </c>
      <c r="I233" s="19">
        <v>1</v>
      </c>
      <c r="J233" s="21">
        <v>2500</v>
      </c>
      <c r="K233" s="22">
        <v>0.08</v>
      </c>
      <c r="L233" s="21">
        <v>2300</v>
      </c>
    </row>
    <row r="234" spans="1:12">
      <c r="A234" s="19" t="s">
        <v>304</v>
      </c>
      <c r="B234" s="20">
        <v>46251</v>
      </c>
      <c r="C234" s="19" t="s">
        <v>31</v>
      </c>
      <c r="D234" s="19" t="s">
        <v>41</v>
      </c>
      <c r="E234" s="19" t="s">
        <v>22</v>
      </c>
      <c r="F234" s="19" t="s">
        <v>16</v>
      </c>
      <c r="G234" s="19" t="s">
        <v>42</v>
      </c>
      <c r="H234" s="19" t="s">
        <v>33</v>
      </c>
      <c r="I234" s="19">
        <v>5</v>
      </c>
      <c r="J234" s="21">
        <v>43.65</v>
      </c>
      <c r="K234" s="22">
        <v>0.1</v>
      </c>
      <c r="L234" s="21">
        <v>196.42500000000001</v>
      </c>
    </row>
    <row r="235" spans="1:12">
      <c r="A235" s="19" t="s">
        <v>305</v>
      </c>
      <c r="B235" s="20">
        <v>46157</v>
      </c>
      <c r="C235" s="19" t="s">
        <v>47</v>
      </c>
      <c r="D235" s="19" t="s">
        <v>21</v>
      </c>
      <c r="E235" s="19" t="s">
        <v>15</v>
      </c>
      <c r="F235" s="19" t="s">
        <v>16</v>
      </c>
      <c r="G235" s="19" t="s">
        <v>17</v>
      </c>
      <c r="H235" s="19" t="s">
        <v>55</v>
      </c>
      <c r="I235" s="19">
        <v>2</v>
      </c>
      <c r="J235" s="21">
        <v>15.9</v>
      </c>
      <c r="K235" s="22">
        <v>0.03</v>
      </c>
      <c r="L235" s="21">
        <v>30.846</v>
      </c>
    </row>
    <row r="236" spans="1:12">
      <c r="A236" s="19" t="s">
        <v>306</v>
      </c>
      <c r="B236" s="20">
        <v>46081</v>
      </c>
      <c r="C236" s="19" t="s">
        <v>86</v>
      </c>
      <c r="D236" s="19" t="s">
        <v>14</v>
      </c>
      <c r="E236" s="19" t="s">
        <v>22</v>
      </c>
      <c r="F236" s="19" t="s">
        <v>27</v>
      </c>
      <c r="G236" s="19" t="s">
        <v>36</v>
      </c>
      <c r="H236" s="19" t="s">
        <v>102</v>
      </c>
      <c r="I236" s="19">
        <v>3</v>
      </c>
      <c r="J236" s="21">
        <v>750</v>
      </c>
      <c r="K236" s="22">
        <v>0.05</v>
      </c>
      <c r="L236" s="21">
        <v>2137.5</v>
      </c>
    </row>
    <row r="237" spans="1:12">
      <c r="A237" s="19" t="s">
        <v>307</v>
      </c>
      <c r="B237" s="20">
        <v>46364</v>
      </c>
      <c r="C237" s="19" t="s">
        <v>47</v>
      </c>
      <c r="D237" s="19" t="s">
        <v>21</v>
      </c>
      <c r="E237" s="19" t="s">
        <v>15</v>
      </c>
      <c r="F237" s="19" t="s">
        <v>23</v>
      </c>
      <c r="G237" s="19" t="s">
        <v>24</v>
      </c>
      <c r="H237" s="19" t="s">
        <v>83</v>
      </c>
      <c r="I237" s="19">
        <v>4</v>
      </c>
      <c r="J237" s="21">
        <v>85.5</v>
      </c>
      <c r="K237" s="22">
        <v>0.15</v>
      </c>
      <c r="L237" s="21">
        <v>290.7</v>
      </c>
    </row>
    <row r="238" spans="1:12">
      <c r="A238" s="19" t="s">
        <v>308</v>
      </c>
      <c r="B238" s="20">
        <v>46247</v>
      </c>
      <c r="C238" s="19" t="s">
        <v>31</v>
      </c>
      <c r="D238" s="19" t="s">
        <v>14</v>
      </c>
      <c r="E238" s="19" t="s">
        <v>15</v>
      </c>
      <c r="F238" s="19" t="s">
        <v>23</v>
      </c>
      <c r="G238" s="19" t="s">
        <v>52</v>
      </c>
      <c r="H238" s="19" t="s">
        <v>33</v>
      </c>
      <c r="I238" s="19">
        <v>5</v>
      </c>
      <c r="J238" s="21">
        <v>436.5</v>
      </c>
      <c r="K238" s="22">
        <v>0.05</v>
      </c>
      <c r="L238" s="21">
        <v>2073.375</v>
      </c>
    </row>
    <row r="239" spans="1:12">
      <c r="A239" s="19" t="s">
        <v>309</v>
      </c>
      <c r="B239" s="20">
        <v>46157</v>
      </c>
      <c r="C239" s="19" t="s">
        <v>31</v>
      </c>
      <c r="D239" s="19" t="s">
        <v>35</v>
      </c>
      <c r="E239" s="19" t="s">
        <v>22</v>
      </c>
      <c r="F239" s="19" t="s">
        <v>27</v>
      </c>
      <c r="G239" s="19" t="s">
        <v>28</v>
      </c>
      <c r="H239" s="19" t="s">
        <v>33</v>
      </c>
      <c r="I239" s="19">
        <v>8</v>
      </c>
      <c r="J239" s="21">
        <v>20.8</v>
      </c>
      <c r="K239" s="22">
        <v>0.08</v>
      </c>
      <c r="L239" s="21">
        <v>153.08800000000002</v>
      </c>
    </row>
    <row r="240" spans="1:12">
      <c r="A240" s="19" t="s">
        <v>310</v>
      </c>
      <c r="B240" s="20">
        <v>46157</v>
      </c>
      <c r="C240" s="19" t="s">
        <v>20</v>
      </c>
      <c r="D240" s="19" t="s">
        <v>41</v>
      </c>
      <c r="E240" s="19" t="s">
        <v>22</v>
      </c>
      <c r="F240" s="19" t="s">
        <v>16</v>
      </c>
      <c r="G240" s="19" t="s">
        <v>65</v>
      </c>
      <c r="H240" s="19" t="s">
        <v>25</v>
      </c>
      <c r="I240" s="19">
        <v>4</v>
      </c>
      <c r="J240" s="21">
        <v>77.599999999999994</v>
      </c>
      <c r="K240" s="22">
        <v>0.05</v>
      </c>
      <c r="L240" s="21">
        <v>294.87999999999994</v>
      </c>
    </row>
    <row r="241" spans="1:12">
      <c r="A241" s="19" t="s">
        <v>311</v>
      </c>
      <c r="B241" s="20">
        <v>46118</v>
      </c>
      <c r="C241" s="19" t="s">
        <v>86</v>
      </c>
      <c r="D241" s="19" t="s">
        <v>14</v>
      </c>
      <c r="E241" s="19" t="s">
        <v>22</v>
      </c>
      <c r="F241" s="19" t="s">
        <v>60</v>
      </c>
      <c r="G241" s="19" t="s">
        <v>76</v>
      </c>
      <c r="H241" s="19" t="s">
        <v>87</v>
      </c>
      <c r="I241" s="19">
        <v>1</v>
      </c>
      <c r="J241" s="21">
        <v>728</v>
      </c>
      <c r="K241" s="22">
        <v>0.08</v>
      </c>
      <c r="L241" s="21">
        <v>669.76</v>
      </c>
    </row>
    <row r="242" spans="1:12">
      <c r="A242" s="19" t="s">
        <v>312</v>
      </c>
      <c r="B242" s="20">
        <v>46386</v>
      </c>
      <c r="C242" s="19" t="s">
        <v>47</v>
      </c>
      <c r="D242" s="19" t="s">
        <v>21</v>
      </c>
      <c r="E242" s="19" t="s">
        <v>22</v>
      </c>
      <c r="F242" s="19" t="s">
        <v>16</v>
      </c>
      <c r="G242" s="19" t="s">
        <v>57</v>
      </c>
      <c r="H242" s="19" t="s">
        <v>50</v>
      </c>
      <c r="I242" s="19">
        <v>3</v>
      </c>
      <c r="J242" s="21">
        <v>40.28</v>
      </c>
      <c r="K242" s="22">
        <v>0.15</v>
      </c>
      <c r="L242" s="21">
        <v>102.714</v>
      </c>
    </row>
    <row r="243" spans="1:12">
      <c r="A243" s="19" t="s">
        <v>313</v>
      </c>
      <c r="B243" s="20">
        <v>46210</v>
      </c>
      <c r="C243" s="19" t="s">
        <v>47</v>
      </c>
      <c r="D243" s="19" t="s">
        <v>41</v>
      </c>
      <c r="E243" s="19" t="s">
        <v>22</v>
      </c>
      <c r="F243" s="19" t="s">
        <v>60</v>
      </c>
      <c r="G243" s="19" t="s">
        <v>76</v>
      </c>
      <c r="H243" s="19" t="s">
        <v>50</v>
      </c>
      <c r="I243" s="19">
        <v>2</v>
      </c>
      <c r="J243" s="21">
        <v>728</v>
      </c>
      <c r="K243" s="22">
        <v>0.05</v>
      </c>
      <c r="L243" s="21">
        <v>1383.2</v>
      </c>
    </row>
    <row r="244" spans="1:12">
      <c r="A244" s="19" t="s">
        <v>314</v>
      </c>
      <c r="B244" s="20">
        <v>46054</v>
      </c>
      <c r="C244" s="19" t="s">
        <v>47</v>
      </c>
      <c r="D244" s="19" t="s">
        <v>14</v>
      </c>
      <c r="E244" s="19" t="s">
        <v>15</v>
      </c>
      <c r="F244" s="19" t="s">
        <v>16</v>
      </c>
      <c r="G244" s="19" t="s">
        <v>57</v>
      </c>
      <c r="H244" s="19" t="s">
        <v>83</v>
      </c>
      <c r="I244" s="19">
        <v>4</v>
      </c>
      <c r="J244" s="21">
        <v>38</v>
      </c>
      <c r="K244" s="22">
        <v>0.05</v>
      </c>
      <c r="L244" s="21">
        <v>144.4</v>
      </c>
    </row>
    <row r="245" spans="1:12">
      <c r="A245" s="19" t="s">
        <v>315</v>
      </c>
      <c r="B245" s="20">
        <v>46207</v>
      </c>
      <c r="C245" s="19" t="s">
        <v>20</v>
      </c>
      <c r="D245" s="19" t="s">
        <v>14</v>
      </c>
      <c r="E245" s="19" t="s">
        <v>22</v>
      </c>
      <c r="F245" s="19" t="s">
        <v>27</v>
      </c>
      <c r="G245" s="19" t="s">
        <v>32</v>
      </c>
      <c r="H245" s="19" t="s">
        <v>25</v>
      </c>
      <c r="I245" s="19">
        <v>3</v>
      </c>
      <c r="J245" s="21">
        <v>296.8</v>
      </c>
      <c r="K245" s="22">
        <v>0.2</v>
      </c>
      <c r="L245" s="21">
        <v>712.32000000000016</v>
      </c>
    </row>
    <row r="246" spans="1:12">
      <c r="A246" s="19" t="s">
        <v>316</v>
      </c>
      <c r="B246" s="20">
        <v>46316</v>
      </c>
      <c r="C246" s="19" t="s">
        <v>13</v>
      </c>
      <c r="D246" s="19" t="s">
        <v>14</v>
      </c>
      <c r="E246" s="19" t="s">
        <v>22</v>
      </c>
      <c r="F246" s="19" t="s">
        <v>60</v>
      </c>
      <c r="G246" s="19" t="s">
        <v>67</v>
      </c>
      <c r="H246" s="19" t="s">
        <v>18</v>
      </c>
      <c r="I246" s="19">
        <v>1</v>
      </c>
      <c r="J246" s="21">
        <v>1455</v>
      </c>
      <c r="K246" s="22">
        <v>0.2</v>
      </c>
      <c r="L246" s="21">
        <v>1164</v>
      </c>
    </row>
    <row r="247" spans="1:12">
      <c r="A247" s="19" t="s">
        <v>317</v>
      </c>
      <c r="B247" s="20">
        <v>46105</v>
      </c>
      <c r="C247" s="19" t="s">
        <v>20</v>
      </c>
      <c r="D247" s="19" t="s">
        <v>14</v>
      </c>
      <c r="E247" s="19" t="s">
        <v>22</v>
      </c>
      <c r="F247" s="19" t="s">
        <v>23</v>
      </c>
      <c r="G247" s="19" t="s">
        <v>38</v>
      </c>
      <c r="H247" s="19" t="s">
        <v>25</v>
      </c>
      <c r="I247" s="19">
        <v>4</v>
      </c>
      <c r="J247" s="21">
        <v>320</v>
      </c>
      <c r="K247" s="22">
        <v>0.1</v>
      </c>
      <c r="L247" s="21">
        <v>1152</v>
      </c>
    </row>
    <row r="248" spans="1:12">
      <c r="A248" s="19" t="s">
        <v>318</v>
      </c>
      <c r="B248" s="20">
        <v>46252</v>
      </c>
      <c r="C248" s="19" t="s">
        <v>86</v>
      </c>
      <c r="D248" s="19" t="s">
        <v>21</v>
      </c>
      <c r="E248" s="19" t="s">
        <v>15</v>
      </c>
      <c r="F248" s="19" t="s">
        <v>23</v>
      </c>
      <c r="G248" s="19" t="s">
        <v>138</v>
      </c>
      <c r="H248" s="19" t="s">
        <v>87</v>
      </c>
      <c r="I248" s="19">
        <v>7</v>
      </c>
      <c r="J248" s="21">
        <v>60</v>
      </c>
      <c r="K248" s="22">
        <v>0.05</v>
      </c>
      <c r="L248" s="21">
        <v>399</v>
      </c>
    </row>
    <row r="249" spans="1:12">
      <c r="A249" s="19" t="s">
        <v>319</v>
      </c>
      <c r="B249" s="20">
        <v>46331</v>
      </c>
      <c r="C249" s="19" t="s">
        <v>47</v>
      </c>
      <c r="D249" s="19" t="s">
        <v>35</v>
      </c>
      <c r="E249" s="19" t="s">
        <v>22</v>
      </c>
      <c r="F249" s="19" t="s">
        <v>27</v>
      </c>
      <c r="G249" s="19" t="s">
        <v>36</v>
      </c>
      <c r="H249" s="19" t="s">
        <v>50</v>
      </c>
      <c r="I249" s="19">
        <v>5</v>
      </c>
      <c r="J249" s="21">
        <v>750</v>
      </c>
      <c r="K249" s="22">
        <v>0.1</v>
      </c>
      <c r="L249" s="21">
        <v>3375</v>
      </c>
    </row>
    <row r="250" spans="1:12">
      <c r="A250" s="19" t="s">
        <v>320</v>
      </c>
      <c r="B250" s="20">
        <v>46317</v>
      </c>
      <c r="C250" s="19" t="s">
        <v>86</v>
      </c>
      <c r="D250" s="19" t="s">
        <v>14</v>
      </c>
      <c r="E250" s="19" t="s">
        <v>22</v>
      </c>
      <c r="F250" s="19" t="s">
        <v>23</v>
      </c>
      <c r="G250" s="19" t="s">
        <v>24</v>
      </c>
      <c r="H250" s="19" t="s">
        <v>93</v>
      </c>
      <c r="I250" s="19">
        <v>1</v>
      </c>
      <c r="J250" s="21">
        <v>95.4</v>
      </c>
      <c r="K250" s="22">
        <v>0.1</v>
      </c>
      <c r="L250" s="21">
        <v>85.860000000000014</v>
      </c>
    </row>
    <row r="251" spans="1:12">
      <c r="A251" s="19" t="s">
        <v>321</v>
      </c>
      <c r="B251" s="20">
        <v>46197</v>
      </c>
      <c r="C251" s="19" t="s">
        <v>86</v>
      </c>
      <c r="D251" s="19" t="s">
        <v>41</v>
      </c>
      <c r="E251" s="19" t="s">
        <v>22</v>
      </c>
      <c r="F251" s="19" t="s">
        <v>27</v>
      </c>
      <c r="G251" s="19" t="s">
        <v>28</v>
      </c>
      <c r="H251" s="19" t="s">
        <v>93</v>
      </c>
      <c r="I251" s="19">
        <v>5</v>
      </c>
      <c r="J251" s="21">
        <v>19</v>
      </c>
      <c r="K251" s="22">
        <v>0.15</v>
      </c>
      <c r="L251" s="21">
        <v>80.75</v>
      </c>
    </row>
    <row r="252" spans="1:12">
      <c r="A252" s="19" t="s">
        <v>322</v>
      </c>
      <c r="B252" s="20">
        <v>46310</v>
      </c>
      <c r="C252" s="19" t="s">
        <v>13</v>
      </c>
      <c r="D252" s="19" t="s">
        <v>35</v>
      </c>
      <c r="E252" s="19" t="s">
        <v>22</v>
      </c>
      <c r="F252" s="19" t="s">
        <v>73</v>
      </c>
      <c r="G252" s="19" t="s">
        <v>145</v>
      </c>
      <c r="H252" s="19" t="s">
        <v>29</v>
      </c>
      <c r="I252" s="19">
        <v>14</v>
      </c>
      <c r="J252" s="21">
        <v>18</v>
      </c>
      <c r="K252" s="22">
        <v>0.15</v>
      </c>
      <c r="L252" s="21">
        <v>214.2</v>
      </c>
    </row>
    <row r="253" spans="1:12">
      <c r="A253" s="19" t="s">
        <v>323</v>
      </c>
      <c r="B253" s="20">
        <v>46139</v>
      </c>
      <c r="C253" s="19" t="s">
        <v>86</v>
      </c>
      <c r="D253" s="19" t="s">
        <v>21</v>
      </c>
      <c r="E253" s="19" t="s">
        <v>15</v>
      </c>
      <c r="F253" s="19" t="s">
        <v>73</v>
      </c>
      <c r="G253" s="19" t="s">
        <v>129</v>
      </c>
      <c r="H253" s="19" t="s">
        <v>102</v>
      </c>
      <c r="I253" s="19">
        <v>1</v>
      </c>
      <c r="J253" s="21">
        <v>33.25</v>
      </c>
      <c r="K253" s="22">
        <v>0.05</v>
      </c>
      <c r="L253" s="21">
        <v>31.587499999999999</v>
      </c>
    </row>
    <row r="254" spans="1:12">
      <c r="A254" s="19" t="s">
        <v>324</v>
      </c>
      <c r="B254" s="20">
        <v>46052</v>
      </c>
      <c r="C254" s="19" t="s">
        <v>47</v>
      </c>
      <c r="D254" s="19" t="s">
        <v>21</v>
      </c>
      <c r="E254" s="19" t="s">
        <v>15</v>
      </c>
      <c r="F254" s="19" t="s">
        <v>27</v>
      </c>
      <c r="G254" s="19" t="s">
        <v>36</v>
      </c>
      <c r="H254" s="19" t="s">
        <v>83</v>
      </c>
      <c r="I254" s="19">
        <v>6</v>
      </c>
      <c r="J254" s="21">
        <v>750</v>
      </c>
      <c r="K254" s="22">
        <v>0.03</v>
      </c>
      <c r="L254" s="21">
        <v>4365</v>
      </c>
    </row>
    <row r="255" spans="1:12">
      <c r="A255" s="19" t="s">
        <v>325</v>
      </c>
      <c r="B255" s="20">
        <v>46065</v>
      </c>
      <c r="C255" s="19" t="s">
        <v>86</v>
      </c>
      <c r="D255" s="19" t="s">
        <v>14</v>
      </c>
      <c r="E255" s="19" t="s">
        <v>22</v>
      </c>
      <c r="F255" s="19" t="s">
        <v>16</v>
      </c>
      <c r="G255" s="19" t="s">
        <v>69</v>
      </c>
      <c r="H255" s="19" t="s">
        <v>102</v>
      </c>
      <c r="I255" s="19">
        <v>4</v>
      </c>
      <c r="J255" s="21">
        <v>55</v>
      </c>
      <c r="K255" s="22">
        <v>0.1</v>
      </c>
      <c r="L255" s="21">
        <v>198</v>
      </c>
    </row>
    <row r="256" spans="1:12">
      <c r="A256" s="19" t="s">
        <v>326</v>
      </c>
      <c r="B256" s="20">
        <v>46288</v>
      </c>
      <c r="C256" s="19" t="s">
        <v>31</v>
      </c>
      <c r="D256" s="19" t="s">
        <v>14</v>
      </c>
      <c r="E256" s="19" t="s">
        <v>15</v>
      </c>
      <c r="F256" s="19" t="s">
        <v>60</v>
      </c>
      <c r="G256" s="19" t="s">
        <v>76</v>
      </c>
      <c r="H256" s="19" t="s">
        <v>79</v>
      </c>
      <c r="I256" s="19">
        <v>1</v>
      </c>
      <c r="J256" s="21">
        <v>665</v>
      </c>
      <c r="K256" s="22">
        <v>0.03</v>
      </c>
      <c r="L256" s="21">
        <v>645.04999999999995</v>
      </c>
    </row>
    <row r="257" spans="1:12">
      <c r="A257" s="19" t="s">
        <v>327</v>
      </c>
      <c r="B257" s="20">
        <v>46370</v>
      </c>
      <c r="C257" s="19" t="s">
        <v>13</v>
      </c>
      <c r="D257" s="19" t="s">
        <v>21</v>
      </c>
      <c r="E257" s="19" t="s">
        <v>15</v>
      </c>
      <c r="F257" s="19" t="s">
        <v>16</v>
      </c>
      <c r="G257" s="19" t="s">
        <v>42</v>
      </c>
      <c r="H257" s="19" t="s">
        <v>18</v>
      </c>
      <c r="I257" s="19">
        <v>2</v>
      </c>
      <c r="J257" s="21">
        <v>43.65</v>
      </c>
      <c r="K257" s="22">
        <v>0.15</v>
      </c>
      <c r="L257" s="21">
        <v>74.204999999999998</v>
      </c>
    </row>
    <row r="258" spans="1:12">
      <c r="A258" s="19" t="s">
        <v>328</v>
      </c>
      <c r="B258" s="20">
        <v>46200</v>
      </c>
      <c r="C258" s="19" t="s">
        <v>13</v>
      </c>
      <c r="D258" s="19" t="s">
        <v>14</v>
      </c>
      <c r="E258" s="19" t="s">
        <v>22</v>
      </c>
      <c r="F258" s="19" t="s">
        <v>16</v>
      </c>
      <c r="G258" s="19" t="s">
        <v>65</v>
      </c>
      <c r="H258" s="19" t="s">
        <v>29</v>
      </c>
      <c r="I258" s="19">
        <v>3</v>
      </c>
      <c r="J258" s="21">
        <v>76</v>
      </c>
      <c r="K258" s="22">
        <v>0.03</v>
      </c>
      <c r="L258" s="21">
        <v>221.16</v>
      </c>
    </row>
    <row r="259" spans="1:12">
      <c r="A259" s="19" t="s">
        <v>329</v>
      </c>
      <c r="B259" s="20">
        <v>46316</v>
      </c>
      <c r="C259" s="19" t="s">
        <v>13</v>
      </c>
      <c r="D259" s="19" t="s">
        <v>41</v>
      </c>
      <c r="E259" s="19" t="s">
        <v>22</v>
      </c>
      <c r="F259" s="19" t="s">
        <v>48</v>
      </c>
      <c r="G259" s="19" t="s">
        <v>96</v>
      </c>
      <c r="H259" s="19" t="s">
        <v>18</v>
      </c>
      <c r="I259" s="19">
        <v>2</v>
      </c>
      <c r="J259" s="21">
        <v>2425</v>
      </c>
      <c r="K259" s="22">
        <v>0.03</v>
      </c>
      <c r="L259" s="21">
        <v>4704.5</v>
      </c>
    </row>
    <row r="260" spans="1:12">
      <c r="A260" s="19" t="s">
        <v>330</v>
      </c>
      <c r="B260" s="20">
        <v>46247</v>
      </c>
      <c r="C260" s="19" t="s">
        <v>86</v>
      </c>
      <c r="D260" s="19" t="s">
        <v>21</v>
      </c>
      <c r="E260" s="19" t="s">
        <v>22</v>
      </c>
      <c r="F260" s="19" t="s">
        <v>48</v>
      </c>
      <c r="G260" s="19" t="s">
        <v>71</v>
      </c>
      <c r="H260" s="19" t="s">
        <v>87</v>
      </c>
      <c r="I260" s="19">
        <v>1</v>
      </c>
      <c r="J260" s="21">
        <v>3200</v>
      </c>
      <c r="K260" s="22">
        <v>0.08</v>
      </c>
      <c r="L260" s="21">
        <v>2944</v>
      </c>
    </row>
    <row r="261" spans="1:12">
      <c r="A261" s="19" t="s">
        <v>331</v>
      </c>
      <c r="B261" s="20">
        <v>46135</v>
      </c>
      <c r="C261" s="19" t="s">
        <v>31</v>
      </c>
      <c r="D261" s="19" t="s">
        <v>41</v>
      </c>
      <c r="E261" s="19" t="s">
        <v>22</v>
      </c>
      <c r="F261" s="19" t="s">
        <v>16</v>
      </c>
      <c r="G261" s="19" t="s">
        <v>65</v>
      </c>
      <c r="H261" s="19" t="s">
        <v>79</v>
      </c>
      <c r="I261" s="19">
        <v>4</v>
      </c>
      <c r="J261" s="21">
        <v>80</v>
      </c>
      <c r="K261" s="22">
        <v>0.05</v>
      </c>
      <c r="L261" s="21">
        <v>304</v>
      </c>
    </row>
    <row r="262" spans="1:12">
      <c r="A262" s="19" t="s">
        <v>332</v>
      </c>
      <c r="B262" s="20">
        <v>46321</v>
      </c>
      <c r="C262" s="19" t="s">
        <v>47</v>
      </c>
      <c r="D262" s="19" t="s">
        <v>21</v>
      </c>
      <c r="E262" s="19" t="s">
        <v>15</v>
      </c>
      <c r="F262" s="19" t="s">
        <v>60</v>
      </c>
      <c r="G262" s="19" t="s">
        <v>91</v>
      </c>
      <c r="H262" s="19" t="s">
        <v>50</v>
      </c>
      <c r="I262" s="19">
        <v>5</v>
      </c>
      <c r="J262" s="21">
        <v>551</v>
      </c>
      <c r="K262" s="22">
        <v>0.15</v>
      </c>
      <c r="L262" s="21">
        <v>2341.75</v>
      </c>
    </row>
    <row r="263" spans="1:12">
      <c r="A263" s="19" t="s">
        <v>333</v>
      </c>
      <c r="B263" s="20">
        <v>46200</v>
      </c>
      <c r="C263" s="19" t="s">
        <v>20</v>
      </c>
      <c r="D263" s="19" t="s">
        <v>14</v>
      </c>
      <c r="E263" s="19" t="s">
        <v>22</v>
      </c>
      <c r="F263" s="19" t="s">
        <v>23</v>
      </c>
      <c r="G263" s="19" t="s">
        <v>52</v>
      </c>
      <c r="H263" s="19" t="s">
        <v>25</v>
      </c>
      <c r="I263" s="19">
        <v>3</v>
      </c>
      <c r="J263" s="21">
        <v>427.5</v>
      </c>
      <c r="K263" s="22">
        <v>0</v>
      </c>
      <c r="L263" s="21">
        <v>1282.5</v>
      </c>
    </row>
    <row r="264" spans="1:12">
      <c r="A264" s="19" t="s">
        <v>334</v>
      </c>
      <c r="B264" s="20">
        <v>46024</v>
      </c>
      <c r="C264" s="19" t="s">
        <v>47</v>
      </c>
      <c r="D264" s="19" t="s">
        <v>21</v>
      </c>
      <c r="E264" s="19" t="s">
        <v>15</v>
      </c>
      <c r="F264" s="19" t="s">
        <v>23</v>
      </c>
      <c r="G264" s="19" t="s">
        <v>24</v>
      </c>
      <c r="H264" s="19" t="s">
        <v>55</v>
      </c>
      <c r="I264" s="19">
        <v>4</v>
      </c>
      <c r="J264" s="21">
        <v>93.6</v>
      </c>
      <c r="K264" s="22">
        <v>0</v>
      </c>
      <c r="L264" s="21">
        <v>374.4</v>
      </c>
    </row>
    <row r="265" spans="1:12">
      <c r="A265" s="19" t="s">
        <v>335</v>
      </c>
      <c r="B265" s="20">
        <v>46208</v>
      </c>
      <c r="C265" s="19" t="s">
        <v>86</v>
      </c>
      <c r="D265" s="19" t="s">
        <v>14</v>
      </c>
      <c r="E265" s="19" t="s">
        <v>22</v>
      </c>
      <c r="F265" s="19" t="s">
        <v>16</v>
      </c>
      <c r="G265" s="19" t="s">
        <v>112</v>
      </c>
      <c r="H265" s="19" t="s">
        <v>87</v>
      </c>
      <c r="I265" s="19">
        <v>2</v>
      </c>
      <c r="J265" s="21">
        <v>66.3</v>
      </c>
      <c r="K265" s="22">
        <v>0.08</v>
      </c>
      <c r="L265" s="21">
        <v>121.992</v>
      </c>
    </row>
    <row r="266" spans="1:12">
      <c r="A266" s="19" t="s">
        <v>336</v>
      </c>
      <c r="B266" s="20">
        <v>46268</v>
      </c>
      <c r="C266" s="19" t="s">
        <v>86</v>
      </c>
      <c r="D266" s="19" t="s">
        <v>21</v>
      </c>
      <c r="E266" s="19" t="s">
        <v>22</v>
      </c>
      <c r="F266" s="19" t="s">
        <v>48</v>
      </c>
      <c r="G266" s="19" t="s">
        <v>96</v>
      </c>
      <c r="H266" s="19" t="s">
        <v>87</v>
      </c>
      <c r="I266" s="19">
        <v>3</v>
      </c>
      <c r="J266" s="21">
        <v>2425</v>
      </c>
      <c r="K266" s="22">
        <v>0</v>
      </c>
      <c r="L266" s="21">
        <v>7275</v>
      </c>
    </row>
    <row r="267" spans="1:12">
      <c r="A267" s="19" t="s">
        <v>337</v>
      </c>
      <c r="B267" s="20">
        <v>46244</v>
      </c>
      <c r="C267" s="19" t="s">
        <v>13</v>
      </c>
      <c r="D267" s="19" t="s">
        <v>35</v>
      </c>
      <c r="E267" s="19" t="s">
        <v>15</v>
      </c>
      <c r="F267" s="19" t="s">
        <v>16</v>
      </c>
      <c r="G267" s="19" t="s">
        <v>112</v>
      </c>
      <c r="H267" s="19" t="s">
        <v>43</v>
      </c>
      <c r="I267" s="19">
        <v>4</v>
      </c>
      <c r="J267" s="21">
        <v>61.75</v>
      </c>
      <c r="K267" s="22">
        <v>0.2</v>
      </c>
      <c r="L267" s="21">
        <v>197.60000000000002</v>
      </c>
    </row>
    <row r="268" spans="1:12">
      <c r="A268" s="19" t="s">
        <v>338</v>
      </c>
      <c r="B268" s="20">
        <v>46230</v>
      </c>
      <c r="C268" s="19" t="s">
        <v>13</v>
      </c>
      <c r="D268" s="19" t="s">
        <v>14</v>
      </c>
      <c r="E268" s="19" t="s">
        <v>15</v>
      </c>
      <c r="F268" s="19" t="s">
        <v>23</v>
      </c>
      <c r="G268" s="19" t="s">
        <v>138</v>
      </c>
      <c r="H268" s="19" t="s">
        <v>29</v>
      </c>
      <c r="I268" s="19">
        <v>4</v>
      </c>
      <c r="J268" s="21">
        <v>58.2</v>
      </c>
      <c r="K268" s="22">
        <v>0</v>
      </c>
      <c r="L268" s="21">
        <v>232.8</v>
      </c>
    </row>
    <row r="269" spans="1:12">
      <c r="A269" s="19" t="s">
        <v>339</v>
      </c>
      <c r="B269" s="20">
        <v>46115</v>
      </c>
      <c r="C269" s="19" t="s">
        <v>86</v>
      </c>
      <c r="D269" s="19" t="s">
        <v>41</v>
      </c>
      <c r="E269" s="19" t="s">
        <v>22</v>
      </c>
      <c r="F269" s="19" t="s">
        <v>60</v>
      </c>
      <c r="G269" s="19" t="s">
        <v>67</v>
      </c>
      <c r="H269" s="19" t="s">
        <v>102</v>
      </c>
      <c r="I269" s="19">
        <v>1</v>
      </c>
      <c r="J269" s="21">
        <v>1425</v>
      </c>
      <c r="K269" s="22">
        <v>0.08</v>
      </c>
      <c r="L269" s="21">
        <v>1311</v>
      </c>
    </row>
    <row r="270" spans="1:12">
      <c r="A270" s="19" t="s">
        <v>340</v>
      </c>
      <c r="B270" s="20">
        <v>46106</v>
      </c>
      <c r="C270" s="19" t="s">
        <v>31</v>
      </c>
      <c r="D270" s="19" t="s">
        <v>21</v>
      </c>
      <c r="E270" s="19" t="s">
        <v>22</v>
      </c>
      <c r="F270" s="19" t="s">
        <v>48</v>
      </c>
      <c r="G270" s="19" t="s">
        <v>99</v>
      </c>
      <c r="H270" s="19" t="s">
        <v>79</v>
      </c>
      <c r="I270" s="19">
        <v>1</v>
      </c>
      <c r="J270" s="21">
        <v>2850</v>
      </c>
      <c r="K270" s="22">
        <v>0.15</v>
      </c>
      <c r="L270" s="21">
        <v>2422.5</v>
      </c>
    </row>
    <row r="271" spans="1:12">
      <c r="A271" s="19" t="s">
        <v>341</v>
      </c>
      <c r="B271" s="20">
        <v>46034</v>
      </c>
      <c r="C271" s="19" t="s">
        <v>86</v>
      </c>
      <c r="D271" s="19" t="s">
        <v>14</v>
      </c>
      <c r="E271" s="19" t="s">
        <v>22</v>
      </c>
      <c r="F271" s="19" t="s">
        <v>73</v>
      </c>
      <c r="G271" s="19" t="s">
        <v>74</v>
      </c>
      <c r="H271" s="19" t="s">
        <v>87</v>
      </c>
      <c r="I271" s="19">
        <v>1</v>
      </c>
      <c r="J271" s="21">
        <v>8.32</v>
      </c>
      <c r="K271" s="22">
        <v>0.03</v>
      </c>
      <c r="L271" s="21">
        <v>8.0703999999999994</v>
      </c>
    </row>
    <row r="272" spans="1:12">
      <c r="A272" s="19" t="s">
        <v>342</v>
      </c>
      <c r="B272" s="20">
        <v>46169</v>
      </c>
      <c r="C272" s="19" t="s">
        <v>31</v>
      </c>
      <c r="D272" s="19" t="s">
        <v>14</v>
      </c>
      <c r="E272" s="19" t="s">
        <v>22</v>
      </c>
      <c r="F272" s="19" t="s">
        <v>27</v>
      </c>
      <c r="G272" s="19" t="s">
        <v>36</v>
      </c>
      <c r="H272" s="19" t="s">
        <v>33</v>
      </c>
      <c r="I272" s="19">
        <v>5</v>
      </c>
      <c r="J272" s="21">
        <v>750</v>
      </c>
      <c r="K272" s="22">
        <v>0.2</v>
      </c>
      <c r="L272" s="21">
        <v>3000</v>
      </c>
    </row>
    <row r="273" spans="1:12">
      <c r="A273" s="19" t="s">
        <v>343</v>
      </c>
      <c r="B273" s="20">
        <v>46037</v>
      </c>
      <c r="C273" s="19" t="s">
        <v>47</v>
      </c>
      <c r="D273" s="19" t="s">
        <v>35</v>
      </c>
      <c r="E273" s="19" t="s">
        <v>15</v>
      </c>
      <c r="F273" s="19" t="s">
        <v>48</v>
      </c>
      <c r="G273" s="19" t="s">
        <v>49</v>
      </c>
      <c r="H273" s="19" t="s">
        <v>83</v>
      </c>
      <c r="I273" s="19">
        <v>1</v>
      </c>
      <c r="J273" s="21">
        <v>3990</v>
      </c>
      <c r="K273" s="22">
        <v>0.05</v>
      </c>
      <c r="L273" s="21">
        <v>3790.5</v>
      </c>
    </row>
    <row r="274" spans="1:12">
      <c r="A274" s="19" t="s">
        <v>344</v>
      </c>
      <c r="B274" s="20">
        <v>46303</v>
      </c>
      <c r="C274" s="19" t="s">
        <v>20</v>
      </c>
      <c r="D274" s="19" t="s">
        <v>21</v>
      </c>
      <c r="E274" s="19" t="s">
        <v>22</v>
      </c>
      <c r="F274" s="19" t="s">
        <v>73</v>
      </c>
      <c r="G274" s="19" t="s">
        <v>81</v>
      </c>
      <c r="H274" s="19" t="s">
        <v>25</v>
      </c>
      <c r="I274" s="19">
        <v>1</v>
      </c>
      <c r="J274" s="21">
        <v>12</v>
      </c>
      <c r="K274" s="22">
        <v>0.15</v>
      </c>
      <c r="L274" s="21">
        <v>10.199999999999999</v>
      </c>
    </row>
    <row r="275" spans="1:12">
      <c r="A275" s="19" t="s">
        <v>345</v>
      </c>
      <c r="B275" s="20">
        <v>46124</v>
      </c>
      <c r="C275" s="19" t="s">
        <v>13</v>
      </c>
      <c r="D275" s="19" t="s">
        <v>35</v>
      </c>
      <c r="E275" s="19" t="s">
        <v>15</v>
      </c>
      <c r="F275" s="19" t="s">
        <v>48</v>
      </c>
      <c r="G275" s="19" t="s">
        <v>49</v>
      </c>
      <c r="H275" s="19" t="s">
        <v>18</v>
      </c>
      <c r="I275" s="19">
        <v>1</v>
      </c>
      <c r="J275" s="21">
        <v>4200</v>
      </c>
      <c r="K275" s="22">
        <v>0.08</v>
      </c>
      <c r="L275" s="21">
        <v>3864</v>
      </c>
    </row>
    <row r="276" spans="1:12">
      <c r="A276" s="19" t="s">
        <v>346</v>
      </c>
      <c r="B276" s="20">
        <v>46175</v>
      </c>
      <c r="C276" s="19" t="s">
        <v>47</v>
      </c>
      <c r="D276" s="19" t="s">
        <v>14</v>
      </c>
      <c r="E276" s="19" t="s">
        <v>15</v>
      </c>
      <c r="F276" s="19" t="s">
        <v>16</v>
      </c>
      <c r="G276" s="19" t="s">
        <v>112</v>
      </c>
      <c r="H276" s="19" t="s">
        <v>55</v>
      </c>
      <c r="I276" s="19">
        <v>4</v>
      </c>
      <c r="J276" s="21">
        <v>67.599999999999994</v>
      </c>
      <c r="K276" s="22">
        <v>0.08</v>
      </c>
      <c r="L276" s="21">
        <v>248.768</v>
      </c>
    </row>
    <row r="277" spans="1:12">
      <c r="A277" s="19" t="s">
        <v>347</v>
      </c>
      <c r="B277" s="20">
        <v>46057</v>
      </c>
      <c r="C277" s="19" t="s">
        <v>20</v>
      </c>
      <c r="D277" s="19" t="s">
        <v>21</v>
      </c>
      <c r="E277" s="19" t="s">
        <v>22</v>
      </c>
      <c r="F277" s="19" t="s">
        <v>60</v>
      </c>
      <c r="G277" s="19" t="s">
        <v>91</v>
      </c>
      <c r="H277" s="19" t="s">
        <v>63</v>
      </c>
      <c r="I277" s="19">
        <v>2</v>
      </c>
      <c r="J277" s="21">
        <v>603.20000000000005</v>
      </c>
      <c r="K277" s="22">
        <v>0</v>
      </c>
      <c r="L277" s="21">
        <v>1206.4000000000001</v>
      </c>
    </row>
    <row r="278" spans="1:12">
      <c r="A278" s="19" t="s">
        <v>348</v>
      </c>
      <c r="B278" s="20">
        <v>46123</v>
      </c>
      <c r="C278" s="19" t="s">
        <v>47</v>
      </c>
      <c r="D278" s="19" t="s">
        <v>21</v>
      </c>
      <c r="E278" s="19" t="s">
        <v>22</v>
      </c>
      <c r="F278" s="19" t="s">
        <v>48</v>
      </c>
      <c r="G278" s="19" t="s">
        <v>49</v>
      </c>
      <c r="H278" s="19" t="s">
        <v>50</v>
      </c>
      <c r="I278" s="19">
        <v>1</v>
      </c>
      <c r="J278" s="21">
        <v>4200</v>
      </c>
      <c r="K278" s="22">
        <v>0.15</v>
      </c>
      <c r="L278" s="21">
        <v>3570</v>
      </c>
    </row>
    <row r="279" spans="1:12">
      <c r="A279" s="19" t="s">
        <v>349</v>
      </c>
      <c r="B279" s="20">
        <v>46314</v>
      </c>
      <c r="C279" s="19" t="s">
        <v>31</v>
      </c>
      <c r="D279" s="19" t="s">
        <v>14</v>
      </c>
      <c r="E279" s="19" t="s">
        <v>22</v>
      </c>
      <c r="F279" s="19" t="s">
        <v>48</v>
      </c>
      <c r="G279" s="19" t="s">
        <v>71</v>
      </c>
      <c r="H279" s="19" t="s">
        <v>33</v>
      </c>
      <c r="I279" s="19">
        <v>3</v>
      </c>
      <c r="J279" s="21">
        <v>3264</v>
      </c>
      <c r="K279" s="22">
        <v>0.03</v>
      </c>
      <c r="L279" s="21">
        <v>9498.24</v>
      </c>
    </row>
    <row r="280" spans="1:12">
      <c r="A280" s="19" t="s">
        <v>350</v>
      </c>
      <c r="B280" s="20">
        <v>46201</v>
      </c>
      <c r="C280" s="19" t="s">
        <v>31</v>
      </c>
      <c r="D280" s="19" t="s">
        <v>14</v>
      </c>
      <c r="E280" s="19" t="s">
        <v>22</v>
      </c>
      <c r="F280" s="19" t="s">
        <v>73</v>
      </c>
      <c r="G280" s="19" t="s">
        <v>74</v>
      </c>
      <c r="H280" s="19" t="s">
        <v>79</v>
      </c>
      <c r="I280" s="19">
        <v>1</v>
      </c>
      <c r="J280" s="21">
        <v>7.6</v>
      </c>
      <c r="K280" s="22">
        <v>0.15</v>
      </c>
      <c r="L280" s="21">
        <v>6.46</v>
      </c>
    </row>
    <row r="281" spans="1:12">
      <c r="A281" s="19" t="s">
        <v>351</v>
      </c>
      <c r="B281" s="20">
        <v>46061</v>
      </c>
      <c r="C281" s="19" t="s">
        <v>47</v>
      </c>
      <c r="D281" s="19" t="s">
        <v>21</v>
      </c>
      <c r="E281" s="19" t="s">
        <v>15</v>
      </c>
      <c r="F281" s="19" t="s">
        <v>48</v>
      </c>
      <c r="G281" s="19" t="s">
        <v>96</v>
      </c>
      <c r="H281" s="19" t="s">
        <v>55</v>
      </c>
      <c r="I281" s="19">
        <v>3</v>
      </c>
      <c r="J281" s="21">
        <v>2375</v>
      </c>
      <c r="K281" s="22">
        <v>0.1</v>
      </c>
      <c r="L281" s="21">
        <v>6412.5</v>
      </c>
    </row>
    <row r="282" spans="1:12">
      <c r="A282" s="19" t="s">
        <v>352</v>
      </c>
      <c r="B282" s="20">
        <v>46303</v>
      </c>
      <c r="C282" s="19" t="s">
        <v>31</v>
      </c>
      <c r="D282" s="19" t="s">
        <v>14</v>
      </c>
      <c r="E282" s="19" t="s">
        <v>22</v>
      </c>
      <c r="F282" s="19" t="s">
        <v>16</v>
      </c>
      <c r="G282" s="19" t="s">
        <v>42</v>
      </c>
      <c r="H282" s="19" t="s">
        <v>33</v>
      </c>
      <c r="I282" s="19">
        <v>1</v>
      </c>
      <c r="J282" s="21">
        <v>45</v>
      </c>
      <c r="K282" s="22">
        <v>0.1</v>
      </c>
      <c r="L282" s="21">
        <v>40.5</v>
      </c>
    </row>
    <row r="283" spans="1:12">
      <c r="A283" s="19" t="s">
        <v>353</v>
      </c>
      <c r="B283" s="20">
        <v>46286</v>
      </c>
      <c r="C283" s="19" t="s">
        <v>31</v>
      </c>
      <c r="D283" s="19" t="s">
        <v>21</v>
      </c>
      <c r="E283" s="19" t="s">
        <v>22</v>
      </c>
      <c r="F283" s="19" t="s">
        <v>16</v>
      </c>
      <c r="G283" s="19" t="s">
        <v>42</v>
      </c>
      <c r="H283" s="19" t="s">
        <v>79</v>
      </c>
      <c r="I283" s="19">
        <v>6</v>
      </c>
      <c r="J283" s="21">
        <v>45</v>
      </c>
      <c r="K283" s="22">
        <v>0.05</v>
      </c>
      <c r="L283" s="21">
        <v>256.5</v>
      </c>
    </row>
    <row r="284" spans="1:12">
      <c r="A284" s="19" t="s">
        <v>354</v>
      </c>
      <c r="B284" s="20">
        <v>46081</v>
      </c>
      <c r="C284" s="19" t="s">
        <v>47</v>
      </c>
      <c r="D284" s="19" t="s">
        <v>14</v>
      </c>
      <c r="E284" s="19" t="s">
        <v>15</v>
      </c>
      <c r="F284" s="19" t="s">
        <v>60</v>
      </c>
      <c r="G284" s="19" t="s">
        <v>61</v>
      </c>
      <c r="H284" s="19" t="s">
        <v>50</v>
      </c>
      <c r="I284" s="19">
        <v>3</v>
      </c>
      <c r="J284" s="21">
        <v>884</v>
      </c>
      <c r="K284" s="22">
        <v>0.03</v>
      </c>
      <c r="L284" s="21">
        <v>2572.44</v>
      </c>
    </row>
    <row r="285" spans="1:12">
      <c r="A285" s="19" t="s">
        <v>355</v>
      </c>
      <c r="B285" s="20">
        <v>46187</v>
      </c>
      <c r="C285" s="19" t="s">
        <v>31</v>
      </c>
      <c r="D285" s="19" t="s">
        <v>14</v>
      </c>
      <c r="E285" s="19" t="s">
        <v>15</v>
      </c>
      <c r="F285" s="19" t="s">
        <v>16</v>
      </c>
      <c r="G285" s="19" t="s">
        <v>112</v>
      </c>
      <c r="H285" s="19" t="s">
        <v>39</v>
      </c>
      <c r="I285" s="19">
        <v>3</v>
      </c>
      <c r="J285" s="21">
        <v>61.75</v>
      </c>
      <c r="K285" s="22">
        <v>0.1</v>
      </c>
      <c r="L285" s="21">
        <v>166.72499999999999</v>
      </c>
    </row>
    <row r="286" spans="1:12">
      <c r="A286" s="19" t="s">
        <v>356</v>
      </c>
      <c r="B286" s="20">
        <v>46126</v>
      </c>
      <c r="C286" s="19" t="s">
        <v>47</v>
      </c>
      <c r="D286" s="19" t="s">
        <v>21</v>
      </c>
      <c r="E286" s="19" t="s">
        <v>15</v>
      </c>
      <c r="F286" s="19" t="s">
        <v>48</v>
      </c>
      <c r="G286" s="19" t="s">
        <v>49</v>
      </c>
      <c r="H286" s="19" t="s">
        <v>50</v>
      </c>
      <c r="I286" s="19">
        <v>1</v>
      </c>
      <c r="J286" s="21">
        <v>4200</v>
      </c>
      <c r="K286" s="22">
        <v>0.08</v>
      </c>
      <c r="L286" s="21">
        <v>3864</v>
      </c>
    </row>
    <row r="287" spans="1:12">
      <c r="A287" s="19" t="s">
        <v>357</v>
      </c>
      <c r="B287" s="20">
        <v>46291</v>
      </c>
      <c r="C287" s="19" t="s">
        <v>20</v>
      </c>
      <c r="D287" s="19" t="s">
        <v>14</v>
      </c>
      <c r="E287" s="19" t="s">
        <v>22</v>
      </c>
      <c r="F287" s="19" t="s">
        <v>23</v>
      </c>
      <c r="G287" s="19" t="s">
        <v>24</v>
      </c>
      <c r="H287" s="19" t="s">
        <v>63</v>
      </c>
      <c r="I287" s="19">
        <v>2</v>
      </c>
      <c r="J287" s="21">
        <v>95.4</v>
      </c>
      <c r="K287" s="22">
        <v>0.05</v>
      </c>
      <c r="L287" s="21">
        <v>181.26</v>
      </c>
    </row>
    <row r="288" spans="1:12">
      <c r="A288" s="19" t="s">
        <v>358</v>
      </c>
      <c r="B288" s="20">
        <v>46179</v>
      </c>
      <c r="C288" s="19" t="s">
        <v>31</v>
      </c>
      <c r="D288" s="19" t="s">
        <v>21</v>
      </c>
      <c r="E288" s="19" t="s">
        <v>15</v>
      </c>
      <c r="F288" s="19" t="s">
        <v>73</v>
      </c>
      <c r="G288" s="19" t="s">
        <v>129</v>
      </c>
      <c r="H288" s="19" t="s">
        <v>33</v>
      </c>
      <c r="I288" s="19">
        <v>5</v>
      </c>
      <c r="J288" s="21">
        <v>33.25</v>
      </c>
      <c r="K288" s="22">
        <v>0.08</v>
      </c>
      <c r="L288" s="21">
        <v>152.95000000000002</v>
      </c>
    </row>
    <row r="289" spans="1:12">
      <c r="A289" s="19" t="s">
        <v>359</v>
      </c>
      <c r="B289" s="20">
        <v>46303</v>
      </c>
      <c r="C289" s="19" t="s">
        <v>47</v>
      </c>
      <c r="D289" s="19" t="s">
        <v>14</v>
      </c>
      <c r="E289" s="19" t="s">
        <v>22</v>
      </c>
      <c r="F289" s="19" t="s">
        <v>16</v>
      </c>
      <c r="G289" s="19" t="s">
        <v>17</v>
      </c>
      <c r="H289" s="19" t="s">
        <v>55</v>
      </c>
      <c r="I289" s="19">
        <v>4</v>
      </c>
      <c r="J289" s="21">
        <v>14.25</v>
      </c>
      <c r="K289" s="22">
        <v>0.15</v>
      </c>
      <c r="L289" s="21">
        <v>48.449999999999996</v>
      </c>
    </row>
    <row r="290" spans="1:12">
      <c r="A290" s="19" t="s">
        <v>360</v>
      </c>
      <c r="B290" s="20">
        <v>46352</v>
      </c>
      <c r="C290" s="19" t="s">
        <v>86</v>
      </c>
      <c r="D290" s="19" t="s">
        <v>41</v>
      </c>
      <c r="E290" s="19" t="s">
        <v>22</v>
      </c>
      <c r="F290" s="19" t="s">
        <v>16</v>
      </c>
      <c r="G290" s="19" t="s">
        <v>112</v>
      </c>
      <c r="H290" s="19" t="s">
        <v>87</v>
      </c>
      <c r="I290" s="19">
        <v>5</v>
      </c>
      <c r="J290" s="21">
        <v>66.3</v>
      </c>
      <c r="K290" s="22">
        <v>0.1</v>
      </c>
      <c r="L290" s="21">
        <v>298.35000000000002</v>
      </c>
    </row>
    <row r="291" spans="1:12">
      <c r="A291" s="19" t="s">
        <v>361</v>
      </c>
      <c r="B291" s="20">
        <v>46045</v>
      </c>
      <c r="C291" s="19" t="s">
        <v>86</v>
      </c>
      <c r="D291" s="19" t="s">
        <v>21</v>
      </c>
      <c r="E291" s="19" t="s">
        <v>15</v>
      </c>
      <c r="F291" s="19" t="s">
        <v>27</v>
      </c>
      <c r="G291" s="19" t="s">
        <v>155</v>
      </c>
      <c r="H291" s="19" t="s">
        <v>93</v>
      </c>
      <c r="I291" s="19">
        <v>1</v>
      </c>
      <c r="J291" s="21">
        <v>180</v>
      </c>
      <c r="K291" s="22">
        <v>0</v>
      </c>
      <c r="L291" s="21">
        <v>180</v>
      </c>
    </row>
    <row r="292" spans="1:12">
      <c r="A292" s="19" t="s">
        <v>362</v>
      </c>
      <c r="B292" s="20">
        <v>46120</v>
      </c>
      <c r="C292" s="19" t="s">
        <v>31</v>
      </c>
      <c r="D292" s="19" t="s">
        <v>21</v>
      </c>
      <c r="E292" s="19" t="s">
        <v>15</v>
      </c>
      <c r="F292" s="19" t="s">
        <v>23</v>
      </c>
      <c r="G292" s="19" t="s">
        <v>38</v>
      </c>
      <c r="H292" s="19" t="s">
        <v>33</v>
      </c>
      <c r="I292" s="19">
        <v>4</v>
      </c>
      <c r="J292" s="21">
        <v>326.39999999999998</v>
      </c>
      <c r="K292" s="22">
        <v>0.15</v>
      </c>
      <c r="L292" s="21">
        <v>1109.76</v>
      </c>
    </row>
    <row r="293" spans="1:12">
      <c r="A293" s="19" t="s">
        <v>363</v>
      </c>
      <c r="B293" s="20">
        <v>46027</v>
      </c>
      <c r="C293" s="19" t="s">
        <v>20</v>
      </c>
      <c r="D293" s="19" t="s">
        <v>41</v>
      </c>
      <c r="E293" s="19" t="s">
        <v>22</v>
      </c>
      <c r="F293" s="19" t="s">
        <v>73</v>
      </c>
      <c r="G293" s="19" t="s">
        <v>129</v>
      </c>
      <c r="H293" s="19" t="s">
        <v>63</v>
      </c>
      <c r="I293" s="19">
        <v>2</v>
      </c>
      <c r="J293" s="21">
        <v>33.950000000000003</v>
      </c>
      <c r="K293" s="22">
        <v>0.2</v>
      </c>
      <c r="L293" s="21">
        <v>54.320000000000007</v>
      </c>
    </row>
    <row r="294" spans="1:12">
      <c r="A294" s="19" t="s">
        <v>364</v>
      </c>
      <c r="B294" s="20">
        <v>46245</v>
      </c>
      <c r="C294" s="19" t="s">
        <v>86</v>
      </c>
      <c r="D294" s="19" t="s">
        <v>14</v>
      </c>
      <c r="E294" s="19" t="s">
        <v>15</v>
      </c>
      <c r="F294" s="19" t="s">
        <v>27</v>
      </c>
      <c r="G294" s="19" t="s">
        <v>155</v>
      </c>
      <c r="H294" s="19" t="s">
        <v>87</v>
      </c>
      <c r="I294" s="19">
        <v>1</v>
      </c>
      <c r="J294" s="21">
        <v>183.6</v>
      </c>
      <c r="K294" s="22">
        <v>0.15</v>
      </c>
      <c r="L294" s="21">
        <v>156.06</v>
      </c>
    </row>
    <row r="295" spans="1:12">
      <c r="A295" s="19" t="s">
        <v>365</v>
      </c>
      <c r="B295" s="20">
        <v>46346</v>
      </c>
      <c r="C295" s="19" t="s">
        <v>47</v>
      </c>
      <c r="D295" s="19" t="s">
        <v>14</v>
      </c>
      <c r="E295" s="19" t="s">
        <v>22</v>
      </c>
      <c r="F295" s="19" t="s">
        <v>16</v>
      </c>
      <c r="G295" s="19" t="s">
        <v>57</v>
      </c>
      <c r="H295" s="19" t="s">
        <v>55</v>
      </c>
      <c r="I295" s="19">
        <v>1</v>
      </c>
      <c r="J295" s="21">
        <v>38</v>
      </c>
      <c r="K295" s="22">
        <v>0.1</v>
      </c>
      <c r="L295" s="21">
        <v>34.200000000000003</v>
      </c>
    </row>
    <row r="296" spans="1:12">
      <c r="A296" s="19" t="s">
        <v>366</v>
      </c>
      <c r="B296" s="20">
        <v>46369</v>
      </c>
      <c r="C296" s="19" t="s">
        <v>47</v>
      </c>
      <c r="D296" s="19" t="s">
        <v>35</v>
      </c>
      <c r="E296" s="19" t="s">
        <v>22</v>
      </c>
      <c r="F296" s="19" t="s">
        <v>48</v>
      </c>
      <c r="G296" s="19" t="s">
        <v>54</v>
      </c>
      <c r="H296" s="19" t="s">
        <v>83</v>
      </c>
      <c r="I296" s="19">
        <v>1</v>
      </c>
      <c r="J296" s="21">
        <v>1800</v>
      </c>
      <c r="K296" s="22">
        <v>0.03</v>
      </c>
      <c r="L296" s="21">
        <v>1746</v>
      </c>
    </row>
    <row r="297" spans="1:12">
      <c r="A297" s="19" t="s">
        <v>367</v>
      </c>
      <c r="B297" s="20">
        <v>46105</v>
      </c>
      <c r="C297" s="19" t="s">
        <v>31</v>
      </c>
      <c r="D297" s="19" t="s">
        <v>14</v>
      </c>
      <c r="E297" s="19" t="s">
        <v>15</v>
      </c>
      <c r="F297" s="19" t="s">
        <v>23</v>
      </c>
      <c r="G297" s="19" t="s">
        <v>52</v>
      </c>
      <c r="H297" s="19" t="s">
        <v>79</v>
      </c>
      <c r="I297" s="19">
        <v>2</v>
      </c>
      <c r="J297" s="21">
        <v>459</v>
      </c>
      <c r="K297" s="22">
        <v>0</v>
      </c>
      <c r="L297" s="21">
        <v>918</v>
      </c>
    </row>
    <row r="298" spans="1:12">
      <c r="A298" s="19" t="s">
        <v>368</v>
      </c>
      <c r="B298" s="20">
        <v>46277</v>
      </c>
      <c r="C298" s="19" t="s">
        <v>86</v>
      </c>
      <c r="D298" s="19" t="s">
        <v>14</v>
      </c>
      <c r="E298" s="19" t="s">
        <v>15</v>
      </c>
      <c r="F298" s="19" t="s">
        <v>48</v>
      </c>
      <c r="G298" s="19" t="s">
        <v>49</v>
      </c>
      <c r="H298" s="19" t="s">
        <v>102</v>
      </c>
      <c r="I298" s="19">
        <v>2</v>
      </c>
      <c r="J298" s="21">
        <v>4200</v>
      </c>
      <c r="K298" s="22">
        <v>0.05</v>
      </c>
      <c r="L298" s="21">
        <v>7980</v>
      </c>
    </row>
    <row r="299" spans="1:12">
      <c r="A299" s="19" t="s">
        <v>369</v>
      </c>
      <c r="B299" s="20">
        <v>46155</v>
      </c>
      <c r="C299" s="19" t="s">
        <v>31</v>
      </c>
      <c r="D299" s="19" t="s">
        <v>21</v>
      </c>
      <c r="E299" s="19" t="s">
        <v>22</v>
      </c>
      <c r="F299" s="19" t="s">
        <v>23</v>
      </c>
      <c r="G299" s="19" t="s">
        <v>38</v>
      </c>
      <c r="H299" s="19" t="s">
        <v>79</v>
      </c>
      <c r="I299" s="19">
        <v>2</v>
      </c>
      <c r="J299" s="21">
        <v>320</v>
      </c>
      <c r="K299" s="22">
        <v>0.1</v>
      </c>
      <c r="L299" s="21">
        <v>576</v>
      </c>
    </row>
    <row r="300" spans="1:12">
      <c r="A300" s="19" t="s">
        <v>370</v>
      </c>
      <c r="B300" s="20">
        <v>46123</v>
      </c>
      <c r="C300" s="19" t="s">
        <v>86</v>
      </c>
      <c r="D300" s="19" t="s">
        <v>14</v>
      </c>
      <c r="E300" s="19" t="s">
        <v>15</v>
      </c>
      <c r="F300" s="19" t="s">
        <v>73</v>
      </c>
      <c r="G300" s="19" t="s">
        <v>81</v>
      </c>
      <c r="H300" s="19" t="s">
        <v>93</v>
      </c>
      <c r="I300" s="19">
        <v>3</v>
      </c>
      <c r="J300" s="21">
        <v>11.64</v>
      </c>
      <c r="K300" s="22">
        <v>0.1</v>
      </c>
      <c r="L300" s="21">
        <v>31.428000000000001</v>
      </c>
    </row>
    <row r="301" spans="1:12">
      <c r="A301" s="19" t="s">
        <v>371</v>
      </c>
      <c r="B301" s="20">
        <v>46162</v>
      </c>
      <c r="C301" s="19" t="s">
        <v>47</v>
      </c>
      <c r="D301" s="19" t="s">
        <v>35</v>
      </c>
      <c r="E301" s="19" t="s">
        <v>22</v>
      </c>
      <c r="F301" s="19" t="s">
        <v>23</v>
      </c>
      <c r="G301" s="19" t="s">
        <v>24</v>
      </c>
      <c r="H301" s="19" t="s">
        <v>50</v>
      </c>
      <c r="I301" s="19">
        <v>2</v>
      </c>
      <c r="J301" s="21">
        <v>90</v>
      </c>
      <c r="K301" s="22">
        <v>0.05</v>
      </c>
      <c r="L301" s="21">
        <v>171</v>
      </c>
    </row>
    <row r="302" spans="1:12">
      <c r="A302" s="19" t="s">
        <v>372</v>
      </c>
      <c r="B302" s="20">
        <v>46191</v>
      </c>
      <c r="C302" s="19" t="s">
        <v>13</v>
      </c>
      <c r="D302" s="19" t="s">
        <v>35</v>
      </c>
      <c r="E302" s="19" t="s">
        <v>15</v>
      </c>
      <c r="F302" s="19" t="s">
        <v>48</v>
      </c>
      <c r="G302" s="19" t="s">
        <v>96</v>
      </c>
      <c r="H302" s="19" t="s">
        <v>29</v>
      </c>
      <c r="I302" s="19">
        <v>1</v>
      </c>
      <c r="J302" s="21">
        <v>2425</v>
      </c>
      <c r="K302" s="22">
        <v>0.1</v>
      </c>
      <c r="L302" s="21">
        <v>2182.5</v>
      </c>
    </row>
    <row r="303" spans="1:12">
      <c r="A303" s="19" t="s">
        <v>373</v>
      </c>
      <c r="B303" s="20">
        <v>46093</v>
      </c>
      <c r="C303" s="19" t="s">
        <v>31</v>
      </c>
      <c r="D303" s="19" t="s">
        <v>14</v>
      </c>
      <c r="E303" s="19" t="s">
        <v>22</v>
      </c>
      <c r="F303" s="19" t="s">
        <v>23</v>
      </c>
      <c r="G303" s="19" t="s">
        <v>24</v>
      </c>
      <c r="H303" s="19" t="s">
        <v>39</v>
      </c>
      <c r="I303" s="19">
        <v>1</v>
      </c>
      <c r="J303" s="21">
        <v>90</v>
      </c>
      <c r="K303" s="22">
        <v>0.03</v>
      </c>
      <c r="L303" s="21">
        <v>87.3</v>
      </c>
    </row>
    <row r="304" spans="1:12">
      <c r="A304" s="19" t="s">
        <v>374</v>
      </c>
      <c r="B304" s="20">
        <v>46115</v>
      </c>
      <c r="C304" s="19" t="s">
        <v>20</v>
      </c>
      <c r="D304" s="19" t="s">
        <v>14</v>
      </c>
      <c r="E304" s="19" t="s">
        <v>22</v>
      </c>
      <c r="F304" s="19" t="s">
        <v>60</v>
      </c>
      <c r="G304" s="19" t="s">
        <v>67</v>
      </c>
      <c r="H304" s="19" t="s">
        <v>63</v>
      </c>
      <c r="I304" s="19">
        <v>2</v>
      </c>
      <c r="J304" s="21">
        <v>1455</v>
      </c>
      <c r="K304" s="22">
        <v>0.05</v>
      </c>
      <c r="L304" s="21">
        <v>2764.5</v>
      </c>
    </row>
    <row r="305" spans="1:12">
      <c r="A305" s="19" t="s">
        <v>375</v>
      </c>
      <c r="B305" s="20">
        <v>46338</v>
      </c>
      <c r="C305" s="19" t="s">
        <v>31</v>
      </c>
      <c r="D305" s="19" t="s">
        <v>14</v>
      </c>
      <c r="E305" s="19" t="s">
        <v>22</v>
      </c>
      <c r="F305" s="19" t="s">
        <v>16</v>
      </c>
      <c r="G305" s="19" t="s">
        <v>57</v>
      </c>
      <c r="H305" s="19" t="s">
        <v>79</v>
      </c>
      <c r="I305" s="19">
        <v>1</v>
      </c>
      <c r="J305" s="21">
        <v>36.1</v>
      </c>
      <c r="K305" s="22">
        <v>0.1</v>
      </c>
      <c r="L305" s="21">
        <v>32.49</v>
      </c>
    </row>
    <row r="306" spans="1:12">
      <c r="A306" s="19" t="s">
        <v>376</v>
      </c>
      <c r="B306" s="20">
        <v>46065</v>
      </c>
      <c r="C306" s="19" t="s">
        <v>47</v>
      </c>
      <c r="D306" s="19" t="s">
        <v>21</v>
      </c>
      <c r="E306" s="19" t="s">
        <v>22</v>
      </c>
      <c r="F306" s="19" t="s">
        <v>48</v>
      </c>
      <c r="G306" s="19" t="s">
        <v>71</v>
      </c>
      <c r="H306" s="19" t="s">
        <v>55</v>
      </c>
      <c r="I306" s="19">
        <v>2</v>
      </c>
      <c r="J306" s="21">
        <v>3328</v>
      </c>
      <c r="K306" s="22">
        <v>0.05</v>
      </c>
      <c r="L306" s="21">
        <v>6323.2</v>
      </c>
    </row>
    <row r="307" spans="1:12">
      <c r="A307" s="19" t="s">
        <v>377</v>
      </c>
      <c r="B307" s="20">
        <v>46295</v>
      </c>
      <c r="C307" s="19" t="s">
        <v>20</v>
      </c>
      <c r="D307" s="19" t="s">
        <v>41</v>
      </c>
      <c r="E307" s="19" t="s">
        <v>22</v>
      </c>
      <c r="F307" s="19" t="s">
        <v>16</v>
      </c>
      <c r="G307" s="19" t="s">
        <v>17</v>
      </c>
      <c r="H307" s="19" t="s">
        <v>58</v>
      </c>
      <c r="I307" s="19">
        <v>3</v>
      </c>
      <c r="J307" s="21">
        <v>14.25</v>
      </c>
      <c r="K307" s="22">
        <v>0.15</v>
      </c>
      <c r="L307" s="21">
        <v>36.337499999999999</v>
      </c>
    </row>
    <row r="308" spans="1:12">
      <c r="A308" s="19" t="s">
        <v>378</v>
      </c>
      <c r="B308" s="20">
        <v>46285</v>
      </c>
      <c r="C308" s="19" t="s">
        <v>31</v>
      </c>
      <c r="D308" s="19" t="s">
        <v>41</v>
      </c>
      <c r="E308" s="19" t="s">
        <v>22</v>
      </c>
      <c r="F308" s="19" t="s">
        <v>27</v>
      </c>
      <c r="G308" s="19" t="s">
        <v>36</v>
      </c>
      <c r="H308" s="19" t="s">
        <v>33</v>
      </c>
      <c r="I308" s="19">
        <v>5</v>
      </c>
      <c r="J308" s="21">
        <v>750</v>
      </c>
      <c r="K308" s="22">
        <v>0.03</v>
      </c>
      <c r="L308" s="21">
        <v>3637.5</v>
      </c>
    </row>
    <row r="309" spans="1:12">
      <c r="A309" s="19" t="s">
        <v>379</v>
      </c>
      <c r="B309" s="20">
        <v>46075</v>
      </c>
      <c r="C309" s="19" t="s">
        <v>20</v>
      </c>
      <c r="D309" s="19" t="s">
        <v>41</v>
      </c>
      <c r="E309" s="19" t="s">
        <v>22</v>
      </c>
      <c r="F309" s="19" t="s">
        <v>73</v>
      </c>
      <c r="G309" s="19" t="s">
        <v>129</v>
      </c>
      <c r="H309" s="19" t="s">
        <v>25</v>
      </c>
      <c r="I309" s="19">
        <v>6</v>
      </c>
      <c r="J309" s="21">
        <v>35.700000000000003</v>
      </c>
      <c r="K309" s="22">
        <v>0.15</v>
      </c>
      <c r="L309" s="21">
        <v>182.07000000000002</v>
      </c>
    </row>
    <row r="310" spans="1:12">
      <c r="A310" s="19" t="s">
        <v>380</v>
      </c>
      <c r="B310" s="20">
        <v>46071</v>
      </c>
      <c r="C310" s="19" t="s">
        <v>86</v>
      </c>
      <c r="D310" s="19" t="s">
        <v>14</v>
      </c>
      <c r="E310" s="19" t="s">
        <v>15</v>
      </c>
      <c r="F310" s="19" t="s">
        <v>60</v>
      </c>
      <c r="G310" s="19" t="s">
        <v>91</v>
      </c>
      <c r="H310" s="19" t="s">
        <v>87</v>
      </c>
      <c r="I310" s="19">
        <v>1</v>
      </c>
      <c r="J310" s="21">
        <v>603.20000000000005</v>
      </c>
      <c r="K310" s="22">
        <v>0</v>
      </c>
      <c r="L310" s="21">
        <v>603.20000000000005</v>
      </c>
    </row>
    <row r="311" spans="1:12">
      <c r="A311" s="19" t="s">
        <v>381</v>
      </c>
      <c r="B311" s="20">
        <v>46259</v>
      </c>
      <c r="C311" s="19" t="s">
        <v>47</v>
      </c>
      <c r="D311" s="19" t="s">
        <v>14</v>
      </c>
      <c r="E311" s="19" t="s">
        <v>15</v>
      </c>
      <c r="F311" s="19" t="s">
        <v>23</v>
      </c>
      <c r="G311" s="19" t="s">
        <v>138</v>
      </c>
      <c r="H311" s="19" t="s">
        <v>55</v>
      </c>
      <c r="I311" s="19">
        <v>5</v>
      </c>
      <c r="J311" s="21">
        <v>61.2</v>
      </c>
      <c r="K311" s="22">
        <v>0</v>
      </c>
      <c r="L311" s="21">
        <v>306</v>
      </c>
    </row>
    <row r="312" spans="1:12">
      <c r="A312" s="19" t="s">
        <v>382</v>
      </c>
      <c r="B312" s="20">
        <v>46223</v>
      </c>
      <c r="C312" s="19" t="s">
        <v>20</v>
      </c>
      <c r="D312" s="19" t="s">
        <v>14</v>
      </c>
      <c r="E312" s="19" t="s">
        <v>22</v>
      </c>
      <c r="F312" s="19" t="s">
        <v>23</v>
      </c>
      <c r="G312" s="19" t="s">
        <v>24</v>
      </c>
      <c r="H312" s="19" t="s">
        <v>58</v>
      </c>
      <c r="I312" s="19">
        <v>2</v>
      </c>
      <c r="J312" s="21">
        <v>85.5</v>
      </c>
      <c r="K312" s="22">
        <v>0.15</v>
      </c>
      <c r="L312" s="21">
        <v>145.35</v>
      </c>
    </row>
    <row r="313" spans="1:12">
      <c r="A313" s="19" t="s">
        <v>383</v>
      </c>
      <c r="B313" s="20">
        <v>46136</v>
      </c>
      <c r="C313" s="19" t="s">
        <v>20</v>
      </c>
      <c r="D313" s="19" t="s">
        <v>14</v>
      </c>
      <c r="E313" s="19" t="s">
        <v>22</v>
      </c>
      <c r="F313" s="19" t="s">
        <v>48</v>
      </c>
      <c r="G313" s="19" t="s">
        <v>54</v>
      </c>
      <c r="H313" s="19" t="s">
        <v>58</v>
      </c>
      <c r="I313" s="19">
        <v>1</v>
      </c>
      <c r="J313" s="21">
        <v>1800</v>
      </c>
      <c r="K313" s="22">
        <v>0.05</v>
      </c>
      <c r="L313" s="21">
        <v>1710</v>
      </c>
    </row>
    <row r="314" spans="1:12">
      <c r="A314" s="19" t="s">
        <v>384</v>
      </c>
      <c r="B314" s="20">
        <v>46293</v>
      </c>
      <c r="C314" s="19" t="s">
        <v>31</v>
      </c>
      <c r="D314" s="19" t="s">
        <v>14</v>
      </c>
      <c r="E314" s="19" t="s">
        <v>22</v>
      </c>
      <c r="F314" s="19" t="s">
        <v>23</v>
      </c>
      <c r="G314" s="19" t="s">
        <v>138</v>
      </c>
      <c r="H314" s="19" t="s">
        <v>79</v>
      </c>
      <c r="I314" s="19">
        <v>4</v>
      </c>
      <c r="J314" s="21">
        <v>60</v>
      </c>
      <c r="K314" s="22">
        <v>0.08</v>
      </c>
      <c r="L314" s="21">
        <v>220.8</v>
      </c>
    </row>
    <row r="315" spans="1:12">
      <c r="A315" s="19" t="s">
        <v>385</v>
      </c>
      <c r="B315" s="20">
        <v>46088</v>
      </c>
      <c r="C315" s="19" t="s">
        <v>47</v>
      </c>
      <c r="D315" s="19" t="s">
        <v>21</v>
      </c>
      <c r="E315" s="19" t="s">
        <v>22</v>
      </c>
      <c r="F315" s="19" t="s">
        <v>60</v>
      </c>
      <c r="G315" s="19" t="s">
        <v>67</v>
      </c>
      <c r="H315" s="19" t="s">
        <v>83</v>
      </c>
      <c r="I315" s="19">
        <v>2</v>
      </c>
      <c r="J315" s="21">
        <v>1425</v>
      </c>
      <c r="K315" s="22">
        <v>0</v>
      </c>
      <c r="L315" s="21">
        <v>2850</v>
      </c>
    </row>
    <row r="316" spans="1:12">
      <c r="A316" s="19" t="s">
        <v>386</v>
      </c>
      <c r="B316" s="20">
        <v>46278</v>
      </c>
      <c r="C316" s="19" t="s">
        <v>31</v>
      </c>
      <c r="D316" s="19" t="s">
        <v>41</v>
      </c>
      <c r="E316" s="19" t="s">
        <v>22</v>
      </c>
      <c r="F316" s="19" t="s">
        <v>16</v>
      </c>
      <c r="G316" s="19" t="s">
        <v>112</v>
      </c>
      <c r="H316" s="19" t="s">
        <v>33</v>
      </c>
      <c r="I316" s="19">
        <v>5</v>
      </c>
      <c r="J316" s="21">
        <v>65</v>
      </c>
      <c r="K316" s="22">
        <v>0.05</v>
      </c>
      <c r="L316" s="21">
        <v>308.75</v>
      </c>
    </row>
    <row r="317" spans="1:12">
      <c r="A317" s="19" t="s">
        <v>387</v>
      </c>
      <c r="B317" s="20">
        <v>46034</v>
      </c>
      <c r="C317" s="19" t="s">
        <v>13</v>
      </c>
      <c r="D317" s="19" t="s">
        <v>14</v>
      </c>
      <c r="E317" s="19" t="s">
        <v>22</v>
      </c>
      <c r="F317" s="19" t="s">
        <v>60</v>
      </c>
      <c r="G317" s="19" t="s">
        <v>91</v>
      </c>
      <c r="H317" s="19" t="s">
        <v>29</v>
      </c>
      <c r="I317" s="19">
        <v>1</v>
      </c>
      <c r="J317" s="21">
        <v>551</v>
      </c>
      <c r="K317" s="22">
        <v>0.05</v>
      </c>
      <c r="L317" s="21">
        <v>523.44999999999993</v>
      </c>
    </row>
    <row r="318" spans="1:12">
      <c r="A318" s="19" t="s">
        <v>388</v>
      </c>
      <c r="B318" s="20">
        <v>46109</v>
      </c>
      <c r="C318" s="19" t="s">
        <v>20</v>
      </c>
      <c r="D318" s="19" t="s">
        <v>21</v>
      </c>
      <c r="E318" s="19" t="s">
        <v>15</v>
      </c>
      <c r="F318" s="19" t="s">
        <v>73</v>
      </c>
      <c r="G318" s="19" t="s">
        <v>129</v>
      </c>
      <c r="H318" s="19" t="s">
        <v>25</v>
      </c>
      <c r="I318" s="19">
        <v>2</v>
      </c>
      <c r="J318" s="21">
        <v>33.950000000000003</v>
      </c>
      <c r="K318" s="22">
        <v>0.03</v>
      </c>
      <c r="L318" s="21">
        <v>65.863</v>
      </c>
    </row>
    <row r="319" spans="1:12">
      <c r="A319" s="19" t="s">
        <v>389</v>
      </c>
      <c r="B319" s="20">
        <v>46351</v>
      </c>
      <c r="C319" s="19" t="s">
        <v>47</v>
      </c>
      <c r="D319" s="19" t="s">
        <v>41</v>
      </c>
      <c r="E319" s="19" t="s">
        <v>22</v>
      </c>
      <c r="F319" s="19" t="s">
        <v>23</v>
      </c>
      <c r="G319" s="19" t="s">
        <v>138</v>
      </c>
      <c r="H319" s="19" t="s">
        <v>55</v>
      </c>
      <c r="I319" s="19">
        <v>3</v>
      </c>
      <c r="J319" s="21">
        <v>62.4</v>
      </c>
      <c r="K319" s="22">
        <v>0.15</v>
      </c>
      <c r="L319" s="21">
        <v>159.11999999999998</v>
      </c>
    </row>
    <row r="320" spans="1:12">
      <c r="A320" s="19" t="s">
        <v>390</v>
      </c>
      <c r="B320" s="20">
        <v>46052</v>
      </c>
      <c r="C320" s="19" t="s">
        <v>31</v>
      </c>
      <c r="D320" s="19" t="s">
        <v>14</v>
      </c>
      <c r="E320" s="19" t="s">
        <v>22</v>
      </c>
      <c r="F320" s="19" t="s">
        <v>16</v>
      </c>
      <c r="G320" s="19" t="s">
        <v>65</v>
      </c>
      <c r="H320" s="19" t="s">
        <v>33</v>
      </c>
      <c r="I320" s="19">
        <v>4</v>
      </c>
      <c r="J320" s="21">
        <v>80</v>
      </c>
      <c r="K320" s="22">
        <v>0.08</v>
      </c>
      <c r="L320" s="21">
        <v>294.40000000000003</v>
      </c>
    </row>
    <row r="321" spans="1:12">
      <c r="A321" s="19" t="s">
        <v>391</v>
      </c>
      <c r="B321" s="20">
        <v>46186</v>
      </c>
      <c r="C321" s="19" t="s">
        <v>47</v>
      </c>
      <c r="D321" s="19" t="s">
        <v>21</v>
      </c>
      <c r="E321" s="19" t="s">
        <v>15</v>
      </c>
      <c r="F321" s="19" t="s">
        <v>48</v>
      </c>
      <c r="G321" s="19" t="s">
        <v>99</v>
      </c>
      <c r="H321" s="19" t="s">
        <v>55</v>
      </c>
      <c r="I321" s="19">
        <v>1</v>
      </c>
      <c r="J321" s="21">
        <v>3120</v>
      </c>
      <c r="K321" s="22">
        <v>0</v>
      </c>
      <c r="L321" s="21">
        <v>3120</v>
      </c>
    </row>
    <row r="322" spans="1:12">
      <c r="A322" s="19" t="s">
        <v>392</v>
      </c>
      <c r="B322" s="20">
        <v>46383</v>
      </c>
      <c r="C322" s="19" t="s">
        <v>86</v>
      </c>
      <c r="D322" s="19" t="s">
        <v>35</v>
      </c>
      <c r="E322" s="19" t="s">
        <v>22</v>
      </c>
      <c r="F322" s="19" t="s">
        <v>48</v>
      </c>
      <c r="G322" s="19" t="s">
        <v>71</v>
      </c>
      <c r="H322" s="19" t="s">
        <v>87</v>
      </c>
      <c r="I322" s="19">
        <v>1</v>
      </c>
      <c r="J322" s="21">
        <v>3392</v>
      </c>
      <c r="K322" s="22">
        <v>0.2</v>
      </c>
      <c r="L322" s="21">
        <v>2713.6000000000004</v>
      </c>
    </row>
    <row r="323" spans="1:12">
      <c r="A323" s="19" t="s">
        <v>393</v>
      </c>
      <c r="B323" s="20">
        <v>46151</v>
      </c>
      <c r="C323" s="19" t="s">
        <v>86</v>
      </c>
      <c r="D323" s="19" t="s">
        <v>35</v>
      </c>
      <c r="E323" s="19" t="s">
        <v>22</v>
      </c>
      <c r="F323" s="19" t="s">
        <v>48</v>
      </c>
      <c r="G323" s="19" t="s">
        <v>96</v>
      </c>
      <c r="H323" s="19" t="s">
        <v>87</v>
      </c>
      <c r="I323" s="19">
        <v>2</v>
      </c>
      <c r="J323" s="21">
        <v>2500</v>
      </c>
      <c r="K323" s="22">
        <v>0.15</v>
      </c>
      <c r="L323" s="21">
        <v>4250</v>
      </c>
    </row>
    <row r="324" spans="1:12">
      <c r="A324" s="19" t="s">
        <v>394</v>
      </c>
      <c r="B324" s="20">
        <v>46184</v>
      </c>
      <c r="C324" s="19" t="s">
        <v>13</v>
      </c>
      <c r="D324" s="19" t="s">
        <v>35</v>
      </c>
      <c r="E324" s="19" t="s">
        <v>22</v>
      </c>
      <c r="F324" s="19" t="s">
        <v>27</v>
      </c>
      <c r="G324" s="19" t="s">
        <v>28</v>
      </c>
      <c r="H324" s="19" t="s">
        <v>43</v>
      </c>
      <c r="I324" s="19">
        <v>6</v>
      </c>
      <c r="J324" s="21">
        <v>20.8</v>
      </c>
      <c r="K324" s="22">
        <v>0.1</v>
      </c>
      <c r="L324" s="21">
        <v>112.32000000000001</v>
      </c>
    </row>
    <row r="325" spans="1:12">
      <c r="A325" s="19" t="s">
        <v>395</v>
      </c>
      <c r="B325" s="20">
        <v>46284</v>
      </c>
      <c r="C325" s="19" t="s">
        <v>47</v>
      </c>
      <c r="D325" s="19" t="s">
        <v>14</v>
      </c>
      <c r="E325" s="19" t="s">
        <v>22</v>
      </c>
      <c r="F325" s="19" t="s">
        <v>23</v>
      </c>
      <c r="G325" s="19" t="s">
        <v>24</v>
      </c>
      <c r="H325" s="19" t="s">
        <v>55</v>
      </c>
      <c r="I325" s="19">
        <v>3</v>
      </c>
      <c r="J325" s="21">
        <v>91.8</v>
      </c>
      <c r="K325" s="22">
        <v>0.1</v>
      </c>
      <c r="L325" s="21">
        <v>247.85999999999999</v>
      </c>
    </row>
    <row r="326" spans="1:12">
      <c r="A326" s="19" t="s">
        <v>396</v>
      </c>
      <c r="B326" s="20">
        <v>46332</v>
      </c>
      <c r="C326" s="19" t="s">
        <v>86</v>
      </c>
      <c r="D326" s="19" t="s">
        <v>21</v>
      </c>
      <c r="E326" s="19" t="s">
        <v>22</v>
      </c>
      <c r="F326" s="19" t="s">
        <v>73</v>
      </c>
      <c r="G326" s="19" t="s">
        <v>74</v>
      </c>
      <c r="H326" s="19" t="s">
        <v>87</v>
      </c>
      <c r="I326" s="19">
        <v>7</v>
      </c>
      <c r="J326" s="21">
        <v>8</v>
      </c>
      <c r="K326" s="22">
        <v>0.15</v>
      </c>
      <c r="L326" s="21">
        <v>47.6</v>
      </c>
    </row>
    <row r="327" spans="1:12">
      <c r="A327" s="19" t="s">
        <v>397</v>
      </c>
      <c r="B327" s="20">
        <v>46065</v>
      </c>
      <c r="C327" s="19" t="s">
        <v>31</v>
      </c>
      <c r="D327" s="19" t="s">
        <v>41</v>
      </c>
      <c r="E327" s="19" t="s">
        <v>22</v>
      </c>
      <c r="F327" s="19" t="s">
        <v>73</v>
      </c>
      <c r="G327" s="19" t="s">
        <v>129</v>
      </c>
      <c r="H327" s="19" t="s">
        <v>79</v>
      </c>
      <c r="I327" s="19">
        <v>3</v>
      </c>
      <c r="J327" s="21">
        <v>35</v>
      </c>
      <c r="K327" s="22">
        <v>0.08</v>
      </c>
      <c r="L327" s="21">
        <v>96.600000000000009</v>
      </c>
    </row>
    <row r="328" spans="1:12">
      <c r="A328" s="19" t="s">
        <v>398</v>
      </c>
      <c r="B328" s="20">
        <v>46201</v>
      </c>
      <c r="C328" s="19" t="s">
        <v>13</v>
      </c>
      <c r="D328" s="19" t="s">
        <v>21</v>
      </c>
      <c r="E328" s="19" t="s">
        <v>22</v>
      </c>
      <c r="F328" s="19" t="s">
        <v>60</v>
      </c>
      <c r="G328" s="19" t="s">
        <v>61</v>
      </c>
      <c r="H328" s="19" t="s">
        <v>29</v>
      </c>
      <c r="I328" s="19">
        <v>3</v>
      </c>
      <c r="J328" s="21">
        <v>824.5</v>
      </c>
      <c r="K328" s="22">
        <v>0.08</v>
      </c>
      <c r="L328" s="21">
        <v>2275.62</v>
      </c>
    </row>
    <row r="329" spans="1:12">
      <c r="A329" s="19" t="s">
        <v>399</v>
      </c>
      <c r="B329" s="20">
        <v>46201</v>
      </c>
      <c r="C329" s="19" t="s">
        <v>47</v>
      </c>
      <c r="D329" s="19" t="s">
        <v>14</v>
      </c>
      <c r="E329" s="19" t="s">
        <v>15</v>
      </c>
      <c r="F329" s="19" t="s">
        <v>48</v>
      </c>
      <c r="G329" s="19" t="s">
        <v>99</v>
      </c>
      <c r="H329" s="19" t="s">
        <v>50</v>
      </c>
      <c r="I329" s="19">
        <v>1</v>
      </c>
      <c r="J329" s="21">
        <v>3180</v>
      </c>
      <c r="K329" s="22">
        <v>0.15</v>
      </c>
      <c r="L329" s="21">
        <v>2703</v>
      </c>
    </row>
    <row r="330" spans="1:12">
      <c r="A330" s="19" t="s">
        <v>400</v>
      </c>
      <c r="B330" s="20">
        <v>46311</v>
      </c>
      <c r="C330" s="19" t="s">
        <v>86</v>
      </c>
      <c r="D330" s="19" t="s">
        <v>41</v>
      </c>
      <c r="E330" s="19" t="s">
        <v>15</v>
      </c>
      <c r="F330" s="19" t="s">
        <v>16</v>
      </c>
      <c r="G330" s="19" t="s">
        <v>69</v>
      </c>
      <c r="H330" s="19" t="s">
        <v>87</v>
      </c>
      <c r="I330" s="19">
        <v>1</v>
      </c>
      <c r="J330" s="21">
        <v>55</v>
      </c>
      <c r="K330" s="22">
        <v>0.1</v>
      </c>
      <c r="L330" s="21">
        <v>49.5</v>
      </c>
    </row>
    <row r="331" spans="1:12">
      <c r="A331" s="19" t="s">
        <v>401</v>
      </c>
      <c r="B331" s="20">
        <v>46311</v>
      </c>
      <c r="C331" s="19" t="s">
        <v>47</v>
      </c>
      <c r="D331" s="19" t="s">
        <v>35</v>
      </c>
      <c r="E331" s="19" t="s">
        <v>15</v>
      </c>
      <c r="F331" s="19" t="s">
        <v>60</v>
      </c>
      <c r="G331" s="19" t="s">
        <v>76</v>
      </c>
      <c r="H331" s="19" t="s">
        <v>50</v>
      </c>
      <c r="I331" s="19">
        <v>1</v>
      </c>
      <c r="J331" s="21">
        <v>728</v>
      </c>
      <c r="K331" s="22">
        <v>0.08</v>
      </c>
      <c r="L331" s="21">
        <v>669.76</v>
      </c>
    </row>
    <row r="332" spans="1:12">
      <c r="A332" s="19" t="s">
        <v>402</v>
      </c>
      <c r="B332" s="20">
        <v>46029</v>
      </c>
      <c r="C332" s="19" t="s">
        <v>13</v>
      </c>
      <c r="D332" s="19" t="s">
        <v>41</v>
      </c>
      <c r="E332" s="19" t="s">
        <v>22</v>
      </c>
      <c r="F332" s="19" t="s">
        <v>23</v>
      </c>
      <c r="G332" s="19" t="s">
        <v>38</v>
      </c>
      <c r="H332" s="19" t="s">
        <v>18</v>
      </c>
      <c r="I332" s="19">
        <v>4</v>
      </c>
      <c r="J332" s="21">
        <v>304</v>
      </c>
      <c r="K332" s="22">
        <v>0.08</v>
      </c>
      <c r="L332" s="21">
        <v>1118.72</v>
      </c>
    </row>
    <row r="333" spans="1:12">
      <c r="A333" s="19" t="s">
        <v>403</v>
      </c>
      <c r="B333" s="20">
        <v>46110</v>
      </c>
      <c r="C333" s="19" t="s">
        <v>86</v>
      </c>
      <c r="D333" s="19" t="s">
        <v>14</v>
      </c>
      <c r="E333" s="19" t="s">
        <v>22</v>
      </c>
      <c r="F333" s="19" t="s">
        <v>60</v>
      </c>
      <c r="G333" s="19" t="s">
        <v>61</v>
      </c>
      <c r="H333" s="19" t="s">
        <v>102</v>
      </c>
      <c r="I333" s="19">
        <v>3</v>
      </c>
      <c r="J333" s="21">
        <v>824.5</v>
      </c>
      <c r="K333" s="22">
        <v>0.03</v>
      </c>
      <c r="L333" s="21">
        <v>2399.2950000000001</v>
      </c>
    </row>
    <row r="334" spans="1:12">
      <c r="A334" s="19" t="s">
        <v>404</v>
      </c>
      <c r="B334" s="20">
        <v>46190</v>
      </c>
      <c r="C334" s="19" t="s">
        <v>20</v>
      </c>
      <c r="D334" s="19" t="s">
        <v>14</v>
      </c>
      <c r="E334" s="19" t="s">
        <v>22</v>
      </c>
      <c r="F334" s="19" t="s">
        <v>27</v>
      </c>
      <c r="G334" s="19" t="s">
        <v>28</v>
      </c>
      <c r="H334" s="19" t="s">
        <v>63</v>
      </c>
      <c r="I334" s="19">
        <v>2</v>
      </c>
      <c r="J334" s="21">
        <v>21.2</v>
      </c>
      <c r="K334" s="22">
        <v>0.05</v>
      </c>
      <c r="L334" s="21">
        <v>40.279999999999994</v>
      </c>
    </row>
    <row r="335" spans="1:12">
      <c r="A335" s="19" t="s">
        <v>405</v>
      </c>
      <c r="B335" s="20">
        <v>46030</v>
      </c>
      <c r="C335" s="19" t="s">
        <v>13</v>
      </c>
      <c r="D335" s="19" t="s">
        <v>14</v>
      </c>
      <c r="E335" s="19" t="s">
        <v>22</v>
      </c>
      <c r="F335" s="19" t="s">
        <v>60</v>
      </c>
      <c r="G335" s="19" t="s">
        <v>61</v>
      </c>
      <c r="H335" s="19" t="s">
        <v>18</v>
      </c>
      <c r="I335" s="19">
        <v>1</v>
      </c>
      <c r="J335" s="21">
        <v>824.5</v>
      </c>
      <c r="K335" s="22">
        <v>0.08</v>
      </c>
      <c r="L335" s="21">
        <v>758.54000000000008</v>
      </c>
    </row>
    <row r="336" spans="1:12">
      <c r="A336" s="19" t="s">
        <v>406</v>
      </c>
      <c r="B336" s="20">
        <v>46163</v>
      </c>
      <c r="C336" s="19" t="s">
        <v>86</v>
      </c>
      <c r="D336" s="19" t="s">
        <v>21</v>
      </c>
      <c r="E336" s="19" t="s">
        <v>15</v>
      </c>
      <c r="F336" s="19" t="s">
        <v>27</v>
      </c>
      <c r="G336" s="19" t="s">
        <v>32</v>
      </c>
      <c r="H336" s="19" t="s">
        <v>102</v>
      </c>
      <c r="I336" s="19">
        <v>1</v>
      </c>
      <c r="J336" s="21">
        <v>266</v>
      </c>
      <c r="K336" s="22">
        <v>0</v>
      </c>
      <c r="L336" s="21">
        <v>266</v>
      </c>
    </row>
    <row r="337" spans="1:12">
      <c r="A337" s="19" t="s">
        <v>407</v>
      </c>
      <c r="B337" s="20">
        <v>46191</v>
      </c>
      <c r="C337" s="19" t="s">
        <v>86</v>
      </c>
      <c r="D337" s="19" t="s">
        <v>35</v>
      </c>
      <c r="E337" s="19" t="s">
        <v>15</v>
      </c>
      <c r="F337" s="19" t="s">
        <v>23</v>
      </c>
      <c r="G337" s="19" t="s">
        <v>52</v>
      </c>
      <c r="H337" s="19" t="s">
        <v>87</v>
      </c>
      <c r="I337" s="19">
        <v>6</v>
      </c>
      <c r="J337" s="21">
        <v>450</v>
      </c>
      <c r="K337" s="22">
        <v>0.03</v>
      </c>
      <c r="L337" s="21">
        <v>2619</v>
      </c>
    </row>
    <row r="338" spans="1:12">
      <c r="A338" s="19" t="s">
        <v>408</v>
      </c>
      <c r="B338" s="20">
        <v>46132</v>
      </c>
      <c r="C338" s="19" t="s">
        <v>13</v>
      </c>
      <c r="D338" s="19" t="s">
        <v>21</v>
      </c>
      <c r="E338" s="19" t="s">
        <v>22</v>
      </c>
      <c r="F338" s="19" t="s">
        <v>60</v>
      </c>
      <c r="G338" s="19" t="s">
        <v>91</v>
      </c>
      <c r="H338" s="19" t="s">
        <v>18</v>
      </c>
      <c r="I338" s="19">
        <v>1</v>
      </c>
      <c r="J338" s="21">
        <v>580</v>
      </c>
      <c r="K338" s="22">
        <v>0</v>
      </c>
      <c r="L338" s="21">
        <v>580</v>
      </c>
    </row>
    <row r="339" spans="1:12">
      <c r="A339" s="19" t="s">
        <v>409</v>
      </c>
      <c r="B339" s="20">
        <v>46259</v>
      </c>
      <c r="C339" s="19" t="s">
        <v>86</v>
      </c>
      <c r="D339" s="19" t="s">
        <v>21</v>
      </c>
      <c r="E339" s="19" t="s">
        <v>15</v>
      </c>
      <c r="F339" s="19" t="s">
        <v>23</v>
      </c>
      <c r="G339" s="19" t="s">
        <v>138</v>
      </c>
      <c r="H339" s="19" t="s">
        <v>93</v>
      </c>
      <c r="I339" s="19">
        <v>1</v>
      </c>
      <c r="J339" s="21">
        <v>60</v>
      </c>
      <c r="K339" s="22">
        <v>0.05</v>
      </c>
      <c r="L339" s="21">
        <v>57</v>
      </c>
    </row>
    <row r="340" spans="1:12">
      <c r="A340" s="19" t="s">
        <v>410</v>
      </c>
      <c r="B340" s="20">
        <v>46281</v>
      </c>
      <c r="C340" s="19" t="s">
        <v>86</v>
      </c>
      <c r="D340" s="19" t="s">
        <v>14</v>
      </c>
      <c r="E340" s="19" t="s">
        <v>22</v>
      </c>
      <c r="F340" s="19" t="s">
        <v>27</v>
      </c>
      <c r="G340" s="19" t="s">
        <v>155</v>
      </c>
      <c r="H340" s="19" t="s">
        <v>93</v>
      </c>
      <c r="I340" s="19">
        <v>7</v>
      </c>
      <c r="J340" s="21">
        <v>180</v>
      </c>
      <c r="K340" s="22">
        <v>0.1</v>
      </c>
      <c r="L340" s="21">
        <v>1134</v>
      </c>
    </row>
    <row r="341" spans="1:12">
      <c r="A341" s="19" t="s">
        <v>411</v>
      </c>
      <c r="B341" s="20">
        <v>46299</v>
      </c>
      <c r="C341" s="19" t="s">
        <v>47</v>
      </c>
      <c r="D341" s="19" t="s">
        <v>35</v>
      </c>
      <c r="E341" s="19" t="s">
        <v>22</v>
      </c>
      <c r="F341" s="19" t="s">
        <v>27</v>
      </c>
      <c r="G341" s="19" t="s">
        <v>28</v>
      </c>
      <c r="H341" s="19" t="s">
        <v>50</v>
      </c>
      <c r="I341" s="19">
        <v>2</v>
      </c>
      <c r="J341" s="21">
        <v>21.2</v>
      </c>
      <c r="K341" s="22">
        <v>0.15</v>
      </c>
      <c r="L341" s="21">
        <v>36.04</v>
      </c>
    </row>
    <row r="342" spans="1:12">
      <c r="A342" s="19" t="s">
        <v>412</v>
      </c>
      <c r="B342" s="20">
        <v>46338</v>
      </c>
      <c r="C342" s="19" t="s">
        <v>47</v>
      </c>
      <c r="D342" s="19" t="s">
        <v>14</v>
      </c>
      <c r="E342" s="19" t="s">
        <v>22</v>
      </c>
      <c r="F342" s="19" t="s">
        <v>16</v>
      </c>
      <c r="G342" s="19" t="s">
        <v>42</v>
      </c>
      <c r="H342" s="19" t="s">
        <v>50</v>
      </c>
      <c r="I342" s="19">
        <v>5</v>
      </c>
      <c r="J342" s="21">
        <v>42.75</v>
      </c>
      <c r="K342" s="22">
        <v>0.1</v>
      </c>
      <c r="L342" s="21">
        <v>192.375</v>
      </c>
    </row>
    <row r="343" spans="1:12">
      <c r="A343" s="19" t="s">
        <v>413</v>
      </c>
      <c r="B343" s="20">
        <v>46171</v>
      </c>
      <c r="C343" s="19" t="s">
        <v>20</v>
      </c>
      <c r="D343" s="19" t="s">
        <v>21</v>
      </c>
      <c r="E343" s="19" t="s">
        <v>22</v>
      </c>
      <c r="F343" s="19" t="s">
        <v>16</v>
      </c>
      <c r="G343" s="19" t="s">
        <v>57</v>
      </c>
      <c r="H343" s="19" t="s">
        <v>63</v>
      </c>
      <c r="I343" s="19">
        <v>1</v>
      </c>
      <c r="J343" s="21">
        <v>38</v>
      </c>
      <c r="K343" s="22">
        <v>0.05</v>
      </c>
      <c r="L343" s="21">
        <v>36.1</v>
      </c>
    </row>
    <row r="344" spans="1:12">
      <c r="A344" s="19" t="s">
        <v>414</v>
      </c>
      <c r="B344" s="20">
        <v>46125</v>
      </c>
      <c r="C344" s="19" t="s">
        <v>13</v>
      </c>
      <c r="D344" s="19" t="s">
        <v>21</v>
      </c>
      <c r="E344" s="19" t="s">
        <v>22</v>
      </c>
      <c r="F344" s="19" t="s">
        <v>73</v>
      </c>
      <c r="G344" s="19" t="s">
        <v>81</v>
      </c>
      <c r="H344" s="19" t="s">
        <v>18</v>
      </c>
      <c r="I344" s="19">
        <v>1</v>
      </c>
      <c r="J344" s="21">
        <v>11.64</v>
      </c>
      <c r="K344" s="22">
        <v>0.08</v>
      </c>
      <c r="L344" s="21">
        <v>10.708800000000002</v>
      </c>
    </row>
    <row r="345" spans="1:12">
      <c r="A345" s="19" t="s">
        <v>415</v>
      </c>
      <c r="B345" s="20">
        <v>46072</v>
      </c>
      <c r="C345" s="19" t="s">
        <v>20</v>
      </c>
      <c r="D345" s="19" t="s">
        <v>21</v>
      </c>
      <c r="E345" s="19" t="s">
        <v>22</v>
      </c>
      <c r="F345" s="19" t="s">
        <v>23</v>
      </c>
      <c r="G345" s="19" t="s">
        <v>138</v>
      </c>
      <c r="H345" s="19" t="s">
        <v>58</v>
      </c>
      <c r="I345" s="19">
        <v>5</v>
      </c>
      <c r="J345" s="21">
        <v>57</v>
      </c>
      <c r="K345" s="22">
        <v>0.15</v>
      </c>
      <c r="L345" s="21">
        <v>242.25</v>
      </c>
    </row>
    <row r="346" spans="1:12">
      <c r="A346" s="19" t="s">
        <v>416</v>
      </c>
      <c r="B346" s="20">
        <v>46361</v>
      </c>
      <c r="C346" s="19" t="s">
        <v>20</v>
      </c>
      <c r="D346" s="19" t="s">
        <v>21</v>
      </c>
      <c r="E346" s="19" t="s">
        <v>22</v>
      </c>
      <c r="F346" s="19" t="s">
        <v>60</v>
      </c>
      <c r="G346" s="19" t="s">
        <v>91</v>
      </c>
      <c r="H346" s="19" t="s">
        <v>58</v>
      </c>
      <c r="I346" s="19">
        <v>2</v>
      </c>
      <c r="J346" s="21">
        <v>580</v>
      </c>
      <c r="K346" s="22">
        <v>0</v>
      </c>
      <c r="L346" s="21">
        <v>1160</v>
      </c>
    </row>
    <row r="347" spans="1:12">
      <c r="A347" s="19" t="s">
        <v>417</v>
      </c>
      <c r="B347" s="20">
        <v>46227</v>
      </c>
      <c r="C347" s="19" t="s">
        <v>20</v>
      </c>
      <c r="D347" s="19" t="s">
        <v>21</v>
      </c>
      <c r="E347" s="19" t="s">
        <v>22</v>
      </c>
      <c r="F347" s="19" t="s">
        <v>23</v>
      </c>
      <c r="G347" s="19" t="s">
        <v>138</v>
      </c>
      <c r="H347" s="19" t="s">
        <v>63</v>
      </c>
      <c r="I347" s="19">
        <v>2</v>
      </c>
      <c r="J347" s="21">
        <v>58.2</v>
      </c>
      <c r="K347" s="22">
        <v>0.08</v>
      </c>
      <c r="L347" s="21">
        <v>107.08800000000001</v>
      </c>
    </row>
    <row r="348" spans="1:12">
      <c r="A348" s="19" t="s">
        <v>418</v>
      </c>
      <c r="B348" s="20">
        <v>46164</v>
      </c>
      <c r="C348" s="19" t="s">
        <v>13</v>
      </c>
      <c r="D348" s="19" t="s">
        <v>14</v>
      </c>
      <c r="E348" s="19" t="s">
        <v>22</v>
      </c>
      <c r="F348" s="19" t="s">
        <v>73</v>
      </c>
      <c r="G348" s="19" t="s">
        <v>74</v>
      </c>
      <c r="H348" s="19" t="s">
        <v>43</v>
      </c>
      <c r="I348" s="19">
        <v>1</v>
      </c>
      <c r="J348" s="21">
        <v>7.6</v>
      </c>
      <c r="K348" s="22">
        <v>0.15</v>
      </c>
      <c r="L348" s="21">
        <v>6.46</v>
      </c>
    </row>
    <row r="349" spans="1:12">
      <c r="A349" s="19" t="s">
        <v>419</v>
      </c>
      <c r="B349" s="20">
        <v>46354</v>
      </c>
      <c r="C349" s="19" t="s">
        <v>20</v>
      </c>
      <c r="D349" s="19" t="s">
        <v>14</v>
      </c>
      <c r="E349" s="19" t="s">
        <v>22</v>
      </c>
      <c r="F349" s="19" t="s">
        <v>48</v>
      </c>
      <c r="G349" s="19" t="s">
        <v>54</v>
      </c>
      <c r="H349" s="19" t="s">
        <v>58</v>
      </c>
      <c r="I349" s="19">
        <v>1</v>
      </c>
      <c r="J349" s="21">
        <v>1800</v>
      </c>
      <c r="K349" s="22">
        <v>0.05</v>
      </c>
      <c r="L349" s="21">
        <v>1710</v>
      </c>
    </row>
    <row r="350" spans="1:12">
      <c r="A350" s="19" t="s">
        <v>420</v>
      </c>
      <c r="B350" s="20">
        <v>46169</v>
      </c>
      <c r="C350" s="19" t="s">
        <v>31</v>
      </c>
      <c r="D350" s="19" t="s">
        <v>21</v>
      </c>
      <c r="E350" s="19" t="s">
        <v>22</v>
      </c>
      <c r="F350" s="19" t="s">
        <v>60</v>
      </c>
      <c r="G350" s="19" t="s">
        <v>76</v>
      </c>
      <c r="H350" s="19" t="s">
        <v>39</v>
      </c>
      <c r="I350" s="19">
        <v>1</v>
      </c>
      <c r="J350" s="21">
        <v>742</v>
      </c>
      <c r="K350" s="22">
        <v>0.2</v>
      </c>
      <c r="L350" s="21">
        <v>593.6</v>
      </c>
    </row>
    <row r="351" spans="1:12">
      <c r="A351" s="19" t="s">
        <v>421</v>
      </c>
      <c r="B351" s="20">
        <v>46269</v>
      </c>
      <c r="C351" s="19" t="s">
        <v>86</v>
      </c>
      <c r="D351" s="19" t="s">
        <v>14</v>
      </c>
      <c r="E351" s="19" t="s">
        <v>22</v>
      </c>
      <c r="F351" s="19" t="s">
        <v>73</v>
      </c>
      <c r="G351" s="19" t="s">
        <v>74</v>
      </c>
      <c r="H351" s="19" t="s">
        <v>87</v>
      </c>
      <c r="I351" s="19">
        <v>6</v>
      </c>
      <c r="J351" s="21">
        <v>8</v>
      </c>
      <c r="K351" s="22">
        <v>0.05</v>
      </c>
      <c r="L351" s="21">
        <v>45.599999999999994</v>
      </c>
    </row>
    <row r="352" spans="1:12">
      <c r="A352" s="19" t="s">
        <v>422</v>
      </c>
      <c r="B352" s="20">
        <v>46276</v>
      </c>
      <c r="C352" s="19" t="s">
        <v>86</v>
      </c>
      <c r="D352" s="19" t="s">
        <v>14</v>
      </c>
      <c r="E352" s="19" t="s">
        <v>15</v>
      </c>
      <c r="F352" s="19" t="s">
        <v>60</v>
      </c>
      <c r="G352" s="19" t="s">
        <v>76</v>
      </c>
      <c r="H352" s="19" t="s">
        <v>87</v>
      </c>
      <c r="I352" s="19">
        <v>2</v>
      </c>
      <c r="J352" s="21">
        <v>714</v>
      </c>
      <c r="K352" s="22">
        <v>0</v>
      </c>
      <c r="L352" s="21">
        <v>1428</v>
      </c>
    </row>
    <row r="353" spans="1:12">
      <c r="A353" s="19" t="s">
        <v>423</v>
      </c>
      <c r="B353" s="20">
        <v>46092</v>
      </c>
      <c r="C353" s="19" t="s">
        <v>86</v>
      </c>
      <c r="D353" s="19" t="s">
        <v>21</v>
      </c>
      <c r="E353" s="19" t="s">
        <v>22</v>
      </c>
      <c r="F353" s="19" t="s">
        <v>60</v>
      </c>
      <c r="G353" s="19" t="s">
        <v>67</v>
      </c>
      <c r="H353" s="19" t="s">
        <v>93</v>
      </c>
      <c r="I353" s="19">
        <v>1</v>
      </c>
      <c r="J353" s="21">
        <v>1455</v>
      </c>
      <c r="K353" s="22">
        <v>0</v>
      </c>
      <c r="L353" s="21">
        <v>1455</v>
      </c>
    </row>
    <row r="354" spans="1:12">
      <c r="A354" s="19" t="s">
        <v>424</v>
      </c>
      <c r="B354" s="20">
        <v>46350</v>
      </c>
      <c r="C354" s="19" t="s">
        <v>13</v>
      </c>
      <c r="D354" s="19" t="s">
        <v>14</v>
      </c>
      <c r="E354" s="19" t="s">
        <v>22</v>
      </c>
      <c r="F354" s="19" t="s">
        <v>16</v>
      </c>
      <c r="G354" s="19" t="s">
        <v>69</v>
      </c>
      <c r="H354" s="19" t="s">
        <v>43</v>
      </c>
      <c r="I354" s="19">
        <v>2</v>
      </c>
      <c r="J354" s="21">
        <v>55</v>
      </c>
      <c r="K354" s="22">
        <v>0.15</v>
      </c>
      <c r="L354" s="21">
        <v>93.5</v>
      </c>
    </row>
    <row r="355" spans="1:12">
      <c r="A355" s="19" t="s">
        <v>425</v>
      </c>
      <c r="B355" s="20">
        <v>46167</v>
      </c>
      <c r="C355" s="19" t="s">
        <v>86</v>
      </c>
      <c r="D355" s="19" t="s">
        <v>41</v>
      </c>
      <c r="E355" s="19" t="s">
        <v>22</v>
      </c>
      <c r="F355" s="19" t="s">
        <v>23</v>
      </c>
      <c r="G355" s="19" t="s">
        <v>24</v>
      </c>
      <c r="H355" s="19" t="s">
        <v>93</v>
      </c>
      <c r="I355" s="19">
        <v>3</v>
      </c>
      <c r="J355" s="21">
        <v>95.4</v>
      </c>
      <c r="K355" s="22">
        <v>0.2</v>
      </c>
      <c r="L355" s="21">
        <v>228.96000000000004</v>
      </c>
    </row>
    <row r="356" spans="1:12">
      <c r="A356" s="19" t="s">
        <v>426</v>
      </c>
      <c r="B356" s="20">
        <v>46357</v>
      </c>
      <c r="C356" s="19" t="s">
        <v>20</v>
      </c>
      <c r="D356" s="19" t="s">
        <v>14</v>
      </c>
      <c r="E356" s="19" t="s">
        <v>22</v>
      </c>
      <c r="F356" s="19" t="s">
        <v>73</v>
      </c>
      <c r="G356" s="19" t="s">
        <v>145</v>
      </c>
      <c r="H356" s="19" t="s">
        <v>25</v>
      </c>
      <c r="I356" s="19">
        <v>4</v>
      </c>
      <c r="J356" s="21">
        <v>18</v>
      </c>
      <c r="K356" s="22">
        <v>0.03</v>
      </c>
      <c r="L356" s="21">
        <v>69.84</v>
      </c>
    </row>
    <row r="357" spans="1:12">
      <c r="A357" s="19" t="s">
        <v>427</v>
      </c>
      <c r="B357" s="20">
        <v>46075</v>
      </c>
      <c r="C357" s="19" t="s">
        <v>20</v>
      </c>
      <c r="D357" s="19" t="s">
        <v>41</v>
      </c>
      <c r="E357" s="19" t="s">
        <v>22</v>
      </c>
      <c r="F357" s="19" t="s">
        <v>48</v>
      </c>
      <c r="G357" s="19" t="s">
        <v>99</v>
      </c>
      <c r="H357" s="19" t="s">
        <v>63</v>
      </c>
      <c r="I357" s="19">
        <v>1</v>
      </c>
      <c r="J357" s="21">
        <v>3000</v>
      </c>
      <c r="K357" s="22">
        <v>0.2</v>
      </c>
      <c r="L357" s="21">
        <v>2400</v>
      </c>
    </row>
    <row r="358" spans="1:12">
      <c r="A358" s="19" t="s">
        <v>428</v>
      </c>
      <c r="B358" s="20">
        <v>46178</v>
      </c>
      <c r="C358" s="19" t="s">
        <v>31</v>
      </c>
      <c r="D358" s="19" t="s">
        <v>21</v>
      </c>
      <c r="E358" s="19" t="s">
        <v>22</v>
      </c>
      <c r="F358" s="19" t="s">
        <v>60</v>
      </c>
      <c r="G358" s="19" t="s">
        <v>67</v>
      </c>
      <c r="H358" s="19" t="s">
        <v>33</v>
      </c>
      <c r="I358" s="19">
        <v>1</v>
      </c>
      <c r="J358" s="21">
        <v>1500</v>
      </c>
      <c r="K358" s="22">
        <v>0.1</v>
      </c>
      <c r="L358" s="21">
        <v>1350</v>
      </c>
    </row>
    <row r="359" spans="1:12">
      <c r="A359" s="19" t="s">
        <v>429</v>
      </c>
      <c r="B359" s="20">
        <v>46295</v>
      </c>
      <c r="C359" s="19" t="s">
        <v>13</v>
      </c>
      <c r="D359" s="19" t="s">
        <v>41</v>
      </c>
      <c r="E359" s="19" t="s">
        <v>22</v>
      </c>
      <c r="F359" s="19" t="s">
        <v>27</v>
      </c>
      <c r="G359" s="19" t="s">
        <v>28</v>
      </c>
      <c r="H359" s="19" t="s">
        <v>43</v>
      </c>
      <c r="I359" s="19">
        <v>4</v>
      </c>
      <c r="J359" s="21">
        <v>19.399999999999999</v>
      </c>
      <c r="K359" s="22">
        <v>0.08</v>
      </c>
      <c r="L359" s="21">
        <v>71.391999999999996</v>
      </c>
    </row>
    <row r="360" spans="1:12">
      <c r="A360" s="19" t="s">
        <v>430</v>
      </c>
      <c r="B360" s="20">
        <v>46256</v>
      </c>
      <c r="C360" s="19" t="s">
        <v>13</v>
      </c>
      <c r="D360" s="19" t="s">
        <v>35</v>
      </c>
      <c r="E360" s="19" t="s">
        <v>22</v>
      </c>
      <c r="F360" s="19" t="s">
        <v>60</v>
      </c>
      <c r="G360" s="19" t="s">
        <v>76</v>
      </c>
      <c r="H360" s="19" t="s">
        <v>18</v>
      </c>
      <c r="I360" s="19">
        <v>2</v>
      </c>
      <c r="J360" s="21">
        <v>665</v>
      </c>
      <c r="K360" s="22">
        <v>0</v>
      </c>
      <c r="L360" s="21">
        <v>1330</v>
      </c>
    </row>
    <row r="361" spans="1:12">
      <c r="A361" s="19" t="s">
        <v>431</v>
      </c>
      <c r="B361" s="20">
        <v>46024</v>
      </c>
      <c r="C361" s="19" t="s">
        <v>31</v>
      </c>
      <c r="D361" s="19" t="s">
        <v>35</v>
      </c>
      <c r="E361" s="19" t="s">
        <v>15</v>
      </c>
      <c r="F361" s="19" t="s">
        <v>48</v>
      </c>
      <c r="G361" s="19" t="s">
        <v>54</v>
      </c>
      <c r="H361" s="19" t="s">
        <v>33</v>
      </c>
      <c r="I361" s="19">
        <v>2</v>
      </c>
      <c r="J361" s="21">
        <v>1800</v>
      </c>
      <c r="K361" s="22">
        <v>0.1</v>
      </c>
      <c r="L361" s="21">
        <v>3240</v>
      </c>
    </row>
    <row r="362" spans="1:12">
      <c r="A362" s="19" t="s">
        <v>432</v>
      </c>
      <c r="B362" s="20">
        <v>46099</v>
      </c>
      <c r="C362" s="19" t="s">
        <v>31</v>
      </c>
      <c r="D362" s="19" t="s">
        <v>41</v>
      </c>
      <c r="E362" s="19" t="s">
        <v>15</v>
      </c>
      <c r="F362" s="19" t="s">
        <v>73</v>
      </c>
      <c r="G362" s="19" t="s">
        <v>74</v>
      </c>
      <c r="H362" s="19" t="s">
        <v>79</v>
      </c>
      <c r="I362" s="19">
        <v>4</v>
      </c>
      <c r="J362" s="21">
        <v>8</v>
      </c>
      <c r="K362" s="22">
        <v>0.08</v>
      </c>
      <c r="L362" s="21">
        <v>29.44</v>
      </c>
    </row>
    <row r="363" spans="1:12">
      <c r="A363" s="19" t="s">
        <v>433</v>
      </c>
      <c r="B363" s="20">
        <v>46229</v>
      </c>
      <c r="C363" s="19" t="s">
        <v>47</v>
      </c>
      <c r="D363" s="19" t="s">
        <v>14</v>
      </c>
      <c r="E363" s="19" t="s">
        <v>22</v>
      </c>
      <c r="F363" s="19" t="s">
        <v>27</v>
      </c>
      <c r="G363" s="19" t="s">
        <v>155</v>
      </c>
      <c r="H363" s="19" t="s">
        <v>83</v>
      </c>
      <c r="I363" s="19">
        <v>7</v>
      </c>
      <c r="J363" s="21">
        <v>187.2</v>
      </c>
      <c r="K363" s="22">
        <v>0.2</v>
      </c>
      <c r="L363" s="21">
        <v>1048.32</v>
      </c>
    </row>
    <row r="364" spans="1:12">
      <c r="A364" s="19" t="s">
        <v>434</v>
      </c>
      <c r="B364" s="20">
        <v>46358</v>
      </c>
      <c r="C364" s="19" t="s">
        <v>31</v>
      </c>
      <c r="D364" s="19" t="s">
        <v>14</v>
      </c>
      <c r="E364" s="19" t="s">
        <v>22</v>
      </c>
      <c r="F364" s="19" t="s">
        <v>23</v>
      </c>
      <c r="G364" s="19" t="s">
        <v>24</v>
      </c>
      <c r="H364" s="19" t="s">
        <v>39</v>
      </c>
      <c r="I364" s="19">
        <v>6</v>
      </c>
      <c r="J364" s="21">
        <v>90</v>
      </c>
      <c r="K364" s="22">
        <v>0.1</v>
      </c>
      <c r="L364" s="21">
        <v>486</v>
      </c>
    </row>
    <row r="365" spans="1:12">
      <c r="A365" s="19" t="s">
        <v>435</v>
      </c>
      <c r="B365" s="20">
        <v>46161</v>
      </c>
      <c r="C365" s="19" t="s">
        <v>20</v>
      </c>
      <c r="D365" s="19" t="s">
        <v>21</v>
      </c>
      <c r="E365" s="19" t="s">
        <v>22</v>
      </c>
      <c r="F365" s="19" t="s">
        <v>27</v>
      </c>
      <c r="G365" s="19" t="s">
        <v>28</v>
      </c>
      <c r="H365" s="19" t="s">
        <v>25</v>
      </c>
      <c r="I365" s="19">
        <v>1</v>
      </c>
      <c r="J365" s="21">
        <v>21.2</v>
      </c>
      <c r="K365" s="22">
        <v>0.08</v>
      </c>
      <c r="L365" s="21">
        <v>19.504000000000001</v>
      </c>
    </row>
    <row r="366" spans="1:12">
      <c r="A366" s="19" t="s">
        <v>436</v>
      </c>
      <c r="B366" s="20">
        <v>46380</v>
      </c>
      <c r="C366" s="19" t="s">
        <v>20</v>
      </c>
      <c r="D366" s="19" t="s">
        <v>14</v>
      </c>
      <c r="E366" s="19" t="s">
        <v>22</v>
      </c>
      <c r="F366" s="19" t="s">
        <v>60</v>
      </c>
      <c r="G366" s="19" t="s">
        <v>61</v>
      </c>
      <c r="H366" s="19" t="s">
        <v>63</v>
      </c>
      <c r="I366" s="19">
        <v>2</v>
      </c>
      <c r="J366" s="21">
        <v>850</v>
      </c>
      <c r="K366" s="22">
        <v>0.05</v>
      </c>
      <c r="L366" s="21">
        <v>1615</v>
      </c>
    </row>
    <row r="367" spans="1:12">
      <c r="A367" s="19" t="s">
        <v>437</v>
      </c>
      <c r="B367" s="20">
        <v>46203</v>
      </c>
      <c r="C367" s="19" t="s">
        <v>31</v>
      </c>
      <c r="D367" s="19" t="s">
        <v>14</v>
      </c>
      <c r="E367" s="19" t="s">
        <v>15</v>
      </c>
      <c r="F367" s="19" t="s">
        <v>16</v>
      </c>
      <c r="G367" s="19" t="s">
        <v>17</v>
      </c>
      <c r="H367" s="19" t="s">
        <v>33</v>
      </c>
      <c r="I367" s="19">
        <v>3</v>
      </c>
      <c r="J367" s="21">
        <v>15</v>
      </c>
      <c r="K367" s="22">
        <v>0.1</v>
      </c>
      <c r="L367" s="21">
        <v>40.5</v>
      </c>
    </row>
    <row r="368" spans="1:12">
      <c r="A368" s="19" t="s">
        <v>438</v>
      </c>
      <c r="B368" s="20">
        <v>46045</v>
      </c>
      <c r="C368" s="19" t="s">
        <v>86</v>
      </c>
      <c r="D368" s="19" t="s">
        <v>14</v>
      </c>
      <c r="E368" s="19" t="s">
        <v>15</v>
      </c>
      <c r="F368" s="19" t="s">
        <v>16</v>
      </c>
      <c r="G368" s="19" t="s">
        <v>65</v>
      </c>
      <c r="H368" s="19" t="s">
        <v>93</v>
      </c>
      <c r="I368" s="19">
        <v>2</v>
      </c>
      <c r="J368" s="21">
        <v>80</v>
      </c>
      <c r="K368" s="22">
        <v>0.05</v>
      </c>
      <c r="L368" s="21">
        <v>152</v>
      </c>
    </row>
    <row r="369" spans="1:12">
      <c r="A369" s="19" t="s">
        <v>439</v>
      </c>
      <c r="B369" s="20">
        <v>46171</v>
      </c>
      <c r="C369" s="19" t="s">
        <v>31</v>
      </c>
      <c r="D369" s="19" t="s">
        <v>14</v>
      </c>
      <c r="E369" s="19" t="s">
        <v>22</v>
      </c>
      <c r="F369" s="19" t="s">
        <v>16</v>
      </c>
      <c r="G369" s="19" t="s">
        <v>65</v>
      </c>
      <c r="H369" s="19" t="s">
        <v>39</v>
      </c>
      <c r="I369" s="19">
        <v>8</v>
      </c>
      <c r="J369" s="21">
        <v>84.8</v>
      </c>
      <c r="K369" s="22">
        <v>0.1</v>
      </c>
      <c r="L369" s="21">
        <v>610.55999999999995</v>
      </c>
    </row>
    <row r="370" spans="1:12">
      <c r="A370" s="19" t="s">
        <v>440</v>
      </c>
      <c r="B370" s="20">
        <v>46044</v>
      </c>
      <c r="C370" s="19" t="s">
        <v>86</v>
      </c>
      <c r="D370" s="19" t="s">
        <v>14</v>
      </c>
      <c r="E370" s="19" t="s">
        <v>22</v>
      </c>
      <c r="F370" s="19" t="s">
        <v>27</v>
      </c>
      <c r="G370" s="19" t="s">
        <v>36</v>
      </c>
      <c r="H370" s="19" t="s">
        <v>93</v>
      </c>
      <c r="I370" s="19">
        <v>4</v>
      </c>
      <c r="J370" s="21">
        <v>712.5</v>
      </c>
      <c r="K370" s="22">
        <v>0.03</v>
      </c>
      <c r="L370" s="21">
        <v>2764.5</v>
      </c>
    </row>
    <row r="371" spans="1:12">
      <c r="A371" s="19" t="s">
        <v>441</v>
      </c>
      <c r="B371" s="20">
        <v>46191</v>
      </c>
      <c r="C371" s="19" t="s">
        <v>13</v>
      </c>
      <c r="D371" s="19" t="s">
        <v>14</v>
      </c>
      <c r="E371" s="19" t="s">
        <v>22</v>
      </c>
      <c r="F371" s="19" t="s">
        <v>23</v>
      </c>
      <c r="G371" s="19" t="s">
        <v>24</v>
      </c>
      <c r="H371" s="19" t="s">
        <v>18</v>
      </c>
      <c r="I371" s="19">
        <v>1</v>
      </c>
      <c r="J371" s="21">
        <v>95.4</v>
      </c>
      <c r="K371" s="22">
        <v>0.15</v>
      </c>
      <c r="L371" s="21">
        <v>81.09</v>
      </c>
    </row>
    <row r="372" spans="1:12">
      <c r="A372" s="19" t="s">
        <v>442</v>
      </c>
      <c r="B372" s="20">
        <v>46145</v>
      </c>
      <c r="C372" s="19" t="s">
        <v>47</v>
      </c>
      <c r="D372" s="19" t="s">
        <v>14</v>
      </c>
      <c r="E372" s="19" t="s">
        <v>22</v>
      </c>
      <c r="F372" s="19" t="s">
        <v>60</v>
      </c>
      <c r="G372" s="19" t="s">
        <v>91</v>
      </c>
      <c r="H372" s="19" t="s">
        <v>50</v>
      </c>
      <c r="I372" s="19">
        <v>1</v>
      </c>
      <c r="J372" s="21">
        <v>562.6</v>
      </c>
      <c r="K372" s="22">
        <v>0.08</v>
      </c>
      <c r="L372" s="21">
        <v>517.5920000000001</v>
      </c>
    </row>
    <row r="373" spans="1:12">
      <c r="A373" s="19" t="s">
        <v>443</v>
      </c>
      <c r="B373" s="20">
        <v>46340</v>
      </c>
      <c r="C373" s="19" t="s">
        <v>47</v>
      </c>
      <c r="D373" s="19" t="s">
        <v>14</v>
      </c>
      <c r="E373" s="19" t="s">
        <v>22</v>
      </c>
      <c r="F373" s="19" t="s">
        <v>73</v>
      </c>
      <c r="G373" s="19" t="s">
        <v>145</v>
      </c>
      <c r="H373" s="19" t="s">
        <v>83</v>
      </c>
      <c r="I373" s="19">
        <v>4</v>
      </c>
      <c r="J373" s="21">
        <v>17.46</v>
      </c>
      <c r="K373" s="22">
        <v>0.03</v>
      </c>
      <c r="L373" s="21">
        <v>67.744799999999998</v>
      </c>
    </row>
    <row r="374" spans="1:12">
      <c r="A374" s="19" t="s">
        <v>444</v>
      </c>
      <c r="B374" s="20">
        <v>46267</v>
      </c>
      <c r="C374" s="19" t="s">
        <v>31</v>
      </c>
      <c r="D374" s="19" t="s">
        <v>14</v>
      </c>
      <c r="E374" s="19" t="s">
        <v>22</v>
      </c>
      <c r="F374" s="19" t="s">
        <v>60</v>
      </c>
      <c r="G374" s="19" t="s">
        <v>61</v>
      </c>
      <c r="H374" s="19" t="s">
        <v>33</v>
      </c>
      <c r="I374" s="19">
        <v>1</v>
      </c>
      <c r="J374" s="21">
        <v>850</v>
      </c>
      <c r="K374" s="22">
        <v>0.05</v>
      </c>
      <c r="L374" s="21">
        <v>807.5</v>
      </c>
    </row>
    <row r="375" spans="1:12">
      <c r="A375" s="19" t="s">
        <v>445</v>
      </c>
      <c r="B375" s="20">
        <v>46174</v>
      </c>
      <c r="C375" s="19" t="s">
        <v>86</v>
      </c>
      <c r="D375" s="19" t="s">
        <v>14</v>
      </c>
      <c r="E375" s="19" t="s">
        <v>15</v>
      </c>
      <c r="F375" s="19" t="s">
        <v>23</v>
      </c>
      <c r="G375" s="19" t="s">
        <v>52</v>
      </c>
      <c r="H375" s="19" t="s">
        <v>87</v>
      </c>
      <c r="I375" s="19">
        <v>4</v>
      </c>
      <c r="J375" s="21">
        <v>427.5</v>
      </c>
      <c r="K375" s="22">
        <v>0</v>
      </c>
      <c r="L375" s="21">
        <v>1710</v>
      </c>
    </row>
    <row r="376" spans="1:12">
      <c r="A376" s="19" t="s">
        <v>446</v>
      </c>
      <c r="B376" s="20">
        <v>46079</v>
      </c>
      <c r="C376" s="19" t="s">
        <v>13</v>
      </c>
      <c r="D376" s="19" t="s">
        <v>21</v>
      </c>
      <c r="E376" s="19" t="s">
        <v>15</v>
      </c>
      <c r="F376" s="19" t="s">
        <v>27</v>
      </c>
      <c r="G376" s="19" t="s">
        <v>155</v>
      </c>
      <c r="H376" s="19" t="s">
        <v>18</v>
      </c>
      <c r="I376" s="19">
        <v>5</v>
      </c>
      <c r="J376" s="21">
        <v>187.2</v>
      </c>
      <c r="K376" s="22">
        <v>0</v>
      </c>
      <c r="L376" s="21">
        <v>936</v>
      </c>
    </row>
    <row r="377" spans="1:12">
      <c r="A377" s="19" t="s">
        <v>447</v>
      </c>
      <c r="B377" s="20">
        <v>46208</v>
      </c>
      <c r="C377" s="19" t="s">
        <v>13</v>
      </c>
      <c r="D377" s="19" t="s">
        <v>35</v>
      </c>
      <c r="E377" s="19" t="s">
        <v>22</v>
      </c>
      <c r="F377" s="19" t="s">
        <v>48</v>
      </c>
      <c r="G377" s="19" t="s">
        <v>96</v>
      </c>
      <c r="H377" s="19" t="s">
        <v>43</v>
      </c>
      <c r="I377" s="19">
        <v>1</v>
      </c>
      <c r="J377" s="21">
        <v>2500</v>
      </c>
      <c r="K377" s="22">
        <v>0.15</v>
      </c>
      <c r="L377" s="21">
        <v>2125</v>
      </c>
    </row>
    <row r="378" spans="1:12">
      <c r="A378" s="19" t="s">
        <v>448</v>
      </c>
      <c r="B378" s="20">
        <v>46266</v>
      </c>
      <c r="C378" s="19" t="s">
        <v>20</v>
      </c>
      <c r="D378" s="19" t="s">
        <v>21</v>
      </c>
      <c r="E378" s="19" t="s">
        <v>15</v>
      </c>
      <c r="F378" s="19" t="s">
        <v>16</v>
      </c>
      <c r="G378" s="19" t="s">
        <v>65</v>
      </c>
      <c r="H378" s="19" t="s">
        <v>63</v>
      </c>
      <c r="I378" s="19">
        <v>3</v>
      </c>
      <c r="J378" s="21">
        <v>83.2</v>
      </c>
      <c r="K378" s="22">
        <v>0.15</v>
      </c>
      <c r="L378" s="21">
        <v>212.16000000000003</v>
      </c>
    </row>
    <row r="379" spans="1:12">
      <c r="A379" s="19" t="s">
        <v>449</v>
      </c>
      <c r="B379" s="20">
        <v>46105</v>
      </c>
      <c r="C379" s="19" t="s">
        <v>47</v>
      </c>
      <c r="D379" s="19" t="s">
        <v>14</v>
      </c>
      <c r="E379" s="19" t="s">
        <v>22</v>
      </c>
      <c r="F379" s="19" t="s">
        <v>23</v>
      </c>
      <c r="G379" s="19" t="s">
        <v>38</v>
      </c>
      <c r="H379" s="19" t="s">
        <v>83</v>
      </c>
      <c r="I379" s="19">
        <v>1</v>
      </c>
      <c r="J379" s="21">
        <v>320</v>
      </c>
      <c r="K379" s="22">
        <v>0.08</v>
      </c>
      <c r="L379" s="21">
        <v>294.40000000000003</v>
      </c>
    </row>
    <row r="380" spans="1:12">
      <c r="A380" s="19" t="s">
        <v>450</v>
      </c>
      <c r="B380" s="20">
        <v>46087</v>
      </c>
      <c r="C380" s="19" t="s">
        <v>13</v>
      </c>
      <c r="D380" s="19" t="s">
        <v>21</v>
      </c>
      <c r="E380" s="19" t="s">
        <v>15</v>
      </c>
      <c r="F380" s="19" t="s">
        <v>73</v>
      </c>
      <c r="G380" s="19" t="s">
        <v>74</v>
      </c>
      <c r="H380" s="19" t="s">
        <v>43</v>
      </c>
      <c r="I380" s="19">
        <v>3</v>
      </c>
      <c r="J380" s="21">
        <v>8.48</v>
      </c>
      <c r="K380" s="22">
        <v>0</v>
      </c>
      <c r="L380" s="21">
        <v>25.44</v>
      </c>
    </row>
    <row r="381" spans="1:12">
      <c r="A381" s="19" t="s">
        <v>451</v>
      </c>
      <c r="B381" s="20">
        <v>46026</v>
      </c>
      <c r="C381" s="19" t="s">
        <v>31</v>
      </c>
      <c r="D381" s="19" t="s">
        <v>21</v>
      </c>
      <c r="E381" s="19" t="s">
        <v>22</v>
      </c>
      <c r="F381" s="19" t="s">
        <v>48</v>
      </c>
      <c r="G381" s="19" t="s">
        <v>96</v>
      </c>
      <c r="H381" s="19" t="s">
        <v>79</v>
      </c>
      <c r="I381" s="19">
        <v>1</v>
      </c>
      <c r="J381" s="21">
        <v>2425</v>
      </c>
      <c r="K381" s="22">
        <v>0</v>
      </c>
      <c r="L381" s="21">
        <v>2425</v>
      </c>
    </row>
    <row r="382" spans="1:12">
      <c r="A382" s="19" t="s">
        <v>452</v>
      </c>
      <c r="B382" s="20">
        <v>46157</v>
      </c>
      <c r="C382" s="19" t="s">
        <v>86</v>
      </c>
      <c r="D382" s="19" t="s">
        <v>35</v>
      </c>
      <c r="E382" s="19" t="s">
        <v>22</v>
      </c>
      <c r="F382" s="19" t="s">
        <v>48</v>
      </c>
      <c r="G382" s="19" t="s">
        <v>99</v>
      </c>
      <c r="H382" s="19" t="s">
        <v>93</v>
      </c>
      <c r="I382" s="19">
        <v>2</v>
      </c>
      <c r="J382" s="21">
        <v>3060</v>
      </c>
      <c r="K382" s="22">
        <v>0.2</v>
      </c>
      <c r="L382" s="21">
        <v>4896</v>
      </c>
    </row>
    <row r="383" spans="1:12">
      <c r="A383" s="19" t="s">
        <v>453</v>
      </c>
      <c r="B383" s="20">
        <v>46030</v>
      </c>
      <c r="C383" s="19" t="s">
        <v>47</v>
      </c>
      <c r="D383" s="19" t="s">
        <v>35</v>
      </c>
      <c r="E383" s="19" t="s">
        <v>22</v>
      </c>
      <c r="F383" s="19" t="s">
        <v>48</v>
      </c>
      <c r="G383" s="19" t="s">
        <v>54</v>
      </c>
      <c r="H383" s="19" t="s">
        <v>83</v>
      </c>
      <c r="I383" s="19">
        <v>1</v>
      </c>
      <c r="J383" s="21">
        <v>1800</v>
      </c>
      <c r="K383" s="22">
        <v>0.05</v>
      </c>
      <c r="L383" s="21">
        <v>1710</v>
      </c>
    </row>
    <row r="384" spans="1:12">
      <c r="A384" s="19" t="s">
        <v>454</v>
      </c>
      <c r="B384" s="20">
        <v>46185</v>
      </c>
      <c r="C384" s="19" t="s">
        <v>13</v>
      </c>
      <c r="D384" s="19" t="s">
        <v>21</v>
      </c>
      <c r="E384" s="19" t="s">
        <v>15</v>
      </c>
      <c r="F384" s="19" t="s">
        <v>23</v>
      </c>
      <c r="G384" s="19" t="s">
        <v>52</v>
      </c>
      <c r="H384" s="19" t="s">
        <v>43</v>
      </c>
      <c r="I384" s="19">
        <v>5</v>
      </c>
      <c r="J384" s="21">
        <v>450</v>
      </c>
      <c r="K384" s="22">
        <v>0.03</v>
      </c>
      <c r="L384" s="21">
        <v>2182.5</v>
      </c>
    </row>
    <row r="385" spans="1:12">
      <c r="A385" s="19" t="s">
        <v>455</v>
      </c>
      <c r="B385" s="20">
        <v>46105</v>
      </c>
      <c r="C385" s="19" t="s">
        <v>47</v>
      </c>
      <c r="D385" s="19" t="s">
        <v>14</v>
      </c>
      <c r="E385" s="19" t="s">
        <v>15</v>
      </c>
      <c r="F385" s="19" t="s">
        <v>16</v>
      </c>
      <c r="G385" s="19" t="s">
        <v>65</v>
      </c>
      <c r="H385" s="19" t="s">
        <v>55</v>
      </c>
      <c r="I385" s="19">
        <v>5</v>
      </c>
      <c r="J385" s="21">
        <v>76</v>
      </c>
      <c r="K385" s="22">
        <v>0.05</v>
      </c>
      <c r="L385" s="21">
        <v>361</v>
      </c>
    </row>
    <row r="386" spans="1:12">
      <c r="A386" s="19" t="s">
        <v>456</v>
      </c>
      <c r="B386" s="20">
        <v>46083</v>
      </c>
      <c r="C386" s="19" t="s">
        <v>20</v>
      </c>
      <c r="D386" s="19" t="s">
        <v>21</v>
      </c>
      <c r="E386" s="19" t="s">
        <v>22</v>
      </c>
      <c r="F386" s="19" t="s">
        <v>60</v>
      </c>
      <c r="G386" s="19" t="s">
        <v>61</v>
      </c>
      <c r="H386" s="19" t="s">
        <v>58</v>
      </c>
      <c r="I386" s="19">
        <v>1</v>
      </c>
      <c r="J386" s="21">
        <v>867</v>
      </c>
      <c r="K386" s="22">
        <v>0.15</v>
      </c>
      <c r="L386" s="21">
        <v>736.94999999999993</v>
      </c>
    </row>
    <row r="387" spans="1:12">
      <c r="A387" s="19" t="s">
        <v>457</v>
      </c>
      <c r="B387" s="20">
        <v>46305</v>
      </c>
      <c r="C387" s="19" t="s">
        <v>31</v>
      </c>
      <c r="D387" s="19" t="s">
        <v>21</v>
      </c>
      <c r="E387" s="19" t="s">
        <v>15</v>
      </c>
      <c r="F387" s="19" t="s">
        <v>48</v>
      </c>
      <c r="G387" s="19" t="s">
        <v>71</v>
      </c>
      <c r="H387" s="19" t="s">
        <v>39</v>
      </c>
      <c r="I387" s="19">
        <v>2</v>
      </c>
      <c r="J387" s="21">
        <v>3200</v>
      </c>
      <c r="K387" s="22">
        <v>0.1</v>
      </c>
      <c r="L387" s="21">
        <v>5760</v>
      </c>
    </row>
    <row r="388" spans="1:12">
      <c r="A388" s="19" t="s">
        <v>458</v>
      </c>
      <c r="B388" s="20">
        <v>46290</v>
      </c>
      <c r="C388" s="19" t="s">
        <v>20</v>
      </c>
      <c r="D388" s="19" t="s">
        <v>21</v>
      </c>
      <c r="E388" s="19" t="s">
        <v>15</v>
      </c>
      <c r="F388" s="19" t="s">
        <v>27</v>
      </c>
      <c r="G388" s="19" t="s">
        <v>36</v>
      </c>
      <c r="H388" s="19" t="s">
        <v>63</v>
      </c>
      <c r="I388" s="19">
        <v>6</v>
      </c>
      <c r="J388" s="21">
        <v>795</v>
      </c>
      <c r="K388" s="22">
        <v>0</v>
      </c>
      <c r="L388" s="21">
        <v>4770</v>
      </c>
    </row>
    <row r="389" spans="1:12">
      <c r="A389" s="19" t="s">
        <v>459</v>
      </c>
      <c r="B389" s="20">
        <v>46121</v>
      </c>
      <c r="C389" s="19" t="s">
        <v>86</v>
      </c>
      <c r="D389" s="19" t="s">
        <v>14</v>
      </c>
      <c r="E389" s="19" t="s">
        <v>15</v>
      </c>
      <c r="F389" s="19" t="s">
        <v>27</v>
      </c>
      <c r="G389" s="19" t="s">
        <v>28</v>
      </c>
      <c r="H389" s="19" t="s">
        <v>93</v>
      </c>
      <c r="I389" s="19">
        <v>2</v>
      </c>
      <c r="J389" s="21">
        <v>20.8</v>
      </c>
      <c r="K389" s="22">
        <v>0.05</v>
      </c>
      <c r="L389" s="21">
        <v>39.519999999999996</v>
      </c>
    </row>
    <row r="390" spans="1:12">
      <c r="A390" s="19" t="s">
        <v>460</v>
      </c>
      <c r="B390" s="20">
        <v>46043</v>
      </c>
      <c r="C390" s="19" t="s">
        <v>86</v>
      </c>
      <c r="D390" s="19" t="s">
        <v>35</v>
      </c>
      <c r="E390" s="19" t="s">
        <v>22</v>
      </c>
      <c r="F390" s="19" t="s">
        <v>73</v>
      </c>
      <c r="G390" s="19" t="s">
        <v>129</v>
      </c>
      <c r="H390" s="19" t="s">
        <v>87</v>
      </c>
      <c r="I390" s="19">
        <v>6</v>
      </c>
      <c r="J390" s="21">
        <v>35</v>
      </c>
      <c r="K390" s="22">
        <v>0.05</v>
      </c>
      <c r="L390" s="21">
        <v>199.5</v>
      </c>
    </row>
    <row r="391" spans="1:12">
      <c r="A391" s="19" t="s">
        <v>461</v>
      </c>
      <c r="B391" s="20">
        <v>46292</v>
      </c>
      <c r="C391" s="19" t="s">
        <v>31</v>
      </c>
      <c r="D391" s="19" t="s">
        <v>14</v>
      </c>
      <c r="E391" s="19" t="s">
        <v>22</v>
      </c>
      <c r="F391" s="19" t="s">
        <v>16</v>
      </c>
      <c r="G391" s="19" t="s">
        <v>69</v>
      </c>
      <c r="H391" s="19" t="s">
        <v>33</v>
      </c>
      <c r="I391" s="19">
        <v>5</v>
      </c>
      <c r="J391" s="21">
        <v>56.1</v>
      </c>
      <c r="K391" s="22">
        <v>0.05</v>
      </c>
      <c r="L391" s="21">
        <v>266.47499999999997</v>
      </c>
    </row>
    <row r="392" spans="1:12">
      <c r="A392" s="19" t="s">
        <v>462</v>
      </c>
      <c r="B392" s="20">
        <v>46327</v>
      </c>
      <c r="C392" s="19" t="s">
        <v>20</v>
      </c>
      <c r="D392" s="19" t="s">
        <v>14</v>
      </c>
      <c r="E392" s="19" t="s">
        <v>15</v>
      </c>
      <c r="F392" s="19" t="s">
        <v>16</v>
      </c>
      <c r="G392" s="19" t="s">
        <v>17</v>
      </c>
      <c r="H392" s="19" t="s">
        <v>63</v>
      </c>
      <c r="I392" s="19">
        <v>1</v>
      </c>
      <c r="J392" s="21">
        <v>15</v>
      </c>
      <c r="K392" s="22">
        <v>0.05</v>
      </c>
      <c r="L392" s="21">
        <v>14.25</v>
      </c>
    </row>
    <row r="393" spans="1:12">
      <c r="A393" s="19" t="s">
        <v>463</v>
      </c>
      <c r="B393" s="20">
        <v>46261</v>
      </c>
      <c r="C393" s="19" t="s">
        <v>31</v>
      </c>
      <c r="D393" s="19" t="s">
        <v>14</v>
      </c>
      <c r="E393" s="19" t="s">
        <v>22</v>
      </c>
      <c r="F393" s="19" t="s">
        <v>23</v>
      </c>
      <c r="G393" s="19" t="s">
        <v>24</v>
      </c>
      <c r="H393" s="19" t="s">
        <v>39</v>
      </c>
      <c r="I393" s="19">
        <v>2</v>
      </c>
      <c r="J393" s="21">
        <v>95.4</v>
      </c>
      <c r="K393" s="22">
        <v>0.08</v>
      </c>
      <c r="L393" s="21">
        <v>175.53600000000003</v>
      </c>
    </row>
    <row r="394" spans="1:12">
      <c r="A394" s="19" t="s">
        <v>464</v>
      </c>
      <c r="B394" s="20">
        <v>46327</v>
      </c>
      <c r="C394" s="19" t="s">
        <v>86</v>
      </c>
      <c r="D394" s="19" t="s">
        <v>14</v>
      </c>
      <c r="E394" s="19" t="s">
        <v>22</v>
      </c>
      <c r="F394" s="19" t="s">
        <v>16</v>
      </c>
      <c r="G394" s="19" t="s">
        <v>65</v>
      </c>
      <c r="H394" s="19" t="s">
        <v>93</v>
      </c>
      <c r="I394" s="19">
        <v>6</v>
      </c>
      <c r="J394" s="21">
        <v>76</v>
      </c>
      <c r="K394" s="22">
        <v>0.03</v>
      </c>
      <c r="L394" s="21">
        <v>442.32</v>
      </c>
    </row>
    <row r="395" spans="1:12">
      <c r="A395" s="19" t="s">
        <v>465</v>
      </c>
      <c r="B395" s="20">
        <v>46118</v>
      </c>
      <c r="C395" s="19" t="s">
        <v>20</v>
      </c>
      <c r="D395" s="19" t="s">
        <v>21</v>
      </c>
      <c r="E395" s="19" t="s">
        <v>22</v>
      </c>
      <c r="F395" s="19" t="s">
        <v>23</v>
      </c>
      <c r="G395" s="19" t="s">
        <v>138</v>
      </c>
      <c r="H395" s="19" t="s">
        <v>63</v>
      </c>
      <c r="I395" s="19">
        <v>1</v>
      </c>
      <c r="J395" s="21">
        <v>58.2</v>
      </c>
      <c r="K395" s="22">
        <v>0.08</v>
      </c>
      <c r="L395" s="21">
        <v>53.544000000000004</v>
      </c>
    </row>
    <row r="396" spans="1:12">
      <c r="A396" s="19" t="s">
        <v>466</v>
      </c>
      <c r="B396" s="20">
        <v>46332</v>
      </c>
      <c r="C396" s="19" t="s">
        <v>31</v>
      </c>
      <c r="D396" s="19" t="s">
        <v>21</v>
      </c>
      <c r="E396" s="19" t="s">
        <v>15</v>
      </c>
      <c r="F396" s="19" t="s">
        <v>60</v>
      </c>
      <c r="G396" s="19" t="s">
        <v>61</v>
      </c>
      <c r="H396" s="19" t="s">
        <v>33</v>
      </c>
      <c r="I396" s="19">
        <v>1</v>
      </c>
      <c r="J396" s="21">
        <v>850</v>
      </c>
      <c r="K396" s="22">
        <v>0.1</v>
      </c>
      <c r="L396" s="21">
        <v>765</v>
      </c>
    </row>
    <row r="397" spans="1:12">
      <c r="A397" s="19" t="s">
        <v>467</v>
      </c>
      <c r="B397" s="20">
        <v>46237</v>
      </c>
      <c r="C397" s="19" t="s">
        <v>31</v>
      </c>
      <c r="D397" s="19" t="s">
        <v>21</v>
      </c>
      <c r="E397" s="19" t="s">
        <v>15</v>
      </c>
      <c r="F397" s="19" t="s">
        <v>16</v>
      </c>
      <c r="G397" s="19" t="s">
        <v>65</v>
      </c>
      <c r="H397" s="19" t="s">
        <v>79</v>
      </c>
      <c r="I397" s="19">
        <v>5</v>
      </c>
      <c r="J397" s="21">
        <v>83.2</v>
      </c>
      <c r="K397" s="22">
        <v>0.05</v>
      </c>
      <c r="L397" s="21">
        <v>395.2</v>
      </c>
    </row>
    <row r="398" spans="1:12">
      <c r="A398" s="19" t="s">
        <v>468</v>
      </c>
      <c r="B398" s="20">
        <v>46193</v>
      </c>
      <c r="C398" s="19" t="s">
        <v>20</v>
      </c>
      <c r="D398" s="19" t="s">
        <v>41</v>
      </c>
      <c r="E398" s="19" t="s">
        <v>22</v>
      </c>
      <c r="F398" s="19" t="s">
        <v>23</v>
      </c>
      <c r="G398" s="19" t="s">
        <v>52</v>
      </c>
      <c r="H398" s="19" t="s">
        <v>58</v>
      </c>
      <c r="I398" s="19">
        <v>3</v>
      </c>
      <c r="J398" s="21">
        <v>477</v>
      </c>
      <c r="K398" s="22">
        <v>0.2</v>
      </c>
      <c r="L398" s="21">
        <v>1144.8</v>
      </c>
    </row>
    <row r="399" spans="1:12">
      <c r="A399" s="19" t="s">
        <v>469</v>
      </c>
      <c r="B399" s="20">
        <v>46355</v>
      </c>
      <c r="C399" s="19" t="s">
        <v>47</v>
      </c>
      <c r="D399" s="19" t="s">
        <v>35</v>
      </c>
      <c r="E399" s="19" t="s">
        <v>22</v>
      </c>
      <c r="F399" s="19" t="s">
        <v>60</v>
      </c>
      <c r="G399" s="19" t="s">
        <v>91</v>
      </c>
      <c r="H399" s="19" t="s">
        <v>83</v>
      </c>
      <c r="I399" s="19">
        <v>1</v>
      </c>
      <c r="J399" s="21">
        <v>603.20000000000005</v>
      </c>
      <c r="K399" s="22">
        <v>0.15</v>
      </c>
      <c r="L399" s="21">
        <v>512.72</v>
      </c>
    </row>
    <row r="400" spans="1:12">
      <c r="A400" s="19" t="s">
        <v>470</v>
      </c>
      <c r="B400" s="20">
        <v>46168</v>
      </c>
      <c r="C400" s="19" t="s">
        <v>13</v>
      </c>
      <c r="D400" s="19" t="s">
        <v>35</v>
      </c>
      <c r="E400" s="19" t="s">
        <v>22</v>
      </c>
      <c r="F400" s="19" t="s">
        <v>48</v>
      </c>
      <c r="G400" s="19" t="s">
        <v>96</v>
      </c>
      <c r="H400" s="19" t="s">
        <v>18</v>
      </c>
      <c r="I400" s="19">
        <v>1</v>
      </c>
      <c r="J400" s="21">
        <v>2500</v>
      </c>
      <c r="K400" s="22">
        <v>0.03</v>
      </c>
      <c r="L400" s="21">
        <v>2425</v>
      </c>
    </row>
    <row r="401" spans="1:12">
      <c r="A401" s="19" t="s">
        <v>471</v>
      </c>
      <c r="B401" s="20">
        <v>46141</v>
      </c>
      <c r="C401" s="19" t="s">
        <v>20</v>
      </c>
      <c r="D401" s="19" t="s">
        <v>14</v>
      </c>
      <c r="E401" s="19" t="s">
        <v>15</v>
      </c>
      <c r="F401" s="19" t="s">
        <v>23</v>
      </c>
      <c r="G401" s="19" t="s">
        <v>52</v>
      </c>
      <c r="H401" s="19" t="s">
        <v>25</v>
      </c>
      <c r="I401" s="19">
        <v>3</v>
      </c>
      <c r="J401" s="21">
        <v>436.5</v>
      </c>
      <c r="K401" s="22">
        <v>0.03</v>
      </c>
      <c r="L401" s="21">
        <v>1270.2149999999999</v>
      </c>
    </row>
    <row r="402" spans="1:12">
      <c r="A402" s="19" t="s">
        <v>472</v>
      </c>
      <c r="B402" s="20">
        <v>46276</v>
      </c>
      <c r="C402" s="19" t="s">
        <v>86</v>
      </c>
      <c r="D402" s="19" t="s">
        <v>14</v>
      </c>
      <c r="E402" s="19" t="s">
        <v>22</v>
      </c>
      <c r="F402" s="19" t="s">
        <v>60</v>
      </c>
      <c r="G402" s="19" t="s">
        <v>67</v>
      </c>
      <c r="H402" s="19" t="s">
        <v>87</v>
      </c>
      <c r="I402" s="19">
        <v>2</v>
      </c>
      <c r="J402" s="21">
        <v>1560</v>
      </c>
      <c r="K402" s="22">
        <v>0.08</v>
      </c>
      <c r="L402" s="21">
        <v>2870.4</v>
      </c>
    </row>
    <row r="403" spans="1:12">
      <c r="A403" s="19" t="s">
        <v>473</v>
      </c>
      <c r="B403" s="20">
        <v>46180</v>
      </c>
      <c r="C403" s="19" t="s">
        <v>86</v>
      </c>
      <c r="D403" s="19" t="s">
        <v>35</v>
      </c>
      <c r="E403" s="19" t="s">
        <v>22</v>
      </c>
      <c r="F403" s="19" t="s">
        <v>48</v>
      </c>
      <c r="G403" s="19" t="s">
        <v>99</v>
      </c>
      <c r="H403" s="19" t="s">
        <v>102</v>
      </c>
      <c r="I403" s="19">
        <v>1</v>
      </c>
      <c r="J403" s="21">
        <v>3180</v>
      </c>
      <c r="K403" s="22">
        <v>0.05</v>
      </c>
      <c r="L403" s="21">
        <v>3021</v>
      </c>
    </row>
    <row r="404" spans="1:12">
      <c r="A404" s="19" t="s">
        <v>474</v>
      </c>
      <c r="B404" s="20">
        <v>46308</v>
      </c>
      <c r="C404" s="19" t="s">
        <v>13</v>
      </c>
      <c r="D404" s="19" t="s">
        <v>41</v>
      </c>
      <c r="E404" s="19" t="s">
        <v>22</v>
      </c>
      <c r="F404" s="19" t="s">
        <v>23</v>
      </c>
      <c r="G404" s="19" t="s">
        <v>24</v>
      </c>
      <c r="H404" s="19" t="s">
        <v>29</v>
      </c>
      <c r="I404" s="19">
        <v>1</v>
      </c>
      <c r="J404" s="21">
        <v>90</v>
      </c>
      <c r="K404" s="22">
        <v>0.08</v>
      </c>
      <c r="L404" s="21">
        <v>82.8</v>
      </c>
    </row>
    <row r="405" spans="1:12">
      <c r="A405" s="19" t="s">
        <v>475</v>
      </c>
      <c r="B405" s="20">
        <v>46346</v>
      </c>
      <c r="C405" s="19" t="s">
        <v>13</v>
      </c>
      <c r="D405" s="19" t="s">
        <v>35</v>
      </c>
      <c r="E405" s="19" t="s">
        <v>15</v>
      </c>
      <c r="F405" s="19" t="s">
        <v>27</v>
      </c>
      <c r="G405" s="19" t="s">
        <v>32</v>
      </c>
      <c r="H405" s="19" t="s">
        <v>43</v>
      </c>
      <c r="I405" s="19">
        <v>10</v>
      </c>
      <c r="J405" s="21">
        <v>271.60000000000002</v>
      </c>
      <c r="K405" s="22">
        <v>0.08</v>
      </c>
      <c r="L405" s="21">
        <v>2498.7200000000003</v>
      </c>
    </row>
    <row r="406" spans="1:12">
      <c r="A406" s="19" t="s">
        <v>476</v>
      </c>
      <c r="B406" s="20">
        <v>46176</v>
      </c>
      <c r="C406" s="19" t="s">
        <v>86</v>
      </c>
      <c r="D406" s="19" t="s">
        <v>14</v>
      </c>
      <c r="E406" s="19" t="s">
        <v>22</v>
      </c>
      <c r="F406" s="19" t="s">
        <v>23</v>
      </c>
      <c r="G406" s="19" t="s">
        <v>24</v>
      </c>
      <c r="H406" s="19" t="s">
        <v>93</v>
      </c>
      <c r="I406" s="19">
        <v>4</v>
      </c>
      <c r="J406" s="21">
        <v>90</v>
      </c>
      <c r="K406" s="22">
        <v>0.1</v>
      </c>
      <c r="L406" s="21">
        <v>324</v>
      </c>
    </row>
    <row r="407" spans="1:12">
      <c r="A407" s="19" t="s">
        <v>477</v>
      </c>
      <c r="B407" s="20">
        <v>46280</v>
      </c>
      <c r="C407" s="19" t="s">
        <v>31</v>
      </c>
      <c r="D407" s="19" t="s">
        <v>41</v>
      </c>
      <c r="E407" s="19" t="s">
        <v>22</v>
      </c>
      <c r="F407" s="19" t="s">
        <v>60</v>
      </c>
      <c r="G407" s="19" t="s">
        <v>61</v>
      </c>
      <c r="H407" s="19" t="s">
        <v>39</v>
      </c>
      <c r="I407" s="19">
        <v>3</v>
      </c>
      <c r="J407" s="21">
        <v>807.5</v>
      </c>
      <c r="K407" s="22">
        <v>0.08</v>
      </c>
      <c r="L407" s="21">
        <v>2228.7000000000003</v>
      </c>
    </row>
    <row r="408" spans="1:12">
      <c r="A408" s="19" t="s">
        <v>478</v>
      </c>
      <c r="B408" s="20">
        <v>46118</v>
      </c>
      <c r="C408" s="19" t="s">
        <v>13</v>
      </c>
      <c r="D408" s="19" t="s">
        <v>14</v>
      </c>
      <c r="E408" s="19" t="s">
        <v>22</v>
      </c>
      <c r="F408" s="19" t="s">
        <v>27</v>
      </c>
      <c r="G408" s="19" t="s">
        <v>32</v>
      </c>
      <c r="H408" s="19" t="s">
        <v>29</v>
      </c>
      <c r="I408" s="19">
        <v>4</v>
      </c>
      <c r="J408" s="21">
        <v>280</v>
      </c>
      <c r="K408" s="22">
        <v>0.05</v>
      </c>
      <c r="L408" s="21">
        <v>1064</v>
      </c>
    </row>
    <row r="409" spans="1:12">
      <c r="A409" s="19" t="s">
        <v>479</v>
      </c>
      <c r="B409" s="20">
        <v>46180</v>
      </c>
      <c r="C409" s="19" t="s">
        <v>20</v>
      </c>
      <c r="D409" s="19" t="s">
        <v>35</v>
      </c>
      <c r="E409" s="19" t="s">
        <v>15</v>
      </c>
      <c r="F409" s="19" t="s">
        <v>48</v>
      </c>
      <c r="G409" s="19" t="s">
        <v>54</v>
      </c>
      <c r="H409" s="19" t="s">
        <v>25</v>
      </c>
      <c r="I409" s="19">
        <v>1</v>
      </c>
      <c r="J409" s="21">
        <v>1836</v>
      </c>
      <c r="K409" s="22">
        <v>0.15</v>
      </c>
      <c r="L409" s="21">
        <v>1560.6</v>
      </c>
    </row>
    <row r="410" spans="1:12">
      <c r="A410" s="19" t="s">
        <v>480</v>
      </c>
      <c r="B410" s="20">
        <v>46241</v>
      </c>
      <c r="C410" s="19" t="s">
        <v>20</v>
      </c>
      <c r="D410" s="19" t="s">
        <v>21</v>
      </c>
      <c r="E410" s="19" t="s">
        <v>15</v>
      </c>
      <c r="F410" s="19" t="s">
        <v>16</v>
      </c>
      <c r="G410" s="19" t="s">
        <v>65</v>
      </c>
      <c r="H410" s="19" t="s">
        <v>63</v>
      </c>
      <c r="I410" s="19">
        <v>3</v>
      </c>
      <c r="J410" s="21">
        <v>77.599999999999994</v>
      </c>
      <c r="K410" s="22">
        <v>0.05</v>
      </c>
      <c r="L410" s="21">
        <v>221.15999999999997</v>
      </c>
    </row>
    <row r="411" spans="1:12">
      <c r="A411" s="19" t="s">
        <v>481</v>
      </c>
      <c r="B411" s="20">
        <v>46382</v>
      </c>
      <c r="C411" s="19" t="s">
        <v>20</v>
      </c>
      <c r="D411" s="19" t="s">
        <v>14</v>
      </c>
      <c r="E411" s="19" t="s">
        <v>22</v>
      </c>
      <c r="F411" s="19" t="s">
        <v>23</v>
      </c>
      <c r="G411" s="19" t="s">
        <v>138</v>
      </c>
      <c r="H411" s="19" t="s">
        <v>25</v>
      </c>
      <c r="I411" s="19">
        <v>7</v>
      </c>
      <c r="J411" s="21">
        <v>63.6</v>
      </c>
      <c r="K411" s="22">
        <v>0.1</v>
      </c>
      <c r="L411" s="21">
        <v>400.68</v>
      </c>
    </row>
    <row r="412" spans="1:12">
      <c r="A412" s="19" t="s">
        <v>482</v>
      </c>
      <c r="B412" s="20">
        <v>46326</v>
      </c>
      <c r="C412" s="19" t="s">
        <v>13</v>
      </c>
      <c r="D412" s="19" t="s">
        <v>35</v>
      </c>
      <c r="E412" s="19" t="s">
        <v>22</v>
      </c>
      <c r="F412" s="19" t="s">
        <v>27</v>
      </c>
      <c r="G412" s="19" t="s">
        <v>155</v>
      </c>
      <c r="H412" s="19" t="s">
        <v>18</v>
      </c>
      <c r="I412" s="19">
        <v>5</v>
      </c>
      <c r="J412" s="21">
        <v>174.6</v>
      </c>
      <c r="K412" s="22">
        <v>0.05</v>
      </c>
      <c r="L412" s="21">
        <v>829.34999999999991</v>
      </c>
    </row>
    <row r="413" spans="1:12">
      <c r="A413" s="19" t="s">
        <v>483</v>
      </c>
      <c r="B413" s="20">
        <v>46273</v>
      </c>
      <c r="C413" s="19" t="s">
        <v>47</v>
      </c>
      <c r="D413" s="19" t="s">
        <v>21</v>
      </c>
      <c r="E413" s="19" t="s">
        <v>15</v>
      </c>
      <c r="F413" s="19" t="s">
        <v>60</v>
      </c>
      <c r="G413" s="19" t="s">
        <v>67</v>
      </c>
      <c r="H413" s="19" t="s">
        <v>55</v>
      </c>
      <c r="I413" s="19">
        <v>1</v>
      </c>
      <c r="J413" s="21">
        <v>1500</v>
      </c>
      <c r="K413" s="22">
        <v>0.03</v>
      </c>
      <c r="L413" s="21">
        <v>1455</v>
      </c>
    </row>
    <row r="414" spans="1:12">
      <c r="A414" s="19" t="s">
        <v>484</v>
      </c>
      <c r="B414" s="20">
        <v>46329</v>
      </c>
      <c r="C414" s="19" t="s">
        <v>20</v>
      </c>
      <c r="D414" s="19" t="s">
        <v>14</v>
      </c>
      <c r="E414" s="19" t="s">
        <v>15</v>
      </c>
      <c r="F414" s="19" t="s">
        <v>16</v>
      </c>
      <c r="G414" s="19" t="s">
        <v>65</v>
      </c>
      <c r="H414" s="19" t="s">
        <v>25</v>
      </c>
      <c r="I414" s="19">
        <v>1</v>
      </c>
      <c r="J414" s="21">
        <v>80</v>
      </c>
      <c r="K414" s="22">
        <v>0.15</v>
      </c>
      <c r="L414" s="21">
        <v>68</v>
      </c>
    </row>
    <row r="415" spans="1:12">
      <c r="A415" s="19" t="s">
        <v>485</v>
      </c>
      <c r="B415" s="20">
        <v>46210</v>
      </c>
      <c r="C415" s="19" t="s">
        <v>31</v>
      </c>
      <c r="D415" s="19" t="s">
        <v>14</v>
      </c>
      <c r="E415" s="19" t="s">
        <v>15</v>
      </c>
      <c r="F415" s="19" t="s">
        <v>16</v>
      </c>
      <c r="G415" s="19" t="s">
        <v>112</v>
      </c>
      <c r="H415" s="19" t="s">
        <v>79</v>
      </c>
      <c r="I415" s="19">
        <v>1</v>
      </c>
      <c r="J415" s="21">
        <v>66.3</v>
      </c>
      <c r="K415" s="22">
        <v>0</v>
      </c>
      <c r="L415" s="21">
        <v>66.3</v>
      </c>
    </row>
    <row r="416" spans="1:12">
      <c r="A416" s="19" t="s">
        <v>486</v>
      </c>
      <c r="B416" s="20">
        <v>46287</v>
      </c>
      <c r="C416" s="19" t="s">
        <v>20</v>
      </c>
      <c r="D416" s="19" t="s">
        <v>14</v>
      </c>
      <c r="E416" s="19" t="s">
        <v>22</v>
      </c>
      <c r="F416" s="19" t="s">
        <v>27</v>
      </c>
      <c r="G416" s="19" t="s">
        <v>155</v>
      </c>
      <c r="H416" s="19" t="s">
        <v>58</v>
      </c>
      <c r="I416" s="19">
        <v>3</v>
      </c>
      <c r="J416" s="21">
        <v>183.6</v>
      </c>
      <c r="K416" s="22">
        <v>0.05</v>
      </c>
      <c r="L416" s="21">
        <v>523.25999999999988</v>
      </c>
    </row>
    <row r="417" spans="1:12">
      <c r="A417" s="19" t="s">
        <v>487</v>
      </c>
      <c r="B417" s="20">
        <v>46342</v>
      </c>
      <c r="C417" s="19" t="s">
        <v>31</v>
      </c>
      <c r="D417" s="19" t="s">
        <v>35</v>
      </c>
      <c r="E417" s="19" t="s">
        <v>22</v>
      </c>
      <c r="F417" s="19" t="s">
        <v>60</v>
      </c>
      <c r="G417" s="19" t="s">
        <v>61</v>
      </c>
      <c r="H417" s="19" t="s">
        <v>39</v>
      </c>
      <c r="I417" s="19">
        <v>2</v>
      </c>
      <c r="J417" s="21">
        <v>807.5</v>
      </c>
      <c r="K417" s="22">
        <v>0.08</v>
      </c>
      <c r="L417" s="21">
        <v>1485.8</v>
      </c>
    </row>
    <row r="418" spans="1:12">
      <c r="A418" s="19" t="s">
        <v>488</v>
      </c>
      <c r="B418" s="20">
        <v>46034</v>
      </c>
      <c r="C418" s="19" t="s">
        <v>86</v>
      </c>
      <c r="D418" s="19" t="s">
        <v>35</v>
      </c>
      <c r="E418" s="19" t="s">
        <v>15</v>
      </c>
      <c r="F418" s="19" t="s">
        <v>27</v>
      </c>
      <c r="G418" s="19" t="s">
        <v>155</v>
      </c>
      <c r="H418" s="19" t="s">
        <v>93</v>
      </c>
      <c r="I418" s="19">
        <v>9</v>
      </c>
      <c r="J418" s="21">
        <v>183.6</v>
      </c>
      <c r="K418" s="22">
        <v>0</v>
      </c>
      <c r="L418" s="21">
        <v>1652.3999999999999</v>
      </c>
    </row>
    <row r="419" spans="1:12">
      <c r="A419" s="19" t="s">
        <v>489</v>
      </c>
      <c r="B419" s="20">
        <v>46146</v>
      </c>
      <c r="C419" s="19" t="s">
        <v>86</v>
      </c>
      <c r="D419" s="19" t="s">
        <v>21</v>
      </c>
      <c r="E419" s="19" t="s">
        <v>15</v>
      </c>
      <c r="F419" s="19" t="s">
        <v>60</v>
      </c>
      <c r="G419" s="19" t="s">
        <v>61</v>
      </c>
      <c r="H419" s="19" t="s">
        <v>102</v>
      </c>
      <c r="I419" s="19">
        <v>1</v>
      </c>
      <c r="J419" s="21">
        <v>850</v>
      </c>
      <c r="K419" s="22">
        <v>0.05</v>
      </c>
      <c r="L419" s="21">
        <v>807.5</v>
      </c>
    </row>
    <row r="420" spans="1:12">
      <c r="A420" s="19" t="s">
        <v>490</v>
      </c>
      <c r="B420" s="20">
        <v>46095</v>
      </c>
      <c r="C420" s="19" t="s">
        <v>31</v>
      </c>
      <c r="D420" s="19" t="s">
        <v>35</v>
      </c>
      <c r="E420" s="19" t="s">
        <v>22</v>
      </c>
      <c r="F420" s="19" t="s">
        <v>27</v>
      </c>
      <c r="G420" s="19" t="s">
        <v>28</v>
      </c>
      <c r="H420" s="19" t="s">
        <v>39</v>
      </c>
      <c r="I420" s="19">
        <v>4</v>
      </c>
      <c r="J420" s="21">
        <v>21.2</v>
      </c>
      <c r="K420" s="22">
        <v>0.03</v>
      </c>
      <c r="L420" s="21">
        <v>82.256</v>
      </c>
    </row>
    <row r="421" spans="1:12">
      <c r="A421" s="19" t="s">
        <v>491</v>
      </c>
      <c r="B421" s="20">
        <v>46292</v>
      </c>
      <c r="C421" s="19" t="s">
        <v>31</v>
      </c>
      <c r="D421" s="19" t="s">
        <v>14</v>
      </c>
      <c r="E421" s="19" t="s">
        <v>15</v>
      </c>
      <c r="F421" s="19" t="s">
        <v>48</v>
      </c>
      <c r="G421" s="19" t="s">
        <v>49</v>
      </c>
      <c r="H421" s="19" t="s">
        <v>79</v>
      </c>
      <c r="I421" s="19">
        <v>1</v>
      </c>
      <c r="J421" s="21">
        <v>4200</v>
      </c>
      <c r="K421" s="22">
        <v>0.15</v>
      </c>
      <c r="L421" s="21">
        <v>3570</v>
      </c>
    </row>
    <row r="422" spans="1:12">
      <c r="A422" s="19" t="s">
        <v>492</v>
      </c>
      <c r="B422" s="20">
        <v>46174</v>
      </c>
      <c r="C422" s="19" t="s">
        <v>31</v>
      </c>
      <c r="D422" s="19" t="s">
        <v>21</v>
      </c>
      <c r="E422" s="19" t="s">
        <v>22</v>
      </c>
      <c r="F422" s="19" t="s">
        <v>73</v>
      </c>
      <c r="G422" s="19" t="s">
        <v>74</v>
      </c>
      <c r="H422" s="19" t="s">
        <v>39</v>
      </c>
      <c r="I422" s="19">
        <v>4</v>
      </c>
      <c r="J422" s="21">
        <v>8.16</v>
      </c>
      <c r="K422" s="22">
        <v>0.05</v>
      </c>
      <c r="L422" s="21">
        <v>31.007999999999999</v>
      </c>
    </row>
    <row r="423" spans="1:12">
      <c r="A423" s="19" t="s">
        <v>493</v>
      </c>
      <c r="B423" s="20">
        <v>46328</v>
      </c>
      <c r="C423" s="19" t="s">
        <v>86</v>
      </c>
      <c r="D423" s="19" t="s">
        <v>35</v>
      </c>
      <c r="E423" s="19" t="s">
        <v>15</v>
      </c>
      <c r="F423" s="19" t="s">
        <v>73</v>
      </c>
      <c r="G423" s="19" t="s">
        <v>145</v>
      </c>
      <c r="H423" s="19" t="s">
        <v>102</v>
      </c>
      <c r="I423" s="19">
        <v>6</v>
      </c>
      <c r="J423" s="21">
        <v>17.46</v>
      </c>
      <c r="K423" s="22">
        <v>0.05</v>
      </c>
      <c r="L423" s="21">
        <v>99.522000000000006</v>
      </c>
    </row>
    <row r="424" spans="1:12">
      <c r="A424" s="19" t="s">
        <v>494</v>
      </c>
      <c r="B424" s="20">
        <v>46160</v>
      </c>
      <c r="C424" s="19" t="s">
        <v>47</v>
      </c>
      <c r="D424" s="19" t="s">
        <v>14</v>
      </c>
      <c r="E424" s="19" t="s">
        <v>15</v>
      </c>
      <c r="F424" s="19" t="s">
        <v>16</v>
      </c>
      <c r="G424" s="19" t="s">
        <v>17</v>
      </c>
      <c r="H424" s="19" t="s">
        <v>55</v>
      </c>
      <c r="I424" s="19">
        <v>3</v>
      </c>
      <c r="J424" s="21">
        <v>15</v>
      </c>
      <c r="K424" s="22">
        <v>0.05</v>
      </c>
      <c r="L424" s="21">
        <v>42.75</v>
      </c>
    </row>
    <row r="425" spans="1:12">
      <c r="A425" s="19" t="s">
        <v>495</v>
      </c>
      <c r="B425" s="20">
        <v>46106</v>
      </c>
      <c r="C425" s="19" t="s">
        <v>86</v>
      </c>
      <c r="D425" s="19" t="s">
        <v>14</v>
      </c>
      <c r="E425" s="19" t="s">
        <v>22</v>
      </c>
      <c r="F425" s="19" t="s">
        <v>23</v>
      </c>
      <c r="G425" s="19" t="s">
        <v>24</v>
      </c>
      <c r="H425" s="19" t="s">
        <v>87</v>
      </c>
      <c r="I425" s="19">
        <v>2</v>
      </c>
      <c r="J425" s="21">
        <v>87.3</v>
      </c>
      <c r="K425" s="22">
        <v>0.03</v>
      </c>
      <c r="L425" s="21">
        <v>169.36199999999999</v>
      </c>
    </row>
    <row r="426" spans="1:12">
      <c r="A426" s="19" t="s">
        <v>496</v>
      </c>
      <c r="B426" s="20">
        <v>46384</v>
      </c>
      <c r="C426" s="19" t="s">
        <v>31</v>
      </c>
      <c r="D426" s="19" t="s">
        <v>41</v>
      </c>
      <c r="E426" s="19" t="s">
        <v>15</v>
      </c>
      <c r="F426" s="19" t="s">
        <v>23</v>
      </c>
      <c r="G426" s="19" t="s">
        <v>24</v>
      </c>
      <c r="H426" s="19" t="s">
        <v>33</v>
      </c>
      <c r="I426" s="19">
        <v>1</v>
      </c>
      <c r="J426" s="21">
        <v>87.3</v>
      </c>
      <c r="K426" s="22">
        <v>0.05</v>
      </c>
      <c r="L426" s="21">
        <v>82.934999999999988</v>
      </c>
    </row>
    <row r="427" spans="1:12">
      <c r="A427" s="19" t="s">
        <v>497</v>
      </c>
      <c r="B427" s="20">
        <v>46152</v>
      </c>
      <c r="C427" s="19" t="s">
        <v>13</v>
      </c>
      <c r="D427" s="19" t="s">
        <v>21</v>
      </c>
      <c r="E427" s="19" t="s">
        <v>22</v>
      </c>
      <c r="F427" s="19" t="s">
        <v>73</v>
      </c>
      <c r="G427" s="19" t="s">
        <v>129</v>
      </c>
      <c r="H427" s="19" t="s">
        <v>18</v>
      </c>
      <c r="I427" s="19">
        <v>2</v>
      </c>
      <c r="J427" s="21">
        <v>37.1</v>
      </c>
      <c r="K427" s="22">
        <v>0.03</v>
      </c>
      <c r="L427" s="21">
        <v>71.974000000000004</v>
      </c>
    </row>
    <row r="428" spans="1:12">
      <c r="A428" s="19" t="s">
        <v>498</v>
      </c>
      <c r="B428" s="20">
        <v>46061</v>
      </c>
      <c r="C428" s="19" t="s">
        <v>13</v>
      </c>
      <c r="D428" s="19" t="s">
        <v>41</v>
      </c>
      <c r="E428" s="19" t="s">
        <v>22</v>
      </c>
      <c r="F428" s="19" t="s">
        <v>16</v>
      </c>
      <c r="G428" s="19" t="s">
        <v>112</v>
      </c>
      <c r="H428" s="19" t="s">
        <v>29</v>
      </c>
      <c r="I428" s="19">
        <v>1</v>
      </c>
      <c r="J428" s="21">
        <v>67.599999999999994</v>
      </c>
      <c r="K428" s="22">
        <v>0</v>
      </c>
      <c r="L428" s="21">
        <v>67.599999999999994</v>
      </c>
    </row>
    <row r="429" spans="1:12">
      <c r="A429" s="19" t="s">
        <v>499</v>
      </c>
      <c r="B429" s="20">
        <v>46204</v>
      </c>
      <c r="C429" s="19" t="s">
        <v>13</v>
      </c>
      <c r="D429" s="19" t="s">
        <v>21</v>
      </c>
      <c r="E429" s="19" t="s">
        <v>22</v>
      </c>
      <c r="F429" s="19" t="s">
        <v>16</v>
      </c>
      <c r="G429" s="19" t="s">
        <v>65</v>
      </c>
      <c r="H429" s="19" t="s">
        <v>29</v>
      </c>
      <c r="I429" s="19">
        <v>1</v>
      </c>
      <c r="J429" s="21">
        <v>80</v>
      </c>
      <c r="K429" s="22">
        <v>0.15</v>
      </c>
      <c r="L429" s="21">
        <v>68</v>
      </c>
    </row>
    <row r="430" spans="1:12">
      <c r="A430" s="19" t="s">
        <v>500</v>
      </c>
      <c r="B430" s="20">
        <v>46150</v>
      </c>
      <c r="C430" s="19" t="s">
        <v>13</v>
      </c>
      <c r="D430" s="19" t="s">
        <v>21</v>
      </c>
      <c r="E430" s="19" t="s">
        <v>15</v>
      </c>
      <c r="F430" s="19" t="s">
        <v>60</v>
      </c>
      <c r="G430" s="19" t="s">
        <v>61</v>
      </c>
      <c r="H430" s="19" t="s">
        <v>29</v>
      </c>
      <c r="I430" s="19">
        <v>1</v>
      </c>
      <c r="J430" s="21">
        <v>807.5</v>
      </c>
      <c r="K430" s="22">
        <v>0.03</v>
      </c>
      <c r="L430" s="21">
        <v>783.27499999999998</v>
      </c>
    </row>
    <row r="431" spans="1:12">
      <c r="A431" s="19" t="s">
        <v>501</v>
      </c>
      <c r="B431" s="20">
        <v>46341</v>
      </c>
      <c r="C431" s="19" t="s">
        <v>47</v>
      </c>
      <c r="D431" s="19" t="s">
        <v>21</v>
      </c>
      <c r="E431" s="19" t="s">
        <v>15</v>
      </c>
      <c r="F431" s="19" t="s">
        <v>60</v>
      </c>
      <c r="G431" s="19" t="s">
        <v>61</v>
      </c>
      <c r="H431" s="19" t="s">
        <v>55</v>
      </c>
      <c r="I431" s="19">
        <v>2</v>
      </c>
      <c r="J431" s="21">
        <v>901</v>
      </c>
      <c r="K431" s="22">
        <v>0.1</v>
      </c>
      <c r="L431" s="21">
        <v>1621.8</v>
      </c>
    </row>
    <row r="432" spans="1:12">
      <c r="A432" s="19" t="s">
        <v>502</v>
      </c>
      <c r="B432" s="20">
        <v>46194</v>
      </c>
      <c r="C432" s="19" t="s">
        <v>13</v>
      </c>
      <c r="D432" s="19" t="s">
        <v>14</v>
      </c>
      <c r="E432" s="19" t="s">
        <v>15</v>
      </c>
      <c r="F432" s="19" t="s">
        <v>60</v>
      </c>
      <c r="G432" s="19" t="s">
        <v>91</v>
      </c>
      <c r="H432" s="19" t="s">
        <v>18</v>
      </c>
      <c r="I432" s="19">
        <v>1</v>
      </c>
      <c r="J432" s="21">
        <v>614.79999999999995</v>
      </c>
      <c r="K432" s="22">
        <v>0.08</v>
      </c>
      <c r="L432" s="21">
        <v>565.61599999999999</v>
      </c>
    </row>
    <row r="433" spans="1:12">
      <c r="A433" s="19" t="s">
        <v>503</v>
      </c>
      <c r="B433" s="20">
        <v>46113</v>
      </c>
      <c r="C433" s="19" t="s">
        <v>20</v>
      </c>
      <c r="D433" s="19" t="s">
        <v>35</v>
      </c>
      <c r="E433" s="19" t="s">
        <v>15</v>
      </c>
      <c r="F433" s="19" t="s">
        <v>48</v>
      </c>
      <c r="G433" s="19" t="s">
        <v>99</v>
      </c>
      <c r="H433" s="19" t="s">
        <v>63</v>
      </c>
      <c r="I433" s="19">
        <v>1</v>
      </c>
      <c r="J433" s="21">
        <v>2850</v>
      </c>
      <c r="K433" s="22">
        <v>0.08</v>
      </c>
      <c r="L433" s="21">
        <v>2622</v>
      </c>
    </row>
    <row r="434" spans="1:12">
      <c r="A434" s="19" t="s">
        <v>504</v>
      </c>
      <c r="B434" s="20">
        <v>46137</v>
      </c>
      <c r="C434" s="19" t="s">
        <v>20</v>
      </c>
      <c r="D434" s="19" t="s">
        <v>14</v>
      </c>
      <c r="E434" s="19" t="s">
        <v>15</v>
      </c>
      <c r="F434" s="19" t="s">
        <v>16</v>
      </c>
      <c r="G434" s="19" t="s">
        <v>57</v>
      </c>
      <c r="H434" s="19" t="s">
        <v>63</v>
      </c>
      <c r="I434" s="19">
        <v>2</v>
      </c>
      <c r="J434" s="21">
        <v>38</v>
      </c>
      <c r="K434" s="22">
        <v>0.05</v>
      </c>
      <c r="L434" s="21">
        <v>72.2</v>
      </c>
    </row>
    <row r="435" spans="1:12">
      <c r="A435" s="19" t="s">
        <v>505</v>
      </c>
      <c r="B435" s="20">
        <v>46135</v>
      </c>
      <c r="C435" s="19" t="s">
        <v>13</v>
      </c>
      <c r="D435" s="19" t="s">
        <v>21</v>
      </c>
      <c r="E435" s="19" t="s">
        <v>22</v>
      </c>
      <c r="F435" s="19" t="s">
        <v>48</v>
      </c>
      <c r="G435" s="19" t="s">
        <v>49</v>
      </c>
      <c r="H435" s="19" t="s">
        <v>43</v>
      </c>
      <c r="I435" s="19">
        <v>1</v>
      </c>
      <c r="J435" s="21">
        <v>4200</v>
      </c>
      <c r="K435" s="22">
        <v>0.1</v>
      </c>
      <c r="L435" s="21">
        <v>3780</v>
      </c>
    </row>
    <row r="436" spans="1:12">
      <c r="A436" s="19" t="s">
        <v>506</v>
      </c>
      <c r="B436" s="20">
        <v>46348</v>
      </c>
      <c r="C436" s="19" t="s">
        <v>86</v>
      </c>
      <c r="D436" s="19" t="s">
        <v>35</v>
      </c>
      <c r="E436" s="19" t="s">
        <v>22</v>
      </c>
      <c r="F436" s="19" t="s">
        <v>48</v>
      </c>
      <c r="G436" s="19" t="s">
        <v>96</v>
      </c>
      <c r="H436" s="19" t="s">
        <v>87</v>
      </c>
      <c r="I436" s="19">
        <v>1</v>
      </c>
      <c r="J436" s="21">
        <v>2425</v>
      </c>
      <c r="K436" s="22">
        <v>0.05</v>
      </c>
      <c r="L436" s="21">
        <v>2303.75</v>
      </c>
    </row>
    <row r="437" spans="1:12">
      <c r="A437" s="19" t="s">
        <v>507</v>
      </c>
      <c r="B437" s="20">
        <v>46188</v>
      </c>
      <c r="C437" s="19" t="s">
        <v>86</v>
      </c>
      <c r="D437" s="19" t="s">
        <v>21</v>
      </c>
      <c r="E437" s="19" t="s">
        <v>15</v>
      </c>
      <c r="F437" s="19" t="s">
        <v>16</v>
      </c>
      <c r="G437" s="19" t="s">
        <v>42</v>
      </c>
      <c r="H437" s="19" t="s">
        <v>102</v>
      </c>
      <c r="I437" s="19">
        <v>1</v>
      </c>
      <c r="J437" s="21">
        <v>42.75</v>
      </c>
      <c r="K437" s="22">
        <v>0.03</v>
      </c>
      <c r="L437" s="21">
        <v>41.467500000000001</v>
      </c>
    </row>
    <row r="438" spans="1:12">
      <c r="A438" s="19" t="s">
        <v>508</v>
      </c>
      <c r="B438" s="20">
        <v>46068</v>
      </c>
      <c r="C438" s="19" t="s">
        <v>13</v>
      </c>
      <c r="D438" s="19" t="s">
        <v>14</v>
      </c>
      <c r="E438" s="19" t="s">
        <v>15</v>
      </c>
      <c r="F438" s="19" t="s">
        <v>60</v>
      </c>
      <c r="G438" s="19" t="s">
        <v>67</v>
      </c>
      <c r="H438" s="19" t="s">
        <v>29</v>
      </c>
      <c r="I438" s="19">
        <v>1</v>
      </c>
      <c r="J438" s="21">
        <v>1560</v>
      </c>
      <c r="K438" s="22">
        <v>0.08</v>
      </c>
      <c r="L438" s="21">
        <v>1435.2</v>
      </c>
    </row>
    <row r="439" spans="1:12">
      <c r="A439" s="19" t="s">
        <v>509</v>
      </c>
      <c r="B439" s="20">
        <v>46199</v>
      </c>
      <c r="C439" s="19" t="s">
        <v>31</v>
      </c>
      <c r="D439" s="19" t="s">
        <v>14</v>
      </c>
      <c r="E439" s="19" t="s">
        <v>22</v>
      </c>
      <c r="F439" s="19" t="s">
        <v>16</v>
      </c>
      <c r="G439" s="19" t="s">
        <v>57</v>
      </c>
      <c r="H439" s="19" t="s">
        <v>79</v>
      </c>
      <c r="I439" s="19">
        <v>1</v>
      </c>
      <c r="J439" s="21">
        <v>39.520000000000003</v>
      </c>
      <c r="K439" s="22">
        <v>0.08</v>
      </c>
      <c r="L439" s="21">
        <v>36.358400000000003</v>
      </c>
    </row>
    <row r="440" spans="1:12">
      <c r="A440" s="19" t="s">
        <v>510</v>
      </c>
      <c r="B440" s="20">
        <v>46335</v>
      </c>
      <c r="C440" s="19" t="s">
        <v>47</v>
      </c>
      <c r="D440" s="19" t="s">
        <v>41</v>
      </c>
      <c r="E440" s="19" t="s">
        <v>15</v>
      </c>
      <c r="F440" s="19" t="s">
        <v>23</v>
      </c>
      <c r="G440" s="19" t="s">
        <v>38</v>
      </c>
      <c r="H440" s="19" t="s">
        <v>55</v>
      </c>
      <c r="I440" s="19">
        <v>4</v>
      </c>
      <c r="J440" s="21">
        <v>332.8</v>
      </c>
      <c r="K440" s="22">
        <v>0.08</v>
      </c>
      <c r="L440" s="21">
        <v>1224.7040000000002</v>
      </c>
    </row>
    <row r="441" spans="1:12">
      <c r="A441" s="19" t="s">
        <v>511</v>
      </c>
      <c r="B441" s="20">
        <v>46363</v>
      </c>
      <c r="C441" s="19" t="s">
        <v>20</v>
      </c>
      <c r="D441" s="19" t="s">
        <v>35</v>
      </c>
      <c r="E441" s="19" t="s">
        <v>22</v>
      </c>
      <c r="F441" s="19" t="s">
        <v>27</v>
      </c>
      <c r="G441" s="19" t="s">
        <v>155</v>
      </c>
      <c r="H441" s="19" t="s">
        <v>63</v>
      </c>
      <c r="I441" s="19">
        <v>9</v>
      </c>
      <c r="J441" s="21">
        <v>187.2</v>
      </c>
      <c r="K441" s="22">
        <v>0.05</v>
      </c>
      <c r="L441" s="21">
        <v>1600.56</v>
      </c>
    </row>
    <row r="442" spans="1:12">
      <c r="A442" s="19" t="s">
        <v>512</v>
      </c>
      <c r="B442" s="20">
        <v>46105</v>
      </c>
      <c r="C442" s="19" t="s">
        <v>31</v>
      </c>
      <c r="D442" s="19" t="s">
        <v>41</v>
      </c>
      <c r="E442" s="19" t="s">
        <v>22</v>
      </c>
      <c r="F442" s="19" t="s">
        <v>16</v>
      </c>
      <c r="G442" s="19" t="s">
        <v>17</v>
      </c>
      <c r="H442" s="19" t="s">
        <v>39</v>
      </c>
      <c r="I442" s="19">
        <v>1</v>
      </c>
      <c r="J442" s="21">
        <v>15</v>
      </c>
      <c r="K442" s="22">
        <v>0.15</v>
      </c>
      <c r="L442" s="21">
        <v>12.75</v>
      </c>
    </row>
    <row r="443" spans="1:12">
      <c r="A443" s="19" t="s">
        <v>513</v>
      </c>
      <c r="B443" s="20">
        <v>46085</v>
      </c>
      <c r="C443" s="19" t="s">
        <v>31</v>
      </c>
      <c r="D443" s="19" t="s">
        <v>21</v>
      </c>
      <c r="E443" s="19" t="s">
        <v>15</v>
      </c>
      <c r="F443" s="19" t="s">
        <v>73</v>
      </c>
      <c r="G443" s="19" t="s">
        <v>74</v>
      </c>
      <c r="H443" s="19" t="s">
        <v>79</v>
      </c>
      <c r="I443" s="19">
        <v>2</v>
      </c>
      <c r="J443" s="21">
        <v>7.76</v>
      </c>
      <c r="K443" s="22">
        <v>0</v>
      </c>
      <c r="L443" s="21">
        <v>15.52</v>
      </c>
    </row>
    <row r="444" spans="1:12">
      <c r="A444" s="19" t="s">
        <v>514</v>
      </c>
      <c r="B444" s="20">
        <v>46257</v>
      </c>
      <c r="C444" s="19" t="s">
        <v>20</v>
      </c>
      <c r="D444" s="19" t="s">
        <v>21</v>
      </c>
      <c r="E444" s="19" t="s">
        <v>22</v>
      </c>
      <c r="F444" s="19" t="s">
        <v>16</v>
      </c>
      <c r="G444" s="19" t="s">
        <v>112</v>
      </c>
      <c r="H444" s="19" t="s">
        <v>58</v>
      </c>
      <c r="I444" s="19">
        <v>1</v>
      </c>
      <c r="J444" s="21">
        <v>68.900000000000006</v>
      </c>
      <c r="K444" s="22">
        <v>0.08</v>
      </c>
      <c r="L444" s="21">
        <v>63.388000000000005</v>
      </c>
    </row>
    <row r="445" spans="1:12">
      <c r="A445" s="19" t="s">
        <v>515</v>
      </c>
      <c r="B445" s="20">
        <v>46034</v>
      </c>
      <c r="C445" s="19" t="s">
        <v>13</v>
      </c>
      <c r="D445" s="19" t="s">
        <v>35</v>
      </c>
      <c r="E445" s="19" t="s">
        <v>22</v>
      </c>
      <c r="F445" s="19" t="s">
        <v>48</v>
      </c>
      <c r="G445" s="19" t="s">
        <v>96</v>
      </c>
      <c r="H445" s="19" t="s">
        <v>29</v>
      </c>
      <c r="I445" s="19">
        <v>4</v>
      </c>
      <c r="J445" s="21">
        <v>2550</v>
      </c>
      <c r="K445" s="22">
        <v>0.1</v>
      </c>
      <c r="L445" s="21">
        <v>9180</v>
      </c>
    </row>
    <row r="446" spans="1:12">
      <c r="A446" s="19" t="s">
        <v>516</v>
      </c>
      <c r="B446" s="20">
        <v>46341</v>
      </c>
      <c r="C446" s="19" t="s">
        <v>13</v>
      </c>
      <c r="D446" s="19" t="s">
        <v>14</v>
      </c>
      <c r="E446" s="19" t="s">
        <v>22</v>
      </c>
      <c r="F446" s="19" t="s">
        <v>23</v>
      </c>
      <c r="G446" s="19" t="s">
        <v>138</v>
      </c>
      <c r="H446" s="19" t="s">
        <v>29</v>
      </c>
      <c r="I446" s="19">
        <v>2</v>
      </c>
      <c r="J446" s="21">
        <v>57</v>
      </c>
      <c r="K446" s="22">
        <v>0.08</v>
      </c>
      <c r="L446" s="21">
        <v>104.88000000000001</v>
      </c>
    </row>
    <row r="447" spans="1:12">
      <c r="A447" s="19" t="s">
        <v>517</v>
      </c>
      <c r="B447" s="20">
        <v>46219</v>
      </c>
      <c r="C447" s="19" t="s">
        <v>31</v>
      </c>
      <c r="D447" s="19" t="s">
        <v>14</v>
      </c>
      <c r="E447" s="19" t="s">
        <v>15</v>
      </c>
      <c r="F447" s="19" t="s">
        <v>23</v>
      </c>
      <c r="G447" s="19" t="s">
        <v>138</v>
      </c>
      <c r="H447" s="19" t="s">
        <v>33</v>
      </c>
      <c r="I447" s="19">
        <v>1</v>
      </c>
      <c r="J447" s="21">
        <v>60</v>
      </c>
      <c r="K447" s="22">
        <v>0</v>
      </c>
      <c r="L447" s="21">
        <v>60</v>
      </c>
    </row>
    <row r="448" spans="1:12">
      <c r="A448" s="19" t="s">
        <v>518</v>
      </c>
      <c r="B448" s="20">
        <v>46344</v>
      </c>
      <c r="C448" s="19" t="s">
        <v>86</v>
      </c>
      <c r="D448" s="19" t="s">
        <v>14</v>
      </c>
      <c r="E448" s="19" t="s">
        <v>22</v>
      </c>
      <c r="F448" s="19" t="s">
        <v>48</v>
      </c>
      <c r="G448" s="19" t="s">
        <v>96</v>
      </c>
      <c r="H448" s="19" t="s">
        <v>87</v>
      </c>
      <c r="I448" s="19">
        <v>1</v>
      </c>
      <c r="J448" s="21">
        <v>2375</v>
      </c>
      <c r="K448" s="22">
        <v>0.08</v>
      </c>
      <c r="L448" s="21">
        <v>2185</v>
      </c>
    </row>
    <row r="449" spans="1:12">
      <c r="A449" s="19" t="s">
        <v>519</v>
      </c>
      <c r="B449" s="20">
        <v>46136</v>
      </c>
      <c r="C449" s="19" t="s">
        <v>31</v>
      </c>
      <c r="D449" s="19" t="s">
        <v>41</v>
      </c>
      <c r="E449" s="19" t="s">
        <v>22</v>
      </c>
      <c r="F449" s="19" t="s">
        <v>16</v>
      </c>
      <c r="G449" s="19" t="s">
        <v>17</v>
      </c>
      <c r="H449" s="19" t="s">
        <v>33</v>
      </c>
      <c r="I449" s="19">
        <v>4</v>
      </c>
      <c r="J449" s="21">
        <v>15.9</v>
      </c>
      <c r="K449" s="22">
        <v>0.03</v>
      </c>
      <c r="L449" s="21">
        <v>61.692</v>
      </c>
    </row>
    <row r="450" spans="1:12">
      <c r="A450" s="19" t="s">
        <v>520</v>
      </c>
      <c r="B450" s="20">
        <v>46163</v>
      </c>
      <c r="C450" s="19" t="s">
        <v>86</v>
      </c>
      <c r="D450" s="19" t="s">
        <v>14</v>
      </c>
      <c r="E450" s="19" t="s">
        <v>22</v>
      </c>
      <c r="F450" s="19" t="s">
        <v>16</v>
      </c>
      <c r="G450" s="19" t="s">
        <v>112</v>
      </c>
      <c r="H450" s="19" t="s">
        <v>102</v>
      </c>
      <c r="I450" s="19">
        <v>5</v>
      </c>
      <c r="J450" s="21">
        <v>65</v>
      </c>
      <c r="K450" s="22">
        <v>0.03</v>
      </c>
      <c r="L450" s="21">
        <v>315.25</v>
      </c>
    </row>
    <row r="451" spans="1:12">
      <c r="A451" s="19" t="s">
        <v>521</v>
      </c>
      <c r="B451" s="20">
        <v>46083</v>
      </c>
      <c r="C451" s="19" t="s">
        <v>20</v>
      </c>
      <c r="D451" s="19" t="s">
        <v>41</v>
      </c>
      <c r="E451" s="19" t="s">
        <v>22</v>
      </c>
      <c r="F451" s="19" t="s">
        <v>60</v>
      </c>
      <c r="G451" s="19" t="s">
        <v>67</v>
      </c>
      <c r="H451" s="19" t="s">
        <v>25</v>
      </c>
      <c r="I451" s="19">
        <v>1</v>
      </c>
      <c r="J451" s="21">
        <v>1425</v>
      </c>
      <c r="K451" s="22">
        <v>0.08</v>
      </c>
      <c r="L451" s="21">
        <v>1311</v>
      </c>
    </row>
    <row r="452" spans="1:12">
      <c r="A452" s="19" t="s">
        <v>522</v>
      </c>
      <c r="B452" s="20">
        <v>46052</v>
      </c>
      <c r="C452" s="19" t="s">
        <v>31</v>
      </c>
      <c r="D452" s="19" t="s">
        <v>21</v>
      </c>
      <c r="E452" s="19" t="s">
        <v>22</v>
      </c>
      <c r="F452" s="19" t="s">
        <v>16</v>
      </c>
      <c r="G452" s="19" t="s">
        <v>17</v>
      </c>
      <c r="H452" s="19" t="s">
        <v>33</v>
      </c>
      <c r="I452" s="19">
        <v>2</v>
      </c>
      <c r="J452" s="21">
        <v>14.25</v>
      </c>
      <c r="K452" s="22">
        <v>0.1</v>
      </c>
      <c r="L452" s="21">
        <v>25.650000000000002</v>
      </c>
    </row>
    <row r="453" spans="1:12">
      <c r="A453" s="19" t="s">
        <v>523</v>
      </c>
      <c r="B453" s="20">
        <v>46352</v>
      </c>
      <c r="C453" s="19" t="s">
        <v>13</v>
      </c>
      <c r="D453" s="19" t="s">
        <v>41</v>
      </c>
      <c r="E453" s="19" t="s">
        <v>15</v>
      </c>
      <c r="F453" s="19" t="s">
        <v>16</v>
      </c>
      <c r="G453" s="19" t="s">
        <v>42</v>
      </c>
      <c r="H453" s="19" t="s">
        <v>43</v>
      </c>
      <c r="I453" s="19">
        <v>1</v>
      </c>
      <c r="J453" s="21">
        <v>45</v>
      </c>
      <c r="K453" s="22">
        <v>0.05</v>
      </c>
      <c r="L453" s="21">
        <v>42.75</v>
      </c>
    </row>
    <row r="454" spans="1:12">
      <c r="A454" s="19" t="s">
        <v>524</v>
      </c>
      <c r="B454" s="20">
        <v>46077</v>
      </c>
      <c r="C454" s="19" t="s">
        <v>31</v>
      </c>
      <c r="D454" s="19" t="s">
        <v>21</v>
      </c>
      <c r="E454" s="19" t="s">
        <v>15</v>
      </c>
      <c r="F454" s="19" t="s">
        <v>23</v>
      </c>
      <c r="G454" s="19" t="s">
        <v>38</v>
      </c>
      <c r="H454" s="19" t="s">
        <v>39</v>
      </c>
      <c r="I454" s="19">
        <v>4</v>
      </c>
      <c r="J454" s="21">
        <v>332.8</v>
      </c>
      <c r="K454" s="22">
        <v>0.08</v>
      </c>
      <c r="L454" s="21">
        <v>1224.7040000000002</v>
      </c>
    </row>
    <row r="455" spans="1:12">
      <c r="A455" s="19" t="s">
        <v>525</v>
      </c>
      <c r="B455" s="20">
        <v>46157</v>
      </c>
      <c r="C455" s="19" t="s">
        <v>13</v>
      </c>
      <c r="D455" s="19" t="s">
        <v>21</v>
      </c>
      <c r="E455" s="19" t="s">
        <v>15</v>
      </c>
      <c r="F455" s="19" t="s">
        <v>73</v>
      </c>
      <c r="G455" s="19" t="s">
        <v>74</v>
      </c>
      <c r="H455" s="19" t="s">
        <v>43</v>
      </c>
      <c r="I455" s="19">
        <v>3</v>
      </c>
      <c r="J455" s="21">
        <v>8.32</v>
      </c>
      <c r="K455" s="22">
        <v>0.05</v>
      </c>
      <c r="L455" s="21">
        <v>23.712</v>
      </c>
    </row>
    <row r="456" spans="1:12">
      <c r="A456" s="19" t="s">
        <v>526</v>
      </c>
      <c r="B456" s="20">
        <v>46371</v>
      </c>
      <c r="C456" s="19" t="s">
        <v>47</v>
      </c>
      <c r="D456" s="19" t="s">
        <v>41</v>
      </c>
      <c r="E456" s="19" t="s">
        <v>22</v>
      </c>
      <c r="F456" s="19" t="s">
        <v>27</v>
      </c>
      <c r="G456" s="19" t="s">
        <v>28</v>
      </c>
      <c r="H456" s="19" t="s">
        <v>55</v>
      </c>
      <c r="I456" s="19">
        <v>4</v>
      </c>
      <c r="J456" s="21">
        <v>20.8</v>
      </c>
      <c r="K456" s="22">
        <v>0.08</v>
      </c>
      <c r="L456" s="21">
        <v>76.544000000000011</v>
      </c>
    </row>
    <row r="457" spans="1:12">
      <c r="A457" s="19" t="s">
        <v>527</v>
      </c>
      <c r="B457" s="20">
        <v>46150</v>
      </c>
      <c r="C457" s="19" t="s">
        <v>20</v>
      </c>
      <c r="D457" s="19" t="s">
        <v>14</v>
      </c>
      <c r="E457" s="19" t="s">
        <v>22</v>
      </c>
      <c r="F457" s="19" t="s">
        <v>27</v>
      </c>
      <c r="G457" s="19" t="s">
        <v>28</v>
      </c>
      <c r="H457" s="19" t="s">
        <v>63</v>
      </c>
      <c r="I457" s="19">
        <v>7</v>
      </c>
      <c r="J457" s="21">
        <v>20.399999999999999</v>
      </c>
      <c r="K457" s="22">
        <v>0.05</v>
      </c>
      <c r="L457" s="21">
        <v>135.65999999999997</v>
      </c>
    </row>
    <row r="458" spans="1:12">
      <c r="A458" s="19" t="s">
        <v>528</v>
      </c>
      <c r="B458" s="20">
        <v>46024</v>
      </c>
      <c r="C458" s="19" t="s">
        <v>47</v>
      </c>
      <c r="D458" s="19" t="s">
        <v>21</v>
      </c>
      <c r="E458" s="19" t="s">
        <v>22</v>
      </c>
      <c r="F458" s="19" t="s">
        <v>27</v>
      </c>
      <c r="G458" s="19" t="s">
        <v>28</v>
      </c>
      <c r="H458" s="19" t="s">
        <v>83</v>
      </c>
      <c r="I458" s="19">
        <v>2</v>
      </c>
      <c r="J458" s="21">
        <v>19</v>
      </c>
      <c r="K458" s="22">
        <v>0.03</v>
      </c>
      <c r="L458" s="21">
        <v>36.86</v>
      </c>
    </row>
    <row r="459" spans="1:12">
      <c r="A459" s="19" t="s">
        <v>529</v>
      </c>
      <c r="B459" s="20">
        <v>46049</v>
      </c>
      <c r="C459" s="19" t="s">
        <v>47</v>
      </c>
      <c r="D459" s="19" t="s">
        <v>41</v>
      </c>
      <c r="E459" s="19" t="s">
        <v>22</v>
      </c>
      <c r="F459" s="19" t="s">
        <v>60</v>
      </c>
      <c r="G459" s="19" t="s">
        <v>61</v>
      </c>
      <c r="H459" s="19" t="s">
        <v>50</v>
      </c>
      <c r="I459" s="19">
        <v>1</v>
      </c>
      <c r="J459" s="21">
        <v>824.5</v>
      </c>
      <c r="K459" s="22">
        <v>0.05</v>
      </c>
      <c r="L459" s="21">
        <v>783.27499999999998</v>
      </c>
    </row>
    <row r="460" spans="1:12">
      <c r="A460" s="19" t="s">
        <v>530</v>
      </c>
      <c r="B460" s="20">
        <v>46141</v>
      </c>
      <c r="C460" s="19" t="s">
        <v>20</v>
      </c>
      <c r="D460" s="19" t="s">
        <v>14</v>
      </c>
      <c r="E460" s="19" t="s">
        <v>22</v>
      </c>
      <c r="F460" s="19" t="s">
        <v>16</v>
      </c>
      <c r="G460" s="19" t="s">
        <v>69</v>
      </c>
      <c r="H460" s="19" t="s">
        <v>63</v>
      </c>
      <c r="I460" s="19">
        <v>4</v>
      </c>
      <c r="J460" s="21">
        <v>55</v>
      </c>
      <c r="K460" s="22">
        <v>0.08</v>
      </c>
      <c r="L460" s="21">
        <v>202.4</v>
      </c>
    </row>
    <row r="461" spans="1:12">
      <c r="A461" s="19" t="s">
        <v>531</v>
      </c>
      <c r="B461" s="20">
        <v>46108</v>
      </c>
      <c r="C461" s="19" t="s">
        <v>47</v>
      </c>
      <c r="D461" s="19" t="s">
        <v>35</v>
      </c>
      <c r="E461" s="19" t="s">
        <v>22</v>
      </c>
      <c r="F461" s="19" t="s">
        <v>48</v>
      </c>
      <c r="G461" s="19" t="s">
        <v>54</v>
      </c>
      <c r="H461" s="19" t="s">
        <v>50</v>
      </c>
      <c r="I461" s="19">
        <v>2</v>
      </c>
      <c r="J461" s="21">
        <v>1710</v>
      </c>
      <c r="K461" s="22">
        <v>0.08</v>
      </c>
      <c r="L461" s="21">
        <v>3146.4</v>
      </c>
    </row>
    <row r="462" spans="1:12">
      <c r="A462" s="19" t="s">
        <v>532</v>
      </c>
      <c r="B462" s="20">
        <v>46325</v>
      </c>
      <c r="C462" s="19" t="s">
        <v>13</v>
      </c>
      <c r="D462" s="19" t="s">
        <v>14</v>
      </c>
      <c r="E462" s="19" t="s">
        <v>22</v>
      </c>
      <c r="F462" s="19" t="s">
        <v>48</v>
      </c>
      <c r="G462" s="19" t="s">
        <v>71</v>
      </c>
      <c r="H462" s="19" t="s">
        <v>18</v>
      </c>
      <c r="I462" s="19">
        <v>2</v>
      </c>
      <c r="J462" s="21">
        <v>3200</v>
      </c>
      <c r="K462" s="22">
        <v>0.1</v>
      </c>
      <c r="L462" s="21">
        <v>5760</v>
      </c>
    </row>
    <row r="463" spans="1:12">
      <c r="A463" s="19" t="s">
        <v>533</v>
      </c>
      <c r="B463" s="20">
        <v>46286</v>
      </c>
      <c r="C463" s="19" t="s">
        <v>86</v>
      </c>
      <c r="D463" s="19" t="s">
        <v>14</v>
      </c>
      <c r="E463" s="19" t="s">
        <v>15</v>
      </c>
      <c r="F463" s="19" t="s">
        <v>60</v>
      </c>
      <c r="G463" s="19" t="s">
        <v>61</v>
      </c>
      <c r="H463" s="19" t="s">
        <v>93</v>
      </c>
      <c r="I463" s="19">
        <v>2</v>
      </c>
      <c r="J463" s="21">
        <v>867</v>
      </c>
      <c r="K463" s="22">
        <v>0</v>
      </c>
      <c r="L463" s="21">
        <v>1734</v>
      </c>
    </row>
    <row r="464" spans="1:12">
      <c r="A464" s="19" t="s">
        <v>534</v>
      </c>
      <c r="B464" s="20">
        <v>46278</v>
      </c>
      <c r="C464" s="19" t="s">
        <v>47</v>
      </c>
      <c r="D464" s="19" t="s">
        <v>35</v>
      </c>
      <c r="E464" s="19" t="s">
        <v>22</v>
      </c>
      <c r="F464" s="19" t="s">
        <v>48</v>
      </c>
      <c r="G464" s="19" t="s">
        <v>49</v>
      </c>
      <c r="H464" s="19" t="s">
        <v>83</v>
      </c>
      <c r="I464" s="19">
        <v>2</v>
      </c>
      <c r="J464" s="21">
        <v>4200</v>
      </c>
      <c r="K464" s="22">
        <v>0.03</v>
      </c>
      <c r="L464" s="21">
        <v>8148</v>
      </c>
    </row>
    <row r="465" spans="1:12">
      <c r="A465" s="19" t="s">
        <v>535</v>
      </c>
      <c r="B465" s="20">
        <v>46072</v>
      </c>
      <c r="C465" s="19" t="s">
        <v>13</v>
      </c>
      <c r="D465" s="19" t="s">
        <v>21</v>
      </c>
      <c r="E465" s="19" t="s">
        <v>15</v>
      </c>
      <c r="F465" s="19" t="s">
        <v>48</v>
      </c>
      <c r="G465" s="19" t="s">
        <v>49</v>
      </c>
      <c r="H465" s="19" t="s">
        <v>18</v>
      </c>
      <c r="I465" s="19">
        <v>2</v>
      </c>
      <c r="J465" s="21">
        <v>4200</v>
      </c>
      <c r="K465" s="22">
        <v>0.05</v>
      </c>
      <c r="L465" s="21">
        <v>7980</v>
      </c>
    </row>
    <row r="466" spans="1:12">
      <c r="A466" s="19" t="s">
        <v>536</v>
      </c>
      <c r="B466" s="20">
        <v>46224</v>
      </c>
      <c r="C466" s="19" t="s">
        <v>20</v>
      </c>
      <c r="D466" s="19" t="s">
        <v>21</v>
      </c>
      <c r="E466" s="19" t="s">
        <v>22</v>
      </c>
      <c r="F466" s="19" t="s">
        <v>60</v>
      </c>
      <c r="G466" s="19" t="s">
        <v>61</v>
      </c>
      <c r="H466" s="19" t="s">
        <v>58</v>
      </c>
      <c r="I466" s="19">
        <v>1</v>
      </c>
      <c r="J466" s="21">
        <v>824.5</v>
      </c>
      <c r="K466" s="22">
        <v>0.05</v>
      </c>
      <c r="L466" s="21">
        <v>783.27499999999998</v>
      </c>
    </row>
    <row r="467" spans="1:12">
      <c r="A467" s="19" t="s">
        <v>537</v>
      </c>
      <c r="B467" s="20">
        <v>46359</v>
      </c>
      <c r="C467" s="19" t="s">
        <v>31</v>
      </c>
      <c r="D467" s="19" t="s">
        <v>21</v>
      </c>
      <c r="E467" s="19" t="s">
        <v>22</v>
      </c>
      <c r="F467" s="19" t="s">
        <v>16</v>
      </c>
      <c r="G467" s="19" t="s">
        <v>57</v>
      </c>
      <c r="H467" s="19" t="s">
        <v>33</v>
      </c>
      <c r="I467" s="19">
        <v>4</v>
      </c>
      <c r="J467" s="21">
        <v>36.1</v>
      </c>
      <c r="K467" s="22">
        <v>0.03</v>
      </c>
      <c r="L467" s="21">
        <v>140.06800000000001</v>
      </c>
    </row>
    <row r="468" spans="1:12">
      <c r="A468" s="19" t="s">
        <v>538</v>
      </c>
      <c r="B468" s="20">
        <v>46260</v>
      </c>
      <c r="C468" s="19" t="s">
        <v>20</v>
      </c>
      <c r="D468" s="19" t="s">
        <v>14</v>
      </c>
      <c r="E468" s="19" t="s">
        <v>15</v>
      </c>
      <c r="F468" s="19" t="s">
        <v>73</v>
      </c>
      <c r="G468" s="19" t="s">
        <v>81</v>
      </c>
      <c r="H468" s="19" t="s">
        <v>25</v>
      </c>
      <c r="I468" s="19">
        <v>1</v>
      </c>
      <c r="J468" s="21">
        <v>12.24</v>
      </c>
      <c r="K468" s="22">
        <v>0.08</v>
      </c>
      <c r="L468" s="21">
        <v>11.260800000000001</v>
      </c>
    </row>
    <row r="469" spans="1:12">
      <c r="A469" s="19" t="s">
        <v>539</v>
      </c>
      <c r="B469" s="20">
        <v>46055</v>
      </c>
      <c r="C469" s="19" t="s">
        <v>86</v>
      </c>
      <c r="D469" s="19" t="s">
        <v>21</v>
      </c>
      <c r="E469" s="19" t="s">
        <v>15</v>
      </c>
      <c r="F469" s="19" t="s">
        <v>73</v>
      </c>
      <c r="G469" s="19" t="s">
        <v>129</v>
      </c>
      <c r="H469" s="19" t="s">
        <v>102</v>
      </c>
      <c r="I469" s="19">
        <v>2</v>
      </c>
      <c r="J469" s="21">
        <v>33.25</v>
      </c>
      <c r="K469" s="22">
        <v>0.1</v>
      </c>
      <c r="L469" s="21">
        <v>59.85</v>
      </c>
    </row>
    <row r="470" spans="1:12">
      <c r="A470" s="19" t="s">
        <v>540</v>
      </c>
      <c r="B470" s="20">
        <v>46174</v>
      </c>
      <c r="C470" s="19" t="s">
        <v>86</v>
      </c>
      <c r="D470" s="19" t="s">
        <v>35</v>
      </c>
      <c r="E470" s="19" t="s">
        <v>15</v>
      </c>
      <c r="F470" s="19" t="s">
        <v>60</v>
      </c>
      <c r="G470" s="19" t="s">
        <v>67</v>
      </c>
      <c r="H470" s="19" t="s">
        <v>87</v>
      </c>
      <c r="I470" s="19">
        <v>2</v>
      </c>
      <c r="J470" s="21">
        <v>1590</v>
      </c>
      <c r="K470" s="22">
        <v>0.2</v>
      </c>
      <c r="L470" s="21">
        <v>2544</v>
      </c>
    </row>
    <row r="471" spans="1:12">
      <c r="A471" s="19" t="s">
        <v>541</v>
      </c>
      <c r="B471" s="20">
        <v>46266</v>
      </c>
      <c r="C471" s="19" t="s">
        <v>86</v>
      </c>
      <c r="D471" s="19" t="s">
        <v>41</v>
      </c>
      <c r="E471" s="19" t="s">
        <v>22</v>
      </c>
      <c r="F471" s="19" t="s">
        <v>16</v>
      </c>
      <c r="G471" s="19" t="s">
        <v>42</v>
      </c>
      <c r="H471" s="19" t="s">
        <v>102</v>
      </c>
      <c r="I471" s="19">
        <v>1</v>
      </c>
      <c r="J471" s="21">
        <v>45</v>
      </c>
      <c r="K471" s="22">
        <v>0.1</v>
      </c>
      <c r="L471" s="21">
        <v>40.5</v>
      </c>
    </row>
    <row r="472" spans="1:12">
      <c r="A472" s="19" t="s">
        <v>542</v>
      </c>
      <c r="B472" s="20">
        <v>46043</v>
      </c>
      <c r="C472" s="19" t="s">
        <v>47</v>
      </c>
      <c r="D472" s="19" t="s">
        <v>14</v>
      </c>
      <c r="E472" s="19" t="s">
        <v>22</v>
      </c>
      <c r="F472" s="19" t="s">
        <v>23</v>
      </c>
      <c r="G472" s="19" t="s">
        <v>138</v>
      </c>
      <c r="H472" s="19" t="s">
        <v>55</v>
      </c>
      <c r="I472" s="19">
        <v>1</v>
      </c>
      <c r="J472" s="21">
        <v>58.2</v>
      </c>
      <c r="K472" s="22">
        <v>0.15</v>
      </c>
      <c r="L472" s="21">
        <v>49.47</v>
      </c>
    </row>
    <row r="473" spans="1:12">
      <c r="A473" s="19" t="s">
        <v>543</v>
      </c>
      <c r="B473" s="20">
        <v>46186</v>
      </c>
      <c r="C473" s="19" t="s">
        <v>20</v>
      </c>
      <c r="D473" s="19" t="s">
        <v>35</v>
      </c>
      <c r="E473" s="19" t="s">
        <v>22</v>
      </c>
      <c r="F473" s="19" t="s">
        <v>60</v>
      </c>
      <c r="G473" s="19" t="s">
        <v>91</v>
      </c>
      <c r="H473" s="19" t="s">
        <v>58</v>
      </c>
      <c r="I473" s="19">
        <v>1</v>
      </c>
      <c r="J473" s="21">
        <v>580</v>
      </c>
      <c r="K473" s="22">
        <v>0.2</v>
      </c>
      <c r="L473" s="21">
        <v>464</v>
      </c>
    </row>
    <row r="474" spans="1:12">
      <c r="A474" s="19" t="s">
        <v>544</v>
      </c>
      <c r="B474" s="20">
        <v>46357</v>
      </c>
      <c r="C474" s="19" t="s">
        <v>31</v>
      </c>
      <c r="D474" s="19" t="s">
        <v>41</v>
      </c>
      <c r="E474" s="19" t="s">
        <v>15</v>
      </c>
      <c r="F474" s="19" t="s">
        <v>60</v>
      </c>
      <c r="G474" s="19" t="s">
        <v>61</v>
      </c>
      <c r="H474" s="19" t="s">
        <v>39</v>
      </c>
      <c r="I474" s="19">
        <v>1</v>
      </c>
      <c r="J474" s="21">
        <v>807.5</v>
      </c>
      <c r="K474" s="22">
        <v>0.05</v>
      </c>
      <c r="L474" s="21">
        <v>767.125</v>
      </c>
    </row>
    <row r="475" spans="1:12">
      <c r="A475" s="19" t="s">
        <v>545</v>
      </c>
      <c r="B475" s="20">
        <v>46129</v>
      </c>
      <c r="C475" s="19" t="s">
        <v>86</v>
      </c>
      <c r="D475" s="19" t="s">
        <v>14</v>
      </c>
      <c r="E475" s="19" t="s">
        <v>15</v>
      </c>
      <c r="F475" s="19" t="s">
        <v>48</v>
      </c>
      <c r="G475" s="19" t="s">
        <v>71</v>
      </c>
      <c r="H475" s="19" t="s">
        <v>102</v>
      </c>
      <c r="I475" s="19">
        <v>1</v>
      </c>
      <c r="J475" s="21">
        <v>3200</v>
      </c>
      <c r="K475" s="22">
        <v>0.03</v>
      </c>
      <c r="L475" s="21">
        <v>3104</v>
      </c>
    </row>
    <row r="476" spans="1:12">
      <c r="A476" s="19" t="s">
        <v>546</v>
      </c>
      <c r="B476" s="20">
        <v>46268</v>
      </c>
      <c r="C476" s="19" t="s">
        <v>13</v>
      </c>
      <c r="D476" s="19" t="s">
        <v>21</v>
      </c>
      <c r="E476" s="19" t="s">
        <v>22</v>
      </c>
      <c r="F476" s="19" t="s">
        <v>73</v>
      </c>
      <c r="G476" s="19" t="s">
        <v>81</v>
      </c>
      <c r="H476" s="19" t="s">
        <v>29</v>
      </c>
      <c r="I476" s="19">
        <v>1</v>
      </c>
      <c r="J476" s="21">
        <v>12.48</v>
      </c>
      <c r="K476" s="22">
        <v>0</v>
      </c>
      <c r="L476" s="21">
        <v>12.48</v>
      </c>
    </row>
    <row r="477" spans="1:12">
      <c r="A477" s="19" t="s">
        <v>547</v>
      </c>
      <c r="B477" s="20">
        <v>46367</v>
      </c>
      <c r="C477" s="19" t="s">
        <v>20</v>
      </c>
      <c r="D477" s="19" t="s">
        <v>14</v>
      </c>
      <c r="E477" s="19" t="s">
        <v>22</v>
      </c>
      <c r="F477" s="19" t="s">
        <v>60</v>
      </c>
      <c r="G477" s="19" t="s">
        <v>61</v>
      </c>
      <c r="H477" s="19" t="s">
        <v>58</v>
      </c>
      <c r="I477" s="19">
        <v>1</v>
      </c>
      <c r="J477" s="21">
        <v>850</v>
      </c>
      <c r="K477" s="22">
        <v>0.1</v>
      </c>
      <c r="L477" s="21">
        <v>765</v>
      </c>
    </row>
    <row r="478" spans="1:12">
      <c r="A478" s="19" t="s">
        <v>548</v>
      </c>
      <c r="B478" s="20">
        <v>46370</v>
      </c>
      <c r="C478" s="19" t="s">
        <v>47</v>
      </c>
      <c r="D478" s="19" t="s">
        <v>41</v>
      </c>
      <c r="E478" s="19" t="s">
        <v>15</v>
      </c>
      <c r="F478" s="19" t="s">
        <v>27</v>
      </c>
      <c r="G478" s="19" t="s">
        <v>36</v>
      </c>
      <c r="H478" s="19" t="s">
        <v>55</v>
      </c>
      <c r="I478" s="19">
        <v>1</v>
      </c>
      <c r="J478" s="21">
        <v>765</v>
      </c>
      <c r="K478" s="22">
        <v>0.08</v>
      </c>
      <c r="L478" s="21">
        <v>703.80000000000007</v>
      </c>
    </row>
    <row r="479" spans="1:12">
      <c r="A479" s="19" t="s">
        <v>549</v>
      </c>
      <c r="B479" s="20">
        <v>46064</v>
      </c>
      <c r="C479" s="19" t="s">
        <v>47</v>
      </c>
      <c r="D479" s="19" t="s">
        <v>14</v>
      </c>
      <c r="E479" s="19" t="s">
        <v>15</v>
      </c>
      <c r="F479" s="19" t="s">
        <v>48</v>
      </c>
      <c r="G479" s="19" t="s">
        <v>49</v>
      </c>
      <c r="H479" s="19" t="s">
        <v>55</v>
      </c>
      <c r="I479" s="19">
        <v>1</v>
      </c>
      <c r="J479" s="21">
        <v>4368</v>
      </c>
      <c r="K479" s="22">
        <v>0.08</v>
      </c>
      <c r="L479" s="21">
        <v>4018.5600000000004</v>
      </c>
    </row>
    <row r="480" spans="1:12">
      <c r="A480" s="19" t="s">
        <v>550</v>
      </c>
      <c r="B480" s="20">
        <v>46365</v>
      </c>
      <c r="C480" s="19" t="s">
        <v>31</v>
      </c>
      <c r="D480" s="19" t="s">
        <v>14</v>
      </c>
      <c r="E480" s="19" t="s">
        <v>15</v>
      </c>
      <c r="F480" s="19" t="s">
        <v>16</v>
      </c>
      <c r="G480" s="19" t="s">
        <v>65</v>
      </c>
      <c r="H480" s="19" t="s">
        <v>39</v>
      </c>
      <c r="I480" s="19">
        <v>3</v>
      </c>
      <c r="J480" s="21">
        <v>80</v>
      </c>
      <c r="K480" s="22">
        <v>0.1</v>
      </c>
      <c r="L480" s="21">
        <v>216</v>
      </c>
    </row>
    <row r="481" spans="1:12">
      <c r="A481" s="19" t="s">
        <v>551</v>
      </c>
      <c r="B481" s="20">
        <v>46134</v>
      </c>
      <c r="C481" s="19" t="s">
        <v>31</v>
      </c>
      <c r="D481" s="19" t="s">
        <v>14</v>
      </c>
      <c r="E481" s="19" t="s">
        <v>22</v>
      </c>
      <c r="F481" s="19" t="s">
        <v>16</v>
      </c>
      <c r="G481" s="19" t="s">
        <v>65</v>
      </c>
      <c r="H481" s="19" t="s">
        <v>33</v>
      </c>
      <c r="I481" s="19">
        <v>4</v>
      </c>
      <c r="J481" s="21">
        <v>84.8</v>
      </c>
      <c r="K481" s="22">
        <v>0.05</v>
      </c>
      <c r="L481" s="21">
        <v>322.23999999999995</v>
      </c>
    </row>
    <row r="482" spans="1:12">
      <c r="A482" s="19" t="s">
        <v>552</v>
      </c>
      <c r="B482" s="20">
        <v>46208</v>
      </c>
      <c r="C482" s="19" t="s">
        <v>31</v>
      </c>
      <c r="D482" s="19" t="s">
        <v>14</v>
      </c>
      <c r="E482" s="19" t="s">
        <v>22</v>
      </c>
      <c r="F482" s="19" t="s">
        <v>27</v>
      </c>
      <c r="G482" s="19" t="s">
        <v>28</v>
      </c>
      <c r="H482" s="19" t="s">
        <v>79</v>
      </c>
      <c r="I482" s="19">
        <v>1</v>
      </c>
      <c r="J482" s="21">
        <v>20.8</v>
      </c>
      <c r="K482" s="22">
        <v>0.08</v>
      </c>
      <c r="L482" s="21">
        <v>19.136000000000003</v>
      </c>
    </row>
    <row r="483" spans="1:12">
      <c r="A483" s="19" t="s">
        <v>553</v>
      </c>
      <c r="B483" s="20">
        <v>46298</v>
      </c>
      <c r="C483" s="19" t="s">
        <v>31</v>
      </c>
      <c r="D483" s="19" t="s">
        <v>41</v>
      </c>
      <c r="E483" s="19" t="s">
        <v>22</v>
      </c>
      <c r="F483" s="19" t="s">
        <v>23</v>
      </c>
      <c r="G483" s="19" t="s">
        <v>138</v>
      </c>
      <c r="H483" s="19" t="s">
        <v>79</v>
      </c>
      <c r="I483" s="19">
        <v>6</v>
      </c>
      <c r="J483" s="21">
        <v>63.6</v>
      </c>
      <c r="K483" s="22">
        <v>0.05</v>
      </c>
      <c r="L483" s="21">
        <v>362.52</v>
      </c>
    </row>
    <row r="484" spans="1:12">
      <c r="A484" s="19" t="s">
        <v>554</v>
      </c>
      <c r="B484" s="20">
        <v>46261</v>
      </c>
      <c r="C484" s="19" t="s">
        <v>86</v>
      </c>
      <c r="D484" s="19" t="s">
        <v>14</v>
      </c>
      <c r="E484" s="19" t="s">
        <v>22</v>
      </c>
      <c r="F484" s="19" t="s">
        <v>23</v>
      </c>
      <c r="G484" s="19" t="s">
        <v>52</v>
      </c>
      <c r="H484" s="19" t="s">
        <v>93</v>
      </c>
      <c r="I484" s="19">
        <v>2</v>
      </c>
      <c r="J484" s="21">
        <v>436.5</v>
      </c>
      <c r="K484" s="22">
        <v>0.1</v>
      </c>
      <c r="L484" s="21">
        <v>785.7</v>
      </c>
    </row>
    <row r="485" spans="1:12">
      <c r="A485" s="19" t="s">
        <v>555</v>
      </c>
      <c r="B485" s="20">
        <v>46334</v>
      </c>
      <c r="C485" s="19" t="s">
        <v>20</v>
      </c>
      <c r="D485" s="19" t="s">
        <v>21</v>
      </c>
      <c r="E485" s="19" t="s">
        <v>22</v>
      </c>
      <c r="F485" s="19" t="s">
        <v>60</v>
      </c>
      <c r="G485" s="19" t="s">
        <v>91</v>
      </c>
      <c r="H485" s="19" t="s">
        <v>63</v>
      </c>
      <c r="I485" s="19">
        <v>1</v>
      </c>
      <c r="J485" s="21">
        <v>580</v>
      </c>
      <c r="K485" s="22">
        <v>0.08</v>
      </c>
      <c r="L485" s="21">
        <v>533.6</v>
      </c>
    </row>
    <row r="486" spans="1:12">
      <c r="A486" s="19" t="s">
        <v>556</v>
      </c>
      <c r="B486" s="20">
        <v>46305</v>
      </c>
      <c r="C486" s="19" t="s">
        <v>20</v>
      </c>
      <c r="D486" s="19" t="s">
        <v>21</v>
      </c>
      <c r="E486" s="19" t="s">
        <v>22</v>
      </c>
      <c r="F486" s="19" t="s">
        <v>16</v>
      </c>
      <c r="G486" s="19" t="s">
        <v>65</v>
      </c>
      <c r="H486" s="19" t="s">
        <v>25</v>
      </c>
      <c r="I486" s="19">
        <v>2</v>
      </c>
      <c r="J486" s="21">
        <v>80</v>
      </c>
      <c r="K486" s="22">
        <v>0.08</v>
      </c>
      <c r="L486" s="21">
        <v>147.20000000000002</v>
      </c>
    </row>
    <row r="487" spans="1:12">
      <c r="A487" s="19" t="s">
        <v>557</v>
      </c>
      <c r="B487" s="20">
        <v>46299</v>
      </c>
      <c r="C487" s="19" t="s">
        <v>31</v>
      </c>
      <c r="D487" s="19" t="s">
        <v>21</v>
      </c>
      <c r="E487" s="19" t="s">
        <v>22</v>
      </c>
      <c r="F487" s="19" t="s">
        <v>60</v>
      </c>
      <c r="G487" s="19" t="s">
        <v>76</v>
      </c>
      <c r="H487" s="19" t="s">
        <v>33</v>
      </c>
      <c r="I487" s="19">
        <v>1</v>
      </c>
      <c r="J487" s="21">
        <v>728</v>
      </c>
      <c r="K487" s="22">
        <v>0</v>
      </c>
      <c r="L487" s="21">
        <v>728</v>
      </c>
    </row>
    <row r="488" spans="1:12">
      <c r="A488" s="19" t="s">
        <v>558</v>
      </c>
      <c r="B488" s="20">
        <v>46257</v>
      </c>
      <c r="C488" s="19" t="s">
        <v>47</v>
      </c>
      <c r="D488" s="19" t="s">
        <v>41</v>
      </c>
      <c r="E488" s="19" t="s">
        <v>15</v>
      </c>
      <c r="F488" s="19" t="s">
        <v>16</v>
      </c>
      <c r="G488" s="19" t="s">
        <v>17</v>
      </c>
      <c r="H488" s="19" t="s">
        <v>50</v>
      </c>
      <c r="I488" s="19">
        <v>4</v>
      </c>
      <c r="J488" s="21">
        <v>15</v>
      </c>
      <c r="K488" s="22">
        <v>0.03</v>
      </c>
      <c r="L488" s="21">
        <v>58.199999999999996</v>
      </c>
    </row>
    <row r="489" spans="1:12">
      <c r="A489" s="19" t="s">
        <v>559</v>
      </c>
      <c r="B489" s="20">
        <v>46286</v>
      </c>
      <c r="C489" s="19" t="s">
        <v>86</v>
      </c>
      <c r="D489" s="19" t="s">
        <v>21</v>
      </c>
      <c r="E489" s="19" t="s">
        <v>22</v>
      </c>
      <c r="F489" s="19" t="s">
        <v>73</v>
      </c>
      <c r="G489" s="19" t="s">
        <v>74</v>
      </c>
      <c r="H489" s="19" t="s">
        <v>93</v>
      </c>
      <c r="I489" s="19">
        <v>2</v>
      </c>
      <c r="J489" s="21">
        <v>8</v>
      </c>
      <c r="K489" s="22">
        <v>0.05</v>
      </c>
      <c r="L489" s="21">
        <v>15.2</v>
      </c>
    </row>
    <row r="490" spans="1:12">
      <c r="A490" s="19" t="s">
        <v>560</v>
      </c>
      <c r="B490" s="20">
        <v>46375</v>
      </c>
      <c r="C490" s="19" t="s">
        <v>47</v>
      </c>
      <c r="D490" s="19" t="s">
        <v>41</v>
      </c>
      <c r="E490" s="19" t="s">
        <v>15</v>
      </c>
      <c r="F490" s="19" t="s">
        <v>16</v>
      </c>
      <c r="G490" s="19" t="s">
        <v>17</v>
      </c>
      <c r="H490" s="19" t="s">
        <v>83</v>
      </c>
      <c r="I490" s="19">
        <v>2</v>
      </c>
      <c r="J490" s="21">
        <v>14.25</v>
      </c>
      <c r="K490" s="22">
        <v>0.05</v>
      </c>
      <c r="L490" s="21">
        <v>27.074999999999999</v>
      </c>
    </row>
    <row r="491" spans="1:12">
      <c r="A491" s="19" t="s">
        <v>561</v>
      </c>
      <c r="B491" s="20">
        <v>46118</v>
      </c>
      <c r="C491" s="19" t="s">
        <v>31</v>
      </c>
      <c r="D491" s="19" t="s">
        <v>14</v>
      </c>
      <c r="E491" s="19" t="s">
        <v>15</v>
      </c>
      <c r="F491" s="19" t="s">
        <v>23</v>
      </c>
      <c r="G491" s="19" t="s">
        <v>138</v>
      </c>
      <c r="H491" s="19" t="s">
        <v>39</v>
      </c>
      <c r="I491" s="19">
        <v>2</v>
      </c>
      <c r="J491" s="21">
        <v>57</v>
      </c>
      <c r="K491" s="22">
        <v>0.1</v>
      </c>
      <c r="L491" s="21">
        <v>102.60000000000001</v>
      </c>
    </row>
    <row r="492" spans="1:12">
      <c r="A492" s="19" t="s">
        <v>562</v>
      </c>
      <c r="B492" s="20">
        <v>46346</v>
      </c>
      <c r="C492" s="19" t="s">
        <v>47</v>
      </c>
      <c r="D492" s="19" t="s">
        <v>14</v>
      </c>
      <c r="E492" s="19" t="s">
        <v>22</v>
      </c>
      <c r="F492" s="19" t="s">
        <v>60</v>
      </c>
      <c r="G492" s="19" t="s">
        <v>76</v>
      </c>
      <c r="H492" s="19" t="s">
        <v>50</v>
      </c>
      <c r="I492" s="19">
        <v>1</v>
      </c>
      <c r="J492" s="21">
        <v>742</v>
      </c>
      <c r="K492" s="22">
        <v>0.1</v>
      </c>
      <c r="L492" s="21">
        <v>667.80000000000007</v>
      </c>
    </row>
    <row r="493" spans="1:12">
      <c r="A493" s="19" t="s">
        <v>563</v>
      </c>
      <c r="B493" s="20">
        <v>46335</v>
      </c>
      <c r="C493" s="19" t="s">
        <v>20</v>
      </c>
      <c r="D493" s="19" t="s">
        <v>21</v>
      </c>
      <c r="E493" s="19" t="s">
        <v>22</v>
      </c>
      <c r="F493" s="19" t="s">
        <v>16</v>
      </c>
      <c r="G493" s="19" t="s">
        <v>112</v>
      </c>
      <c r="H493" s="19" t="s">
        <v>25</v>
      </c>
      <c r="I493" s="19">
        <v>3</v>
      </c>
      <c r="J493" s="21">
        <v>61.75</v>
      </c>
      <c r="K493" s="22">
        <v>0</v>
      </c>
      <c r="L493" s="21">
        <v>185.25</v>
      </c>
    </row>
    <row r="494" spans="1:12">
      <c r="A494" s="19" t="s">
        <v>564</v>
      </c>
      <c r="B494" s="20">
        <v>46292</v>
      </c>
      <c r="C494" s="19" t="s">
        <v>20</v>
      </c>
      <c r="D494" s="19" t="s">
        <v>14</v>
      </c>
      <c r="E494" s="19" t="s">
        <v>15</v>
      </c>
      <c r="F494" s="19" t="s">
        <v>16</v>
      </c>
      <c r="G494" s="19" t="s">
        <v>112</v>
      </c>
      <c r="H494" s="19" t="s">
        <v>58</v>
      </c>
      <c r="I494" s="19">
        <v>4</v>
      </c>
      <c r="J494" s="21">
        <v>65</v>
      </c>
      <c r="K494" s="22">
        <v>0.05</v>
      </c>
      <c r="L494" s="21">
        <v>247</v>
      </c>
    </row>
    <row r="495" spans="1:12">
      <c r="A495" s="19" t="s">
        <v>565</v>
      </c>
      <c r="B495" s="20">
        <v>46284</v>
      </c>
      <c r="C495" s="19" t="s">
        <v>47</v>
      </c>
      <c r="D495" s="19" t="s">
        <v>14</v>
      </c>
      <c r="E495" s="19" t="s">
        <v>22</v>
      </c>
      <c r="F495" s="19" t="s">
        <v>60</v>
      </c>
      <c r="G495" s="19" t="s">
        <v>91</v>
      </c>
      <c r="H495" s="19" t="s">
        <v>83</v>
      </c>
      <c r="I495" s="19">
        <v>2</v>
      </c>
      <c r="J495" s="21">
        <v>562.6</v>
      </c>
      <c r="K495" s="22">
        <v>0.03</v>
      </c>
      <c r="L495" s="21">
        <v>1091.444</v>
      </c>
    </row>
    <row r="496" spans="1:12">
      <c r="A496" s="19" t="s">
        <v>566</v>
      </c>
      <c r="B496" s="20">
        <v>46351</v>
      </c>
      <c r="C496" s="19" t="s">
        <v>20</v>
      </c>
      <c r="D496" s="19" t="s">
        <v>21</v>
      </c>
      <c r="E496" s="19" t="s">
        <v>15</v>
      </c>
      <c r="F496" s="19" t="s">
        <v>16</v>
      </c>
      <c r="G496" s="19" t="s">
        <v>17</v>
      </c>
      <c r="H496" s="19" t="s">
        <v>25</v>
      </c>
      <c r="I496" s="19">
        <v>2</v>
      </c>
      <c r="J496" s="21">
        <v>15</v>
      </c>
      <c r="K496" s="22">
        <v>0.08</v>
      </c>
      <c r="L496" s="21">
        <v>27.6</v>
      </c>
    </row>
    <row r="497" spans="1:12">
      <c r="A497" s="19" t="s">
        <v>567</v>
      </c>
      <c r="B497" s="20">
        <v>46285</v>
      </c>
      <c r="C497" s="19" t="s">
        <v>31</v>
      </c>
      <c r="D497" s="19" t="s">
        <v>21</v>
      </c>
      <c r="E497" s="19" t="s">
        <v>22</v>
      </c>
      <c r="F497" s="19" t="s">
        <v>60</v>
      </c>
      <c r="G497" s="19" t="s">
        <v>91</v>
      </c>
      <c r="H497" s="19" t="s">
        <v>39</v>
      </c>
      <c r="I497" s="19">
        <v>2</v>
      </c>
      <c r="J497" s="21">
        <v>614.79999999999995</v>
      </c>
      <c r="K497" s="22">
        <v>0.08</v>
      </c>
      <c r="L497" s="21">
        <v>1131.232</v>
      </c>
    </row>
    <row r="498" spans="1:12">
      <c r="A498" s="19" t="s">
        <v>568</v>
      </c>
      <c r="B498" s="20">
        <v>46132</v>
      </c>
      <c r="C498" s="19" t="s">
        <v>47</v>
      </c>
      <c r="D498" s="19" t="s">
        <v>14</v>
      </c>
      <c r="E498" s="19" t="s">
        <v>22</v>
      </c>
      <c r="F498" s="19" t="s">
        <v>23</v>
      </c>
      <c r="G498" s="19" t="s">
        <v>38</v>
      </c>
      <c r="H498" s="19" t="s">
        <v>83</v>
      </c>
      <c r="I498" s="19">
        <v>3</v>
      </c>
      <c r="J498" s="21">
        <v>339.2</v>
      </c>
      <c r="K498" s="22">
        <v>0.08</v>
      </c>
      <c r="L498" s="21">
        <v>936.19200000000001</v>
      </c>
    </row>
    <row r="499" spans="1:12">
      <c r="A499" s="19" t="s">
        <v>569</v>
      </c>
      <c r="B499" s="20">
        <v>46355</v>
      </c>
      <c r="C499" s="19" t="s">
        <v>20</v>
      </c>
      <c r="D499" s="19" t="s">
        <v>35</v>
      </c>
      <c r="E499" s="19" t="s">
        <v>22</v>
      </c>
      <c r="F499" s="19" t="s">
        <v>16</v>
      </c>
      <c r="G499" s="19" t="s">
        <v>42</v>
      </c>
      <c r="H499" s="19" t="s">
        <v>25</v>
      </c>
      <c r="I499" s="19">
        <v>8</v>
      </c>
      <c r="J499" s="21">
        <v>47.7</v>
      </c>
      <c r="K499" s="22">
        <v>0.03</v>
      </c>
      <c r="L499" s="21">
        <v>370.15199999999999</v>
      </c>
    </row>
    <row r="500" spans="1:12">
      <c r="A500" s="19" t="s">
        <v>570</v>
      </c>
      <c r="B500" s="20">
        <v>46340</v>
      </c>
      <c r="C500" s="19" t="s">
        <v>86</v>
      </c>
      <c r="D500" s="19" t="s">
        <v>14</v>
      </c>
      <c r="E500" s="19" t="s">
        <v>22</v>
      </c>
      <c r="F500" s="19" t="s">
        <v>23</v>
      </c>
      <c r="G500" s="19" t="s">
        <v>52</v>
      </c>
      <c r="H500" s="19" t="s">
        <v>93</v>
      </c>
      <c r="I500" s="19">
        <v>4</v>
      </c>
      <c r="J500" s="21">
        <v>450</v>
      </c>
      <c r="K500" s="22">
        <v>0.05</v>
      </c>
      <c r="L500" s="21">
        <v>1710</v>
      </c>
    </row>
    <row r="501" spans="1:12">
      <c r="A501" s="19" t="s">
        <v>571</v>
      </c>
      <c r="B501" s="20">
        <v>46159</v>
      </c>
      <c r="C501" s="19" t="s">
        <v>20</v>
      </c>
      <c r="D501" s="19" t="s">
        <v>35</v>
      </c>
      <c r="E501" s="19" t="s">
        <v>15</v>
      </c>
      <c r="F501" s="19" t="s">
        <v>48</v>
      </c>
      <c r="G501" s="19" t="s">
        <v>49</v>
      </c>
      <c r="H501" s="19" t="s">
        <v>63</v>
      </c>
      <c r="I501" s="19">
        <v>2</v>
      </c>
      <c r="J501" s="21">
        <v>3990</v>
      </c>
      <c r="K501" s="22">
        <v>0.03</v>
      </c>
      <c r="L501" s="21">
        <v>7740.5999999999995</v>
      </c>
    </row>
    <row r="502" spans="1:12">
      <c r="A502" s="19" t="s">
        <v>572</v>
      </c>
      <c r="B502" s="20">
        <v>46372</v>
      </c>
      <c r="C502" s="19" t="s">
        <v>47</v>
      </c>
      <c r="D502" s="19" t="s">
        <v>35</v>
      </c>
      <c r="E502" s="19" t="s">
        <v>22</v>
      </c>
      <c r="F502" s="19" t="s">
        <v>60</v>
      </c>
      <c r="G502" s="19" t="s">
        <v>76</v>
      </c>
      <c r="H502" s="19" t="s">
        <v>55</v>
      </c>
      <c r="I502" s="19">
        <v>1</v>
      </c>
      <c r="J502" s="21">
        <v>714</v>
      </c>
      <c r="K502" s="22">
        <v>0.15</v>
      </c>
      <c r="L502" s="21">
        <v>606.9</v>
      </c>
    </row>
    <row r="503" spans="1:12">
      <c r="A503" s="19" t="s">
        <v>573</v>
      </c>
      <c r="B503" s="20">
        <v>46039</v>
      </c>
      <c r="C503" s="19" t="s">
        <v>86</v>
      </c>
      <c r="D503" s="19" t="s">
        <v>35</v>
      </c>
      <c r="E503" s="19" t="s">
        <v>15</v>
      </c>
      <c r="F503" s="19" t="s">
        <v>60</v>
      </c>
      <c r="G503" s="19" t="s">
        <v>61</v>
      </c>
      <c r="H503" s="19" t="s">
        <v>102</v>
      </c>
      <c r="I503" s="19">
        <v>3</v>
      </c>
      <c r="J503" s="21">
        <v>867</v>
      </c>
      <c r="K503" s="22">
        <v>0.15</v>
      </c>
      <c r="L503" s="21">
        <v>2210.85</v>
      </c>
    </row>
    <row r="504" spans="1:12">
      <c r="A504" s="19" t="s">
        <v>574</v>
      </c>
      <c r="B504" s="20">
        <v>46027</v>
      </c>
      <c r="C504" s="19" t="s">
        <v>86</v>
      </c>
      <c r="D504" s="19" t="s">
        <v>14</v>
      </c>
      <c r="E504" s="19" t="s">
        <v>22</v>
      </c>
      <c r="F504" s="19" t="s">
        <v>23</v>
      </c>
      <c r="G504" s="19" t="s">
        <v>38</v>
      </c>
      <c r="H504" s="19" t="s">
        <v>102</v>
      </c>
      <c r="I504" s="19">
        <v>1</v>
      </c>
      <c r="J504" s="21">
        <v>332.8</v>
      </c>
      <c r="K504" s="22">
        <v>0</v>
      </c>
      <c r="L504" s="21">
        <v>332.8</v>
      </c>
    </row>
    <row r="505" spans="1:12">
      <c r="A505" s="19" t="s">
        <v>575</v>
      </c>
      <c r="B505" s="20">
        <v>46276</v>
      </c>
      <c r="C505" s="19" t="s">
        <v>13</v>
      </c>
      <c r="D505" s="19" t="s">
        <v>14</v>
      </c>
      <c r="E505" s="19" t="s">
        <v>15</v>
      </c>
      <c r="F505" s="19" t="s">
        <v>73</v>
      </c>
      <c r="G505" s="19" t="s">
        <v>129</v>
      </c>
      <c r="H505" s="19" t="s">
        <v>43</v>
      </c>
      <c r="I505" s="19">
        <v>5</v>
      </c>
      <c r="J505" s="21">
        <v>37.1</v>
      </c>
      <c r="K505" s="22">
        <v>0.03</v>
      </c>
      <c r="L505" s="21">
        <v>179.935</v>
      </c>
    </row>
    <row r="506" spans="1:12">
      <c r="A506" s="19" t="s">
        <v>576</v>
      </c>
      <c r="B506" s="20">
        <v>46116</v>
      </c>
      <c r="C506" s="19" t="s">
        <v>86</v>
      </c>
      <c r="D506" s="19" t="s">
        <v>14</v>
      </c>
      <c r="E506" s="19" t="s">
        <v>15</v>
      </c>
      <c r="F506" s="19" t="s">
        <v>16</v>
      </c>
      <c r="G506" s="19" t="s">
        <v>65</v>
      </c>
      <c r="H506" s="19" t="s">
        <v>93</v>
      </c>
      <c r="I506" s="19">
        <v>5</v>
      </c>
      <c r="J506" s="21">
        <v>76</v>
      </c>
      <c r="K506" s="22">
        <v>0.15</v>
      </c>
      <c r="L506" s="21">
        <v>323</v>
      </c>
    </row>
    <row r="507" spans="1:12">
      <c r="A507" s="19" t="s">
        <v>577</v>
      </c>
      <c r="B507" s="20">
        <v>46111</v>
      </c>
      <c r="C507" s="19" t="s">
        <v>20</v>
      </c>
      <c r="D507" s="19" t="s">
        <v>41</v>
      </c>
      <c r="E507" s="19" t="s">
        <v>15</v>
      </c>
      <c r="F507" s="19" t="s">
        <v>16</v>
      </c>
      <c r="G507" s="19" t="s">
        <v>42</v>
      </c>
      <c r="H507" s="19" t="s">
        <v>63</v>
      </c>
      <c r="I507" s="19">
        <v>1</v>
      </c>
      <c r="J507" s="21">
        <v>45</v>
      </c>
      <c r="K507" s="22">
        <v>0</v>
      </c>
      <c r="L507" s="21">
        <v>45</v>
      </c>
    </row>
    <row r="508" spans="1:12">
      <c r="A508" s="19" t="s">
        <v>578</v>
      </c>
      <c r="B508" s="20">
        <v>46282</v>
      </c>
      <c r="C508" s="19" t="s">
        <v>31</v>
      </c>
      <c r="D508" s="19" t="s">
        <v>14</v>
      </c>
      <c r="E508" s="19" t="s">
        <v>15</v>
      </c>
      <c r="F508" s="19" t="s">
        <v>73</v>
      </c>
      <c r="G508" s="19" t="s">
        <v>127</v>
      </c>
      <c r="H508" s="19" t="s">
        <v>39</v>
      </c>
      <c r="I508" s="19">
        <v>2</v>
      </c>
      <c r="J508" s="21">
        <v>25.5</v>
      </c>
      <c r="K508" s="22">
        <v>0</v>
      </c>
      <c r="L508" s="21">
        <v>51</v>
      </c>
    </row>
    <row r="509" spans="1:12">
      <c r="A509" s="19" t="s">
        <v>579</v>
      </c>
      <c r="B509" s="20">
        <v>46319</v>
      </c>
      <c r="C509" s="19" t="s">
        <v>86</v>
      </c>
      <c r="D509" s="19" t="s">
        <v>21</v>
      </c>
      <c r="E509" s="19" t="s">
        <v>15</v>
      </c>
      <c r="F509" s="19" t="s">
        <v>73</v>
      </c>
      <c r="G509" s="19" t="s">
        <v>129</v>
      </c>
      <c r="H509" s="19" t="s">
        <v>102</v>
      </c>
      <c r="I509" s="19">
        <v>1</v>
      </c>
      <c r="J509" s="21">
        <v>35</v>
      </c>
      <c r="K509" s="22">
        <v>0</v>
      </c>
      <c r="L509" s="21">
        <v>35</v>
      </c>
    </row>
    <row r="510" spans="1:12">
      <c r="A510" s="19" t="s">
        <v>580</v>
      </c>
      <c r="B510" s="20">
        <v>46317</v>
      </c>
      <c r="C510" s="19" t="s">
        <v>31</v>
      </c>
      <c r="D510" s="19" t="s">
        <v>14</v>
      </c>
      <c r="E510" s="19" t="s">
        <v>15</v>
      </c>
      <c r="F510" s="19" t="s">
        <v>16</v>
      </c>
      <c r="G510" s="19" t="s">
        <v>65</v>
      </c>
      <c r="H510" s="19" t="s">
        <v>33</v>
      </c>
      <c r="I510" s="19">
        <v>1</v>
      </c>
      <c r="J510" s="21">
        <v>77.599999999999994</v>
      </c>
      <c r="K510" s="22">
        <v>0.03</v>
      </c>
      <c r="L510" s="21">
        <v>75.271999999999991</v>
      </c>
    </row>
    <row r="511" spans="1:12">
      <c r="A511" s="19" t="s">
        <v>581</v>
      </c>
      <c r="B511" s="20">
        <v>46135</v>
      </c>
      <c r="C511" s="19" t="s">
        <v>47</v>
      </c>
      <c r="D511" s="19" t="s">
        <v>21</v>
      </c>
      <c r="E511" s="19" t="s">
        <v>15</v>
      </c>
      <c r="F511" s="19" t="s">
        <v>48</v>
      </c>
      <c r="G511" s="19" t="s">
        <v>54</v>
      </c>
      <c r="H511" s="19" t="s">
        <v>55</v>
      </c>
      <c r="I511" s="19">
        <v>1</v>
      </c>
      <c r="J511" s="21">
        <v>1908</v>
      </c>
      <c r="K511" s="22">
        <v>0</v>
      </c>
      <c r="L511" s="21">
        <v>1908</v>
      </c>
    </row>
    <row r="512" spans="1:12">
      <c r="A512" s="19" t="s">
        <v>582</v>
      </c>
      <c r="B512" s="20">
        <v>46035</v>
      </c>
      <c r="C512" s="19" t="s">
        <v>31</v>
      </c>
      <c r="D512" s="19" t="s">
        <v>21</v>
      </c>
      <c r="E512" s="19" t="s">
        <v>15</v>
      </c>
      <c r="F512" s="19" t="s">
        <v>60</v>
      </c>
      <c r="G512" s="19" t="s">
        <v>76</v>
      </c>
      <c r="H512" s="19" t="s">
        <v>39</v>
      </c>
      <c r="I512" s="19">
        <v>1</v>
      </c>
      <c r="J512" s="21">
        <v>714</v>
      </c>
      <c r="K512" s="22">
        <v>0.1</v>
      </c>
      <c r="L512" s="21">
        <v>642.6</v>
      </c>
    </row>
    <row r="513" spans="1:12">
      <c r="A513" s="19" t="s">
        <v>583</v>
      </c>
      <c r="B513" s="20">
        <v>46321</v>
      </c>
      <c r="C513" s="19" t="s">
        <v>20</v>
      </c>
      <c r="D513" s="19" t="s">
        <v>41</v>
      </c>
      <c r="E513" s="19" t="s">
        <v>22</v>
      </c>
      <c r="F513" s="19" t="s">
        <v>60</v>
      </c>
      <c r="G513" s="19" t="s">
        <v>61</v>
      </c>
      <c r="H513" s="19" t="s">
        <v>63</v>
      </c>
      <c r="I513" s="19">
        <v>3</v>
      </c>
      <c r="J513" s="21">
        <v>824.5</v>
      </c>
      <c r="K513" s="22">
        <v>0.15</v>
      </c>
      <c r="L513" s="21">
        <v>2102.4749999999999</v>
      </c>
    </row>
    <row r="514" spans="1:12">
      <c r="A514" s="19" t="s">
        <v>584</v>
      </c>
      <c r="B514" s="20">
        <v>46063</v>
      </c>
      <c r="C514" s="19" t="s">
        <v>13</v>
      </c>
      <c r="D514" s="19" t="s">
        <v>35</v>
      </c>
      <c r="E514" s="19" t="s">
        <v>22</v>
      </c>
      <c r="F514" s="19" t="s">
        <v>48</v>
      </c>
      <c r="G514" s="19" t="s">
        <v>96</v>
      </c>
      <c r="H514" s="19" t="s">
        <v>29</v>
      </c>
      <c r="I514" s="19">
        <v>2</v>
      </c>
      <c r="J514" s="21">
        <v>2500</v>
      </c>
      <c r="K514" s="22">
        <v>0.08</v>
      </c>
      <c r="L514" s="21">
        <v>4600</v>
      </c>
    </row>
    <row r="515" spans="1:12">
      <c r="A515" s="19" t="s">
        <v>585</v>
      </c>
      <c r="B515" s="20">
        <v>46196</v>
      </c>
      <c r="C515" s="19" t="s">
        <v>47</v>
      </c>
      <c r="D515" s="19" t="s">
        <v>14</v>
      </c>
      <c r="E515" s="19" t="s">
        <v>22</v>
      </c>
      <c r="F515" s="19" t="s">
        <v>48</v>
      </c>
      <c r="G515" s="19" t="s">
        <v>49</v>
      </c>
      <c r="H515" s="19" t="s">
        <v>83</v>
      </c>
      <c r="I515" s="19">
        <v>1</v>
      </c>
      <c r="J515" s="21">
        <v>3990</v>
      </c>
      <c r="K515" s="22">
        <v>0.03</v>
      </c>
      <c r="L515" s="21">
        <v>3870.2999999999997</v>
      </c>
    </row>
    <row r="516" spans="1:12">
      <c r="A516" s="19" t="s">
        <v>586</v>
      </c>
      <c r="B516" s="20">
        <v>46179</v>
      </c>
      <c r="C516" s="19" t="s">
        <v>86</v>
      </c>
      <c r="D516" s="19" t="s">
        <v>14</v>
      </c>
      <c r="E516" s="19" t="s">
        <v>22</v>
      </c>
      <c r="F516" s="19" t="s">
        <v>60</v>
      </c>
      <c r="G516" s="19" t="s">
        <v>76</v>
      </c>
      <c r="H516" s="19" t="s">
        <v>102</v>
      </c>
      <c r="I516" s="19">
        <v>1</v>
      </c>
      <c r="J516" s="21">
        <v>679</v>
      </c>
      <c r="K516" s="22">
        <v>0.1</v>
      </c>
      <c r="L516" s="21">
        <v>611.1</v>
      </c>
    </row>
    <row r="517" spans="1:12">
      <c r="A517" s="19" t="s">
        <v>587</v>
      </c>
      <c r="B517" s="20">
        <v>46216</v>
      </c>
      <c r="C517" s="19" t="s">
        <v>20</v>
      </c>
      <c r="D517" s="19" t="s">
        <v>14</v>
      </c>
      <c r="E517" s="19" t="s">
        <v>15</v>
      </c>
      <c r="F517" s="19" t="s">
        <v>16</v>
      </c>
      <c r="G517" s="19" t="s">
        <v>69</v>
      </c>
      <c r="H517" s="19" t="s">
        <v>58</v>
      </c>
      <c r="I517" s="19">
        <v>1</v>
      </c>
      <c r="J517" s="21">
        <v>57.2</v>
      </c>
      <c r="K517" s="22">
        <v>0</v>
      </c>
      <c r="L517" s="21">
        <v>57.2</v>
      </c>
    </row>
    <row r="518" spans="1:12">
      <c r="A518" s="19" t="s">
        <v>588</v>
      </c>
      <c r="B518" s="20">
        <v>46260</v>
      </c>
      <c r="C518" s="19" t="s">
        <v>47</v>
      </c>
      <c r="D518" s="19" t="s">
        <v>21</v>
      </c>
      <c r="E518" s="19" t="s">
        <v>15</v>
      </c>
      <c r="F518" s="19" t="s">
        <v>23</v>
      </c>
      <c r="G518" s="19" t="s">
        <v>38</v>
      </c>
      <c r="H518" s="19" t="s">
        <v>83</v>
      </c>
      <c r="I518" s="19">
        <v>4</v>
      </c>
      <c r="J518" s="21">
        <v>310.39999999999998</v>
      </c>
      <c r="K518" s="22">
        <v>0.08</v>
      </c>
      <c r="L518" s="21">
        <v>1142.2719999999999</v>
      </c>
    </row>
    <row r="519" spans="1:12">
      <c r="A519" s="19" t="s">
        <v>589</v>
      </c>
      <c r="B519" s="20">
        <v>46073</v>
      </c>
      <c r="C519" s="19" t="s">
        <v>20</v>
      </c>
      <c r="D519" s="19" t="s">
        <v>21</v>
      </c>
      <c r="E519" s="19" t="s">
        <v>22</v>
      </c>
      <c r="F519" s="19" t="s">
        <v>16</v>
      </c>
      <c r="G519" s="19" t="s">
        <v>69</v>
      </c>
      <c r="H519" s="19" t="s">
        <v>58</v>
      </c>
      <c r="I519" s="19">
        <v>3</v>
      </c>
      <c r="J519" s="21">
        <v>53.35</v>
      </c>
      <c r="K519" s="22">
        <v>0.08</v>
      </c>
      <c r="L519" s="21">
        <v>147.24600000000001</v>
      </c>
    </row>
    <row r="520" spans="1:12">
      <c r="A520" s="19" t="s">
        <v>590</v>
      </c>
      <c r="B520" s="20">
        <v>46308</v>
      </c>
      <c r="C520" s="19" t="s">
        <v>86</v>
      </c>
      <c r="D520" s="19" t="s">
        <v>35</v>
      </c>
      <c r="E520" s="19" t="s">
        <v>15</v>
      </c>
      <c r="F520" s="19" t="s">
        <v>48</v>
      </c>
      <c r="G520" s="19" t="s">
        <v>96</v>
      </c>
      <c r="H520" s="19" t="s">
        <v>102</v>
      </c>
      <c r="I520" s="19">
        <v>2</v>
      </c>
      <c r="J520" s="21">
        <v>2375</v>
      </c>
      <c r="K520" s="22">
        <v>0.1</v>
      </c>
      <c r="L520" s="21">
        <v>4275</v>
      </c>
    </row>
    <row r="521" spans="1:12">
      <c r="A521" s="19" t="s">
        <v>591</v>
      </c>
      <c r="B521" s="20">
        <v>46216</v>
      </c>
      <c r="C521" s="19" t="s">
        <v>20</v>
      </c>
      <c r="D521" s="19" t="s">
        <v>21</v>
      </c>
      <c r="E521" s="19" t="s">
        <v>15</v>
      </c>
      <c r="F521" s="19" t="s">
        <v>73</v>
      </c>
      <c r="G521" s="19" t="s">
        <v>129</v>
      </c>
      <c r="H521" s="19" t="s">
        <v>58</v>
      </c>
      <c r="I521" s="19">
        <v>6</v>
      </c>
      <c r="J521" s="21">
        <v>35</v>
      </c>
      <c r="K521" s="22">
        <v>0.15</v>
      </c>
      <c r="L521" s="21">
        <v>178.5</v>
      </c>
    </row>
    <row r="522" spans="1:12">
      <c r="A522" s="19" t="s">
        <v>592</v>
      </c>
      <c r="B522" s="20">
        <v>46368</v>
      </c>
      <c r="C522" s="19" t="s">
        <v>47</v>
      </c>
      <c r="D522" s="19" t="s">
        <v>21</v>
      </c>
      <c r="E522" s="19" t="s">
        <v>22</v>
      </c>
      <c r="F522" s="19" t="s">
        <v>60</v>
      </c>
      <c r="G522" s="19" t="s">
        <v>61</v>
      </c>
      <c r="H522" s="19" t="s">
        <v>50</v>
      </c>
      <c r="I522" s="19">
        <v>1</v>
      </c>
      <c r="J522" s="21">
        <v>850</v>
      </c>
      <c r="K522" s="22">
        <v>0.2</v>
      </c>
      <c r="L522" s="21">
        <v>680</v>
      </c>
    </row>
    <row r="523" spans="1:12">
      <c r="A523" s="19" t="s">
        <v>593</v>
      </c>
      <c r="B523" s="20">
        <v>46040</v>
      </c>
      <c r="C523" s="19" t="s">
        <v>47</v>
      </c>
      <c r="D523" s="19" t="s">
        <v>14</v>
      </c>
      <c r="E523" s="19" t="s">
        <v>22</v>
      </c>
      <c r="F523" s="19" t="s">
        <v>73</v>
      </c>
      <c r="G523" s="19" t="s">
        <v>81</v>
      </c>
      <c r="H523" s="19" t="s">
        <v>83</v>
      </c>
      <c r="I523" s="19">
        <v>4</v>
      </c>
      <c r="J523" s="21">
        <v>12.48</v>
      </c>
      <c r="K523" s="22">
        <v>0.05</v>
      </c>
      <c r="L523" s="21">
        <v>47.423999999999999</v>
      </c>
    </row>
    <row r="524" spans="1:12">
      <c r="A524" s="19" t="s">
        <v>594</v>
      </c>
      <c r="B524" s="20">
        <v>46278</v>
      </c>
      <c r="C524" s="19" t="s">
        <v>86</v>
      </c>
      <c r="D524" s="19" t="s">
        <v>21</v>
      </c>
      <c r="E524" s="19" t="s">
        <v>22</v>
      </c>
      <c r="F524" s="19" t="s">
        <v>60</v>
      </c>
      <c r="G524" s="19" t="s">
        <v>61</v>
      </c>
      <c r="H524" s="19" t="s">
        <v>102</v>
      </c>
      <c r="I524" s="19">
        <v>3</v>
      </c>
      <c r="J524" s="21">
        <v>884</v>
      </c>
      <c r="K524" s="22">
        <v>0.05</v>
      </c>
      <c r="L524" s="21">
        <v>2519.4</v>
      </c>
    </row>
    <row r="525" spans="1:12">
      <c r="A525" s="19" t="s">
        <v>595</v>
      </c>
      <c r="B525" s="20">
        <v>46109</v>
      </c>
      <c r="C525" s="19" t="s">
        <v>13</v>
      </c>
      <c r="D525" s="19" t="s">
        <v>14</v>
      </c>
      <c r="E525" s="19" t="s">
        <v>15</v>
      </c>
      <c r="F525" s="19" t="s">
        <v>16</v>
      </c>
      <c r="G525" s="19" t="s">
        <v>17</v>
      </c>
      <c r="H525" s="19" t="s">
        <v>18</v>
      </c>
      <c r="I525" s="19">
        <v>3</v>
      </c>
      <c r="J525" s="21">
        <v>15.9</v>
      </c>
      <c r="K525" s="22">
        <v>0.2</v>
      </c>
      <c r="L525" s="21">
        <v>38.160000000000004</v>
      </c>
    </row>
    <row r="526" spans="1:12">
      <c r="A526" s="19" t="s">
        <v>596</v>
      </c>
      <c r="B526" s="20">
        <v>46074</v>
      </c>
      <c r="C526" s="19" t="s">
        <v>47</v>
      </c>
      <c r="D526" s="19" t="s">
        <v>41</v>
      </c>
      <c r="E526" s="19" t="s">
        <v>22</v>
      </c>
      <c r="F526" s="19" t="s">
        <v>23</v>
      </c>
      <c r="G526" s="19" t="s">
        <v>24</v>
      </c>
      <c r="H526" s="19" t="s">
        <v>83</v>
      </c>
      <c r="I526" s="19">
        <v>2</v>
      </c>
      <c r="J526" s="21">
        <v>90</v>
      </c>
      <c r="K526" s="22">
        <v>0.05</v>
      </c>
      <c r="L526" s="21">
        <v>171</v>
      </c>
    </row>
    <row r="527" spans="1:12">
      <c r="A527" s="19" t="s">
        <v>597</v>
      </c>
      <c r="B527" s="20">
        <v>46181</v>
      </c>
      <c r="C527" s="19" t="s">
        <v>31</v>
      </c>
      <c r="D527" s="19" t="s">
        <v>21</v>
      </c>
      <c r="E527" s="19" t="s">
        <v>22</v>
      </c>
      <c r="F527" s="19" t="s">
        <v>73</v>
      </c>
      <c r="G527" s="19" t="s">
        <v>81</v>
      </c>
      <c r="H527" s="19" t="s">
        <v>33</v>
      </c>
      <c r="I527" s="19">
        <v>2</v>
      </c>
      <c r="J527" s="21">
        <v>12</v>
      </c>
      <c r="K527" s="22">
        <v>0.08</v>
      </c>
      <c r="L527" s="21">
        <v>22.080000000000002</v>
      </c>
    </row>
    <row r="528" spans="1:12">
      <c r="A528" s="19" t="s">
        <v>598</v>
      </c>
      <c r="B528" s="20">
        <v>46024</v>
      </c>
      <c r="C528" s="19" t="s">
        <v>20</v>
      </c>
      <c r="D528" s="19" t="s">
        <v>35</v>
      </c>
      <c r="E528" s="19" t="s">
        <v>15</v>
      </c>
      <c r="F528" s="19" t="s">
        <v>60</v>
      </c>
      <c r="G528" s="19" t="s">
        <v>91</v>
      </c>
      <c r="H528" s="19" t="s">
        <v>63</v>
      </c>
      <c r="I528" s="19">
        <v>2</v>
      </c>
      <c r="J528" s="21">
        <v>580</v>
      </c>
      <c r="K528" s="22">
        <v>0.08</v>
      </c>
      <c r="L528" s="21">
        <v>1067.2</v>
      </c>
    </row>
    <row r="529" spans="1:12">
      <c r="A529" s="19" t="s">
        <v>599</v>
      </c>
      <c r="B529" s="20">
        <v>46176</v>
      </c>
      <c r="C529" s="19" t="s">
        <v>20</v>
      </c>
      <c r="D529" s="19" t="s">
        <v>21</v>
      </c>
      <c r="E529" s="19" t="s">
        <v>15</v>
      </c>
      <c r="F529" s="19" t="s">
        <v>23</v>
      </c>
      <c r="G529" s="19" t="s">
        <v>52</v>
      </c>
      <c r="H529" s="19" t="s">
        <v>58</v>
      </c>
      <c r="I529" s="19">
        <v>3</v>
      </c>
      <c r="J529" s="21">
        <v>450</v>
      </c>
      <c r="K529" s="22">
        <v>0.2</v>
      </c>
      <c r="L529" s="21">
        <v>1080</v>
      </c>
    </row>
    <row r="530" spans="1:12">
      <c r="A530" s="19" t="s">
        <v>600</v>
      </c>
      <c r="B530" s="20">
        <v>46311</v>
      </c>
      <c r="C530" s="19" t="s">
        <v>20</v>
      </c>
      <c r="D530" s="19" t="s">
        <v>41</v>
      </c>
      <c r="E530" s="19" t="s">
        <v>22</v>
      </c>
      <c r="F530" s="19" t="s">
        <v>16</v>
      </c>
      <c r="G530" s="19" t="s">
        <v>57</v>
      </c>
      <c r="H530" s="19" t="s">
        <v>58</v>
      </c>
      <c r="I530" s="19">
        <v>2</v>
      </c>
      <c r="J530" s="21">
        <v>38</v>
      </c>
      <c r="K530" s="22">
        <v>0</v>
      </c>
      <c r="L530" s="21">
        <v>76</v>
      </c>
    </row>
    <row r="531" spans="1:12">
      <c r="A531" s="19" t="s">
        <v>601</v>
      </c>
      <c r="B531" s="20">
        <v>46319</v>
      </c>
      <c r="C531" s="19" t="s">
        <v>47</v>
      </c>
      <c r="D531" s="19" t="s">
        <v>14</v>
      </c>
      <c r="E531" s="19" t="s">
        <v>22</v>
      </c>
      <c r="F531" s="19" t="s">
        <v>60</v>
      </c>
      <c r="G531" s="19" t="s">
        <v>91</v>
      </c>
      <c r="H531" s="19" t="s">
        <v>83</v>
      </c>
      <c r="I531" s="19">
        <v>3</v>
      </c>
      <c r="J531" s="21">
        <v>580</v>
      </c>
      <c r="K531" s="22">
        <v>0.08</v>
      </c>
      <c r="L531" s="21">
        <v>1600.8000000000002</v>
      </c>
    </row>
    <row r="532" spans="1:12">
      <c r="A532" s="19" t="s">
        <v>602</v>
      </c>
      <c r="B532" s="20">
        <v>46208</v>
      </c>
      <c r="C532" s="19" t="s">
        <v>20</v>
      </c>
      <c r="D532" s="19" t="s">
        <v>41</v>
      </c>
      <c r="E532" s="19" t="s">
        <v>15</v>
      </c>
      <c r="F532" s="19" t="s">
        <v>16</v>
      </c>
      <c r="G532" s="19" t="s">
        <v>57</v>
      </c>
      <c r="H532" s="19" t="s">
        <v>25</v>
      </c>
      <c r="I532" s="19">
        <v>5</v>
      </c>
      <c r="J532" s="21">
        <v>38</v>
      </c>
      <c r="K532" s="22">
        <v>0</v>
      </c>
      <c r="L532" s="21">
        <v>190</v>
      </c>
    </row>
    <row r="533" spans="1:12">
      <c r="A533" s="19" t="s">
        <v>603</v>
      </c>
      <c r="B533" s="20">
        <v>46264</v>
      </c>
      <c r="C533" s="19" t="s">
        <v>20</v>
      </c>
      <c r="D533" s="19" t="s">
        <v>14</v>
      </c>
      <c r="E533" s="19" t="s">
        <v>22</v>
      </c>
      <c r="F533" s="19" t="s">
        <v>73</v>
      </c>
      <c r="G533" s="19" t="s">
        <v>129</v>
      </c>
      <c r="H533" s="19" t="s">
        <v>25</v>
      </c>
      <c r="I533" s="19">
        <v>2</v>
      </c>
      <c r="J533" s="21">
        <v>35</v>
      </c>
      <c r="K533" s="22">
        <v>0.1</v>
      </c>
      <c r="L533" s="21">
        <v>63</v>
      </c>
    </row>
    <row r="534" spans="1:12">
      <c r="A534" s="19" t="s">
        <v>604</v>
      </c>
      <c r="B534" s="20">
        <v>46145</v>
      </c>
      <c r="C534" s="19" t="s">
        <v>47</v>
      </c>
      <c r="D534" s="19" t="s">
        <v>21</v>
      </c>
      <c r="E534" s="19" t="s">
        <v>22</v>
      </c>
      <c r="F534" s="19" t="s">
        <v>73</v>
      </c>
      <c r="G534" s="19" t="s">
        <v>145</v>
      </c>
      <c r="H534" s="19" t="s">
        <v>55</v>
      </c>
      <c r="I534" s="19">
        <v>1</v>
      </c>
      <c r="J534" s="21">
        <v>18.72</v>
      </c>
      <c r="K534" s="22">
        <v>0.05</v>
      </c>
      <c r="L534" s="21">
        <v>17.783999999999999</v>
      </c>
    </row>
    <row r="535" spans="1:12">
      <c r="A535" s="19" t="s">
        <v>605</v>
      </c>
      <c r="B535" s="20">
        <v>46100</v>
      </c>
      <c r="C535" s="19" t="s">
        <v>13</v>
      </c>
      <c r="D535" s="19" t="s">
        <v>14</v>
      </c>
      <c r="E535" s="19" t="s">
        <v>22</v>
      </c>
      <c r="F535" s="19" t="s">
        <v>23</v>
      </c>
      <c r="G535" s="19" t="s">
        <v>52</v>
      </c>
      <c r="H535" s="19" t="s">
        <v>29</v>
      </c>
      <c r="I535" s="19">
        <v>1</v>
      </c>
      <c r="J535" s="21">
        <v>427.5</v>
      </c>
      <c r="K535" s="22">
        <v>0.05</v>
      </c>
      <c r="L535" s="21">
        <v>406.125</v>
      </c>
    </row>
    <row r="536" spans="1:12">
      <c r="A536" s="19" t="s">
        <v>606</v>
      </c>
      <c r="B536" s="20">
        <v>46198</v>
      </c>
      <c r="C536" s="19" t="s">
        <v>47</v>
      </c>
      <c r="D536" s="19" t="s">
        <v>14</v>
      </c>
      <c r="E536" s="19" t="s">
        <v>22</v>
      </c>
      <c r="F536" s="19" t="s">
        <v>48</v>
      </c>
      <c r="G536" s="19" t="s">
        <v>54</v>
      </c>
      <c r="H536" s="19" t="s">
        <v>83</v>
      </c>
      <c r="I536" s="19">
        <v>1</v>
      </c>
      <c r="J536" s="21">
        <v>1800</v>
      </c>
      <c r="K536" s="22">
        <v>0.08</v>
      </c>
      <c r="L536" s="21">
        <v>1656</v>
      </c>
    </row>
    <row r="537" spans="1:12">
      <c r="A537" s="19" t="s">
        <v>607</v>
      </c>
      <c r="B537" s="20">
        <v>46371</v>
      </c>
      <c r="C537" s="19" t="s">
        <v>86</v>
      </c>
      <c r="D537" s="19" t="s">
        <v>14</v>
      </c>
      <c r="E537" s="19" t="s">
        <v>22</v>
      </c>
      <c r="F537" s="19" t="s">
        <v>27</v>
      </c>
      <c r="G537" s="19" t="s">
        <v>32</v>
      </c>
      <c r="H537" s="19" t="s">
        <v>87</v>
      </c>
      <c r="I537" s="19">
        <v>7</v>
      </c>
      <c r="J537" s="21">
        <v>285.60000000000002</v>
      </c>
      <c r="K537" s="22">
        <v>0.08</v>
      </c>
      <c r="L537" s="21">
        <v>1839.2640000000004</v>
      </c>
    </row>
    <row r="538" spans="1:12">
      <c r="A538" s="19" t="s">
        <v>608</v>
      </c>
      <c r="B538" s="20">
        <v>46337</v>
      </c>
      <c r="C538" s="19" t="s">
        <v>86</v>
      </c>
      <c r="D538" s="19" t="s">
        <v>41</v>
      </c>
      <c r="E538" s="19" t="s">
        <v>15</v>
      </c>
      <c r="F538" s="19" t="s">
        <v>23</v>
      </c>
      <c r="G538" s="19" t="s">
        <v>24</v>
      </c>
      <c r="H538" s="19" t="s">
        <v>93</v>
      </c>
      <c r="I538" s="19">
        <v>4</v>
      </c>
      <c r="J538" s="21">
        <v>90</v>
      </c>
      <c r="K538" s="22">
        <v>0.1</v>
      </c>
      <c r="L538" s="21">
        <v>324</v>
      </c>
    </row>
    <row r="539" spans="1:12">
      <c r="A539" s="19" t="s">
        <v>609</v>
      </c>
      <c r="B539" s="20">
        <v>46225</v>
      </c>
      <c r="C539" s="19" t="s">
        <v>13</v>
      </c>
      <c r="D539" s="19" t="s">
        <v>14</v>
      </c>
      <c r="E539" s="19" t="s">
        <v>22</v>
      </c>
      <c r="F539" s="19" t="s">
        <v>23</v>
      </c>
      <c r="G539" s="19" t="s">
        <v>52</v>
      </c>
      <c r="H539" s="19" t="s">
        <v>43</v>
      </c>
      <c r="I539" s="19">
        <v>2</v>
      </c>
      <c r="J539" s="21">
        <v>427.5</v>
      </c>
      <c r="K539" s="22">
        <v>0.05</v>
      </c>
      <c r="L539" s="21">
        <v>812.25</v>
      </c>
    </row>
    <row r="540" spans="1:12">
      <c r="A540" s="19" t="s">
        <v>610</v>
      </c>
      <c r="B540" s="20">
        <v>46181</v>
      </c>
      <c r="C540" s="19" t="s">
        <v>13</v>
      </c>
      <c r="D540" s="19" t="s">
        <v>14</v>
      </c>
      <c r="E540" s="19" t="s">
        <v>15</v>
      </c>
      <c r="F540" s="19" t="s">
        <v>23</v>
      </c>
      <c r="G540" s="19" t="s">
        <v>52</v>
      </c>
      <c r="H540" s="19" t="s">
        <v>43</v>
      </c>
      <c r="I540" s="19">
        <v>7</v>
      </c>
      <c r="J540" s="21">
        <v>450</v>
      </c>
      <c r="K540" s="22">
        <v>0.1</v>
      </c>
      <c r="L540" s="21">
        <v>2835</v>
      </c>
    </row>
    <row r="541" spans="1:12">
      <c r="A541" s="19" t="s">
        <v>611</v>
      </c>
      <c r="B541" s="20">
        <v>46359</v>
      </c>
      <c r="C541" s="19" t="s">
        <v>47</v>
      </c>
      <c r="D541" s="19" t="s">
        <v>14</v>
      </c>
      <c r="E541" s="19" t="s">
        <v>22</v>
      </c>
      <c r="F541" s="19" t="s">
        <v>73</v>
      </c>
      <c r="G541" s="19" t="s">
        <v>74</v>
      </c>
      <c r="H541" s="19" t="s">
        <v>83</v>
      </c>
      <c r="I541" s="19">
        <v>6</v>
      </c>
      <c r="J541" s="21">
        <v>8</v>
      </c>
      <c r="K541" s="22">
        <v>0.1</v>
      </c>
      <c r="L541" s="21">
        <v>43.2</v>
      </c>
    </row>
    <row r="542" spans="1:12">
      <c r="A542" s="19" t="s">
        <v>612</v>
      </c>
      <c r="B542" s="20">
        <v>46134</v>
      </c>
      <c r="C542" s="19" t="s">
        <v>47</v>
      </c>
      <c r="D542" s="19" t="s">
        <v>21</v>
      </c>
      <c r="E542" s="19" t="s">
        <v>22</v>
      </c>
      <c r="F542" s="19" t="s">
        <v>48</v>
      </c>
      <c r="G542" s="19" t="s">
        <v>49</v>
      </c>
      <c r="H542" s="19" t="s">
        <v>83</v>
      </c>
      <c r="I542" s="19">
        <v>1</v>
      </c>
      <c r="J542" s="21">
        <v>4284</v>
      </c>
      <c r="K542" s="22">
        <v>0.1</v>
      </c>
      <c r="L542" s="21">
        <v>3855.6</v>
      </c>
    </row>
    <row r="543" spans="1:12">
      <c r="A543" s="19" t="s">
        <v>613</v>
      </c>
      <c r="B543" s="20">
        <v>46308</v>
      </c>
      <c r="C543" s="19" t="s">
        <v>86</v>
      </c>
      <c r="D543" s="19" t="s">
        <v>41</v>
      </c>
      <c r="E543" s="19" t="s">
        <v>15</v>
      </c>
      <c r="F543" s="19" t="s">
        <v>73</v>
      </c>
      <c r="G543" s="19" t="s">
        <v>81</v>
      </c>
      <c r="H543" s="19" t="s">
        <v>93</v>
      </c>
      <c r="I543" s="19">
        <v>1</v>
      </c>
      <c r="J543" s="21">
        <v>12.72</v>
      </c>
      <c r="K543" s="22">
        <v>0.2</v>
      </c>
      <c r="L543" s="21">
        <v>10.176000000000002</v>
      </c>
    </row>
    <row r="544" spans="1:12">
      <c r="A544" s="19" t="s">
        <v>614</v>
      </c>
      <c r="B544" s="20">
        <v>46240</v>
      </c>
      <c r="C544" s="19" t="s">
        <v>13</v>
      </c>
      <c r="D544" s="19" t="s">
        <v>14</v>
      </c>
      <c r="E544" s="19" t="s">
        <v>22</v>
      </c>
      <c r="F544" s="19" t="s">
        <v>48</v>
      </c>
      <c r="G544" s="19" t="s">
        <v>99</v>
      </c>
      <c r="H544" s="19" t="s">
        <v>18</v>
      </c>
      <c r="I544" s="19">
        <v>3</v>
      </c>
      <c r="J544" s="21">
        <v>2910</v>
      </c>
      <c r="K544" s="22">
        <v>0.08</v>
      </c>
      <c r="L544" s="21">
        <v>8031.6</v>
      </c>
    </row>
    <row r="545" spans="1:12">
      <c r="A545" s="19" t="s">
        <v>615</v>
      </c>
      <c r="B545" s="20">
        <v>46025</v>
      </c>
      <c r="C545" s="19" t="s">
        <v>20</v>
      </c>
      <c r="D545" s="19" t="s">
        <v>14</v>
      </c>
      <c r="E545" s="19" t="s">
        <v>22</v>
      </c>
      <c r="F545" s="19" t="s">
        <v>73</v>
      </c>
      <c r="G545" s="19" t="s">
        <v>81</v>
      </c>
      <c r="H545" s="19" t="s">
        <v>63</v>
      </c>
      <c r="I545" s="19">
        <v>6</v>
      </c>
      <c r="J545" s="21">
        <v>11.4</v>
      </c>
      <c r="K545" s="22">
        <v>0.08</v>
      </c>
      <c r="L545" s="21">
        <v>62.928000000000011</v>
      </c>
    </row>
    <row r="546" spans="1:12">
      <c r="A546" s="19" t="s">
        <v>616</v>
      </c>
      <c r="B546" s="20">
        <v>46092</v>
      </c>
      <c r="C546" s="19" t="s">
        <v>47</v>
      </c>
      <c r="D546" s="19" t="s">
        <v>21</v>
      </c>
      <c r="E546" s="19" t="s">
        <v>22</v>
      </c>
      <c r="F546" s="19" t="s">
        <v>27</v>
      </c>
      <c r="G546" s="19" t="s">
        <v>155</v>
      </c>
      <c r="H546" s="19" t="s">
        <v>50</v>
      </c>
      <c r="I546" s="19">
        <v>2</v>
      </c>
      <c r="J546" s="21">
        <v>190.8</v>
      </c>
      <c r="K546" s="22">
        <v>0.1</v>
      </c>
      <c r="L546" s="21">
        <v>343.44000000000005</v>
      </c>
    </row>
    <row r="547" spans="1:12">
      <c r="A547" s="19" t="s">
        <v>617</v>
      </c>
      <c r="B547" s="20">
        <v>46204</v>
      </c>
      <c r="C547" s="19" t="s">
        <v>86</v>
      </c>
      <c r="D547" s="19" t="s">
        <v>35</v>
      </c>
      <c r="E547" s="19" t="s">
        <v>22</v>
      </c>
      <c r="F547" s="19" t="s">
        <v>48</v>
      </c>
      <c r="G547" s="19" t="s">
        <v>99</v>
      </c>
      <c r="H547" s="19" t="s">
        <v>93</v>
      </c>
      <c r="I547" s="19">
        <v>1</v>
      </c>
      <c r="J547" s="21">
        <v>3060</v>
      </c>
      <c r="K547" s="22">
        <v>0.05</v>
      </c>
      <c r="L547" s="21">
        <v>2907</v>
      </c>
    </row>
    <row r="548" spans="1:12">
      <c r="A548" s="19" t="s">
        <v>618</v>
      </c>
      <c r="B548" s="20">
        <v>46286</v>
      </c>
      <c r="C548" s="19" t="s">
        <v>31</v>
      </c>
      <c r="D548" s="19" t="s">
        <v>21</v>
      </c>
      <c r="E548" s="19" t="s">
        <v>22</v>
      </c>
      <c r="F548" s="19" t="s">
        <v>16</v>
      </c>
      <c r="G548" s="19" t="s">
        <v>69</v>
      </c>
      <c r="H548" s="19" t="s">
        <v>79</v>
      </c>
      <c r="I548" s="19">
        <v>3</v>
      </c>
      <c r="J548" s="21">
        <v>55</v>
      </c>
      <c r="K548" s="22">
        <v>0</v>
      </c>
      <c r="L548" s="21">
        <v>165</v>
      </c>
    </row>
    <row r="549" spans="1:12">
      <c r="A549" s="19" t="s">
        <v>619</v>
      </c>
      <c r="B549" s="20">
        <v>46378</v>
      </c>
      <c r="C549" s="19" t="s">
        <v>31</v>
      </c>
      <c r="D549" s="19" t="s">
        <v>35</v>
      </c>
      <c r="E549" s="19" t="s">
        <v>22</v>
      </c>
      <c r="F549" s="19" t="s">
        <v>23</v>
      </c>
      <c r="G549" s="19" t="s">
        <v>138</v>
      </c>
      <c r="H549" s="19" t="s">
        <v>39</v>
      </c>
      <c r="I549" s="19">
        <v>3</v>
      </c>
      <c r="J549" s="21">
        <v>63.6</v>
      </c>
      <c r="K549" s="22">
        <v>0.1</v>
      </c>
      <c r="L549" s="21">
        <v>171.72000000000003</v>
      </c>
    </row>
    <row r="550" spans="1:12">
      <c r="A550" s="19" t="s">
        <v>620</v>
      </c>
      <c r="B550" s="20">
        <v>46083</v>
      </c>
      <c r="C550" s="19" t="s">
        <v>31</v>
      </c>
      <c r="D550" s="19" t="s">
        <v>35</v>
      </c>
      <c r="E550" s="19" t="s">
        <v>22</v>
      </c>
      <c r="F550" s="19" t="s">
        <v>60</v>
      </c>
      <c r="G550" s="19" t="s">
        <v>91</v>
      </c>
      <c r="H550" s="19" t="s">
        <v>33</v>
      </c>
      <c r="I550" s="19">
        <v>1</v>
      </c>
      <c r="J550" s="21">
        <v>580</v>
      </c>
      <c r="K550" s="22">
        <v>0.2</v>
      </c>
      <c r="L550" s="21">
        <v>464</v>
      </c>
    </row>
    <row r="551" spans="1:12">
      <c r="A551" s="19" t="s">
        <v>621</v>
      </c>
      <c r="B551" s="20">
        <v>46357</v>
      </c>
      <c r="C551" s="19" t="s">
        <v>31</v>
      </c>
      <c r="D551" s="19" t="s">
        <v>14</v>
      </c>
      <c r="E551" s="19" t="s">
        <v>22</v>
      </c>
      <c r="F551" s="19" t="s">
        <v>16</v>
      </c>
      <c r="G551" s="19" t="s">
        <v>42</v>
      </c>
      <c r="H551" s="19" t="s">
        <v>33</v>
      </c>
      <c r="I551" s="19">
        <v>5</v>
      </c>
      <c r="J551" s="21">
        <v>45</v>
      </c>
      <c r="K551" s="22">
        <v>0.1</v>
      </c>
      <c r="L551" s="21">
        <v>202.5</v>
      </c>
    </row>
    <row r="552" spans="1:12">
      <c r="A552" s="19" t="s">
        <v>622</v>
      </c>
      <c r="B552" s="20">
        <v>46384</v>
      </c>
      <c r="C552" s="19" t="s">
        <v>47</v>
      </c>
      <c r="D552" s="19" t="s">
        <v>14</v>
      </c>
      <c r="E552" s="19" t="s">
        <v>22</v>
      </c>
      <c r="F552" s="19" t="s">
        <v>27</v>
      </c>
      <c r="G552" s="19" t="s">
        <v>32</v>
      </c>
      <c r="H552" s="19" t="s">
        <v>55</v>
      </c>
      <c r="I552" s="19">
        <v>2</v>
      </c>
      <c r="J552" s="21">
        <v>280</v>
      </c>
      <c r="K552" s="22">
        <v>0</v>
      </c>
      <c r="L552" s="21">
        <v>560</v>
      </c>
    </row>
    <row r="553" spans="1:12">
      <c r="A553" s="19" t="s">
        <v>623</v>
      </c>
      <c r="B553" s="20">
        <v>46045</v>
      </c>
      <c r="C553" s="19" t="s">
        <v>13</v>
      </c>
      <c r="D553" s="19" t="s">
        <v>14</v>
      </c>
      <c r="E553" s="19" t="s">
        <v>22</v>
      </c>
      <c r="F553" s="19" t="s">
        <v>27</v>
      </c>
      <c r="G553" s="19" t="s">
        <v>32</v>
      </c>
      <c r="H553" s="19" t="s">
        <v>18</v>
      </c>
      <c r="I553" s="19">
        <v>3</v>
      </c>
      <c r="J553" s="21">
        <v>296.8</v>
      </c>
      <c r="K553" s="22">
        <v>0.1</v>
      </c>
      <c r="L553" s="21">
        <v>801.36000000000013</v>
      </c>
    </row>
    <row r="554" spans="1:12">
      <c r="A554" s="19" t="s">
        <v>624</v>
      </c>
      <c r="B554" s="20">
        <v>46330</v>
      </c>
      <c r="C554" s="19" t="s">
        <v>31</v>
      </c>
      <c r="D554" s="19" t="s">
        <v>21</v>
      </c>
      <c r="E554" s="19" t="s">
        <v>22</v>
      </c>
      <c r="F554" s="19" t="s">
        <v>16</v>
      </c>
      <c r="G554" s="19" t="s">
        <v>112</v>
      </c>
      <c r="H554" s="19" t="s">
        <v>39</v>
      </c>
      <c r="I554" s="19">
        <v>2</v>
      </c>
      <c r="J554" s="21">
        <v>67.599999999999994</v>
      </c>
      <c r="K554" s="22">
        <v>0.15</v>
      </c>
      <c r="L554" s="21">
        <v>114.91999999999999</v>
      </c>
    </row>
    <row r="555" spans="1:12">
      <c r="A555" s="19" t="s">
        <v>625</v>
      </c>
      <c r="B555" s="20">
        <v>46276</v>
      </c>
      <c r="C555" s="19" t="s">
        <v>31</v>
      </c>
      <c r="D555" s="19" t="s">
        <v>35</v>
      </c>
      <c r="E555" s="19" t="s">
        <v>22</v>
      </c>
      <c r="F555" s="19" t="s">
        <v>48</v>
      </c>
      <c r="G555" s="19" t="s">
        <v>96</v>
      </c>
      <c r="H555" s="19" t="s">
        <v>79</v>
      </c>
      <c r="I555" s="19">
        <v>1</v>
      </c>
      <c r="J555" s="21">
        <v>2375</v>
      </c>
      <c r="K555" s="22">
        <v>0.05</v>
      </c>
      <c r="L555" s="21">
        <v>2256.25</v>
      </c>
    </row>
    <row r="556" spans="1:12">
      <c r="A556" s="19" t="s">
        <v>626</v>
      </c>
      <c r="B556" s="20">
        <v>46137</v>
      </c>
      <c r="C556" s="19" t="s">
        <v>86</v>
      </c>
      <c r="D556" s="19" t="s">
        <v>35</v>
      </c>
      <c r="E556" s="19" t="s">
        <v>22</v>
      </c>
      <c r="F556" s="19" t="s">
        <v>60</v>
      </c>
      <c r="G556" s="19" t="s">
        <v>91</v>
      </c>
      <c r="H556" s="19" t="s">
        <v>87</v>
      </c>
      <c r="I556" s="19">
        <v>1</v>
      </c>
      <c r="J556" s="21">
        <v>580</v>
      </c>
      <c r="K556" s="22">
        <v>0.15</v>
      </c>
      <c r="L556" s="21">
        <v>493</v>
      </c>
    </row>
    <row r="557" spans="1:12">
      <c r="A557" s="19" t="s">
        <v>627</v>
      </c>
      <c r="B557" s="20">
        <v>46148</v>
      </c>
      <c r="C557" s="19" t="s">
        <v>31</v>
      </c>
      <c r="D557" s="19" t="s">
        <v>21</v>
      </c>
      <c r="E557" s="19" t="s">
        <v>15</v>
      </c>
      <c r="F557" s="19" t="s">
        <v>16</v>
      </c>
      <c r="G557" s="19" t="s">
        <v>42</v>
      </c>
      <c r="H557" s="19" t="s">
        <v>33</v>
      </c>
      <c r="I557" s="19">
        <v>2</v>
      </c>
      <c r="J557" s="21">
        <v>45</v>
      </c>
      <c r="K557" s="22">
        <v>0.1</v>
      </c>
      <c r="L557" s="21">
        <v>81</v>
      </c>
    </row>
    <row r="558" spans="1:12">
      <c r="A558" s="19" t="s">
        <v>628</v>
      </c>
      <c r="B558" s="20">
        <v>46272</v>
      </c>
      <c r="C558" s="19" t="s">
        <v>31</v>
      </c>
      <c r="D558" s="19" t="s">
        <v>14</v>
      </c>
      <c r="E558" s="19" t="s">
        <v>22</v>
      </c>
      <c r="F558" s="19" t="s">
        <v>16</v>
      </c>
      <c r="G558" s="19" t="s">
        <v>112</v>
      </c>
      <c r="H558" s="19" t="s">
        <v>39</v>
      </c>
      <c r="I558" s="19">
        <v>3</v>
      </c>
      <c r="J558" s="21">
        <v>61.75</v>
      </c>
      <c r="K558" s="22">
        <v>0.08</v>
      </c>
      <c r="L558" s="21">
        <v>170.43</v>
      </c>
    </row>
    <row r="559" spans="1:12">
      <c r="A559" s="19" t="s">
        <v>629</v>
      </c>
      <c r="B559" s="20">
        <v>46377</v>
      </c>
      <c r="C559" s="19" t="s">
        <v>47</v>
      </c>
      <c r="D559" s="19" t="s">
        <v>14</v>
      </c>
      <c r="E559" s="19" t="s">
        <v>22</v>
      </c>
      <c r="F559" s="19" t="s">
        <v>60</v>
      </c>
      <c r="G559" s="19" t="s">
        <v>61</v>
      </c>
      <c r="H559" s="19" t="s">
        <v>55</v>
      </c>
      <c r="I559" s="19">
        <v>5</v>
      </c>
      <c r="J559" s="21">
        <v>824.5</v>
      </c>
      <c r="K559" s="22">
        <v>0.2</v>
      </c>
      <c r="L559" s="21">
        <v>3298</v>
      </c>
    </row>
    <row r="560" spans="1:12">
      <c r="A560" s="19" t="s">
        <v>630</v>
      </c>
      <c r="B560" s="20">
        <v>46167</v>
      </c>
      <c r="C560" s="19" t="s">
        <v>47</v>
      </c>
      <c r="D560" s="19" t="s">
        <v>21</v>
      </c>
      <c r="E560" s="19" t="s">
        <v>22</v>
      </c>
      <c r="F560" s="19" t="s">
        <v>23</v>
      </c>
      <c r="G560" s="19" t="s">
        <v>38</v>
      </c>
      <c r="H560" s="19" t="s">
        <v>50</v>
      </c>
      <c r="I560" s="19">
        <v>1</v>
      </c>
      <c r="J560" s="21">
        <v>320</v>
      </c>
      <c r="K560" s="22">
        <v>0</v>
      </c>
      <c r="L560" s="21">
        <v>320</v>
      </c>
    </row>
    <row r="561" spans="1:12">
      <c r="A561" s="19" t="s">
        <v>631</v>
      </c>
      <c r="B561" s="20">
        <v>46295</v>
      </c>
      <c r="C561" s="19" t="s">
        <v>20</v>
      </c>
      <c r="D561" s="19" t="s">
        <v>14</v>
      </c>
      <c r="E561" s="19" t="s">
        <v>22</v>
      </c>
      <c r="F561" s="19" t="s">
        <v>16</v>
      </c>
      <c r="G561" s="19" t="s">
        <v>17</v>
      </c>
      <c r="H561" s="19" t="s">
        <v>63</v>
      </c>
      <c r="I561" s="19">
        <v>2</v>
      </c>
      <c r="J561" s="21">
        <v>15.3</v>
      </c>
      <c r="K561" s="22">
        <v>0.05</v>
      </c>
      <c r="L561" s="21">
        <v>29.07</v>
      </c>
    </row>
    <row r="562" spans="1:12">
      <c r="A562" s="19" t="s">
        <v>632</v>
      </c>
      <c r="B562" s="20">
        <v>46263</v>
      </c>
      <c r="C562" s="19" t="s">
        <v>13</v>
      </c>
      <c r="D562" s="19" t="s">
        <v>14</v>
      </c>
      <c r="E562" s="19" t="s">
        <v>22</v>
      </c>
      <c r="F562" s="19" t="s">
        <v>27</v>
      </c>
      <c r="G562" s="19" t="s">
        <v>36</v>
      </c>
      <c r="H562" s="19" t="s">
        <v>18</v>
      </c>
      <c r="I562" s="19">
        <v>4</v>
      </c>
      <c r="J562" s="21">
        <v>750</v>
      </c>
      <c r="K562" s="22">
        <v>0.05</v>
      </c>
      <c r="L562" s="21">
        <v>2850</v>
      </c>
    </row>
    <row r="563" spans="1:12">
      <c r="A563" s="19" t="s">
        <v>633</v>
      </c>
      <c r="B563" s="20">
        <v>46030</v>
      </c>
      <c r="C563" s="19" t="s">
        <v>13</v>
      </c>
      <c r="D563" s="19" t="s">
        <v>21</v>
      </c>
      <c r="E563" s="19" t="s">
        <v>15</v>
      </c>
      <c r="F563" s="19" t="s">
        <v>16</v>
      </c>
      <c r="G563" s="19" t="s">
        <v>17</v>
      </c>
      <c r="H563" s="19" t="s">
        <v>18</v>
      </c>
      <c r="I563" s="19">
        <v>1</v>
      </c>
      <c r="J563" s="21">
        <v>15.3</v>
      </c>
      <c r="K563" s="22">
        <v>0</v>
      </c>
      <c r="L563" s="21">
        <v>15.3</v>
      </c>
    </row>
    <row r="564" spans="1:12">
      <c r="A564" s="19" t="s">
        <v>634</v>
      </c>
      <c r="B564" s="20">
        <v>46077</v>
      </c>
      <c r="C564" s="19" t="s">
        <v>86</v>
      </c>
      <c r="D564" s="19" t="s">
        <v>14</v>
      </c>
      <c r="E564" s="19" t="s">
        <v>22</v>
      </c>
      <c r="F564" s="19" t="s">
        <v>16</v>
      </c>
      <c r="G564" s="19" t="s">
        <v>65</v>
      </c>
      <c r="H564" s="19" t="s">
        <v>93</v>
      </c>
      <c r="I564" s="19">
        <v>1</v>
      </c>
      <c r="J564" s="21">
        <v>84.8</v>
      </c>
      <c r="K564" s="22">
        <v>0.05</v>
      </c>
      <c r="L564" s="21">
        <v>80.559999999999988</v>
      </c>
    </row>
    <row r="565" spans="1:12">
      <c r="A565" s="19" t="s">
        <v>635</v>
      </c>
      <c r="B565" s="20">
        <v>46371</v>
      </c>
      <c r="C565" s="19" t="s">
        <v>31</v>
      </c>
      <c r="D565" s="19" t="s">
        <v>14</v>
      </c>
      <c r="E565" s="19" t="s">
        <v>22</v>
      </c>
      <c r="F565" s="19" t="s">
        <v>16</v>
      </c>
      <c r="G565" s="19" t="s">
        <v>57</v>
      </c>
      <c r="H565" s="19" t="s">
        <v>39</v>
      </c>
      <c r="I565" s="19">
        <v>1</v>
      </c>
      <c r="J565" s="21">
        <v>38</v>
      </c>
      <c r="K565" s="22">
        <v>0.03</v>
      </c>
      <c r="L565" s="21">
        <v>36.86</v>
      </c>
    </row>
    <row r="566" spans="1:12">
      <c r="A566" s="19" t="s">
        <v>636</v>
      </c>
      <c r="B566" s="20">
        <v>46243</v>
      </c>
      <c r="C566" s="19" t="s">
        <v>31</v>
      </c>
      <c r="D566" s="19" t="s">
        <v>41</v>
      </c>
      <c r="E566" s="19" t="s">
        <v>22</v>
      </c>
      <c r="F566" s="19" t="s">
        <v>16</v>
      </c>
      <c r="G566" s="19" t="s">
        <v>57</v>
      </c>
      <c r="H566" s="19" t="s">
        <v>39</v>
      </c>
      <c r="I566" s="19">
        <v>6</v>
      </c>
      <c r="J566" s="21">
        <v>38</v>
      </c>
      <c r="K566" s="22">
        <v>0.08</v>
      </c>
      <c r="L566" s="21">
        <v>209.76000000000002</v>
      </c>
    </row>
    <row r="567" spans="1:12">
      <c r="A567" s="19" t="s">
        <v>637</v>
      </c>
      <c r="B567" s="20">
        <v>46385</v>
      </c>
      <c r="C567" s="19" t="s">
        <v>31</v>
      </c>
      <c r="D567" s="19" t="s">
        <v>41</v>
      </c>
      <c r="E567" s="19" t="s">
        <v>22</v>
      </c>
      <c r="F567" s="19" t="s">
        <v>16</v>
      </c>
      <c r="G567" s="19" t="s">
        <v>65</v>
      </c>
      <c r="H567" s="19" t="s">
        <v>33</v>
      </c>
      <c r="I567" s="19">
        <v>5</v>
      </c>
      <c r="J567" s="21">
        <v>84.8</v>
      </c>
      <c r="K567" s="22">
        <v>0.05</v>
      </c>
      <c r="L567" s="21">
        <v>402.79999999999995</v>
      </c>
    </row>
    <row r="568" spans="1:12">
      <c r="A568" s="19" t="s">
        <v>638</v>
      </c>
      <c r="B568" s="20">
        <v>46335</v>
      </c>
      <c r="C568" s="19" t="s">
        <v>31</v>
      </c>
      <c r="D568" s="19" t="s">
        <v>21</v>
      </c>
      <c r="E568" s="19" t="s">
        <v>22</v>
      </c>
      <c r="F568" s="19" t="s">
        <v>48</v>
      </c>
      <c r="G568" s="19" t="s">
        <v>49</v>
      </c>
      <c r="H568" s="19" t="s">
        <v>79</v>
      </c>
      <c r="I568" s="19">
        <v>2</v>
      </c>
      <c r="J568" s="21">
        <v>4200</v>
      </c>
      <c r="K568" s="22">
        <v>0.1</v>
      </c>
      <c r="L568" s="21">
        <v>7560</v>
      </c>
    </row>
    <row r="569" spans="1:12">
      <c r="A569" s="19" t="s">
        <v>639</v>
      </c>
      <c r="B569" s="20">
        <v>46385</v>
      </c>
      <c r="C569" s="19" t="s">
        <v>31</v>
      </c>
      <c r="D569" s="19" t="s">
        <v>41</v>
      </c>
      <c r="E569" s="19" t="s">
        <v>15</v>
      </c>
      <c r="F569" s="19" t="s">
        <v>60</v>
      </c>
      <c r="G569" s="19" t="s">
        <v>91</v>
      </c>
      <c r="H569" s="19" t="s">
        <v>39</v>
      </c>
      <c r="I569" s="19">
        <v>2</v>
      </c>
      <c r="J569" s="21">
        <v>603.20000000000005</v>
      </c>
      <c r="K569" s="22">
        <v>0.08</v>
      </c>
      <c r="L569" s="21">
        <v>1109.8880000000001</v>
      </c>
    </row>
    <row r="570" spans="1:12">
      <c r="A570" s="19" t="s">
        <v>640</v>
      </c>
      <c r="B570" s="20">
        <v>46341</v>
      </c>
      <c r="C570" s="19" t="s">
        <v>20</v>
      </c>
      <c r="D570" s="19" t="s">
        <v>14</v>
      </c>
      <c r="E570" s="19" t="s">
        <v>22</v>
      </c>
      <c r="F570" s="19" t="s">
        <v>23</v>
      </c>
      <c r="G570" s="19" t="s">
        <v>24</v>
      </c>
      <c r="H570" s="19" t="s">
        <v>58</v>
      </c>
      <c r="I570" s="19">
        <v>1</v>
      </c>
      <c r="J570" s="21">
        <v>90</v>
      </c>
      <c r="K570" s="22">
        <v>0.05</v>
      </c>
      <c r="L570" s="21">
        <v>85.5</v>
      </c>
    </row>
    <row r="571" spans="1:12">
      <c r="A571" s="19" t="s">
        <v>641</v>
      </c>
      <c r="B571" s="20">
        <v>46357</v>
      </c>
      <c r="C571" s="19" t="s">
        <v>20</v>
      </c>
      <c r="D571" s="19" t="s">
        <v>14</v>
      </c>
      <c r="E571" s="19" t="s">
        <v>22</v>
      </c>
      <c r="F571" s="19" t="s">
        <v>73</v>
      </c>
      <c r="G571" s="19" t="s">
        <v>74</v>
      </c>
      <c r="H571" s="19" t="s">
        <v>25</v>
      </c>
      <c r="I571" s="19">
        <v>7</v>
      </c>
      <c r="J571" s="21">
        <v>7.6</v>
      </c>
      <c r="K571" s="22">
        <v>0.08</v>
      </c>
      <c r="L571" s="21">
        <v>48.943999999999996</v>
      </c>
    </row>
    <row r="572" spans="1:12">
      <c r="A572" s="19" t="s">
        <v>642</v>
      </c>
      <c r="B572" s="20">
        <v>46339</v>
      </c>
      <c r="C572" s="19" t="s">
        <v>31</v>
      </c>
      <c r="D572" s="19" t="s">
        <v>41</v>
      </c>
      <c r="E572" s="19" t="s">
        <v>22</v>
      </c>
      <c r="F572" s="19" t="s">
        <v>23</v>
      </c>
      <c r="G572" s="19" t="s">
        <v>52</v>
      </c>
      <c r="H572" s="19" t="s">
        <v>39</v>
      </c>
      <c r="I572" s="19">
        <v>2</v>
      </c>
      <c r="J572" s="21">
        <v>436.5</v>
      </c>
      <c r="K572" s="22">
        <v>0.1</v>
      </c>
      <c r="L572" s="21">
        <v>785.7</v>
      </c>
    </row>
    <row r="573" spans="1:12">
      <c r="A573" s="19" t="s">
        <v>643</v>
      </c>
      <c r="B573" s="20">
        <v>46036</v>
      </c>
      <c r="C573" s="19" t="s">
        <v>13</v>
      </c>
      <c r="D573" s="19" t="s">
        <v>35</v>
      </c>
      <c r="E573" s="19" t="s">
        <v>22</v>
      </c>
      <c r="F573" s="19" t="s">
        <v>60</v>
      </c>
      <c r="G573" s="19" t="s">
        <v>61</v>
      </c>
      <c r="H573" s="19" t="s">
        <v>18</v>
      </c>
      <c r="I573" s="19">
        <v>2</v>
      </c>
      <c r="J573" s="21">
        <v>824.5</v>
      </c>
      <c r="K573" s="22">
        <v>0.05</v>
      </c>
      <c r="L573" s="21">
        <v>1566.55</v>
      </c>
    </row>
    <row r="574" spans="1:12">
      <c r="A574" s="19" t="s">
        <v>644</v>
      </c>
      <c r="B574" s="20">
        <v>46233</v>
      </c>
      <c r="C574" s="19" t="s">
        <v>13</v>
      </c>
      <c r="D574" s="19" t="s">
        <v>41</v>
      </c>
      <c r="E574" s="19" t="s">
        <v>15</v>
      </c>
      <c r="F574" s="19" t="s">
        <v>48</v>
      </c>
      <c r="G574" s="19" t="s">
        <v>99</v>
      </c>
      <c r="H574" s="19" t="s">
        <v>43</v>
      </c>
      <c r="I574" s="19">
        <v>1</v>
      </c>
      <c r="J574" s="21">
        <v>2850</v>
      </c>
      <c r="K574" s="22">
        <v>0.03</v>
      </c>
      <c r="L574" s="21">
        <v>2764.5</v>
      </c>
    </row>
    <row r="575" spans="1:12">
      <c r="A575" s="19" t="s">
        <v>645</v>
      </c>
      <c r="B575" s="20">
        <v>46283</v>
      </c>
      <c r="C575" s="19" t="s">
        <v>13</v>
      </c>
      <c r="D575" s="19" t="s">
        <v>14</v>
      </c>
      <c r="E575" s="19" t="s">
        <v>22</v>
      </c>
      <c r="F575" s="19" t="s">
        <v>16</v>
      </c>
      <c r="G575" s="19" t="s">
        <v>42</v>
      </c>
      <c r="H575" s="19" t="s">
        <v>43</v>
      </c>
      <c r="I575" s="19">
        <v>4</v>
      </c>
      <c r="J575" s="21">
        <v>47.7</v>
      </c>
      <c r="K575" s="22">
        <v>0.1</v>
      </c>
      <c r="L575" s="21">
        <v>171.72000000000003</v>
      </c>
    </row>
    <row r="576" spans="1:12">
      <c r="A576" s="19" t="s">
        <v>646</v>
      </c>
      <c r="B576" s="20">
        <v>46105</v>
      </c>
      <c r="C576" s="19" t="s">
        <v>13</v>
      </c>
      <c r="D576" s="19" t="s">
        <v>14</v>
      </c>
      <c r="E576" s="19" t="s">
        <v>22</v>
      </c>
      <c r="F576" s="19" t="s">
        <v>60</v>
      </c>
      <c r="G576" s="19" t="s">
        <v>76</v>
      </c>
      <c r="H576" s="19" t="s">
        <v>29</v>
      </c>
      <c r="I576" s="19">
        <v>1</v>
      </c>
      <c r="J576" s="21">
        <v>700</v>
      </c>
      <c r="K576" s="22">
        <v>0.05</v>
      </c>
      <c r="L576" s="21">
        <v>665</v>
      </c>
    </row>
    <row r="577" spans="1:12">
      <c r="A577" s="19" t="s">
        <v>647</v>
      </c>
      <c r="B577" s="20">
        <v>46220</v>
      </c>
      <c r="C577" s="19" t="s">
        <v>47</v>
      </c>
      <c r="D577" s="19" t="s">
        <v>21</v>
      </c>
      <c r="E577" s="19" t="s">
        <v>22</v>
      </c>
      <c r="F577" s="19" t="s">
        <v>73</v>
      </c>
      <c r="G577" s="19" t="s">
        <v>129</v>
      </c>
      <c r="H577" s="19" t="s">
        <v>55</v>
      </c>
      <c r="I577" s="19">
        <v>3</v>
      </c>
      <c r="J577" s="21">
        <v>37.1</v>
      </c>
      <c r="K577" s="22">
        <v>0.1</v>
      </c>
      <c r="L577" s="21">
        <v>100.17000000000002</v>
      </c>
    </row>
    <row r="578" spans="1:12">
      <c r="A578" s="19" t="s">
        <v>648</v>
      </c>
      <c r="B578" s="20">
        <v>46355</v>
      </c>
      <c r="C578" s="19" t="s">
        <v>31</v>
      </c>
      <c r="D578" s="19" t="s">
        <v>41</v>
      </c>
      <c r="E578" s="19" t="s">
        <v>22</v>
      </c>
      <c r="F578" s="19" t="s">
        <v>16</v>
      </c>
      <c r="G578" s="19" t="s">
        <v>112</v>
      </c>
      <c r="H578" s="19" t="s">
        <v>79</v>
      </c>
      <c r="I578" s="19">
        <v>7</v>
      </c>
      <c r="J578" s="21">
        <v>65</v>
      </c>
      <c r="K578" s="22">
        <v>0</v>
      </c>
      <c r="L578" s="21">
        <v>455</v>
      </c>
    </row>
    <row r="579" spans="1:12">
      <c r="A579" s="19" t="s">
        <v>649</v>
      </c>
      <c r="B579" s="20">
        <v>46135</v>
      </c>
      <c r="C579" s="19" t="s">
        <v>31</v>
      </c>
      <c r="D579" s="19" t="s">
        <v>14</v>
      </c>
      <c r="E579" s="19" t="s">
        <v>15</v>
      </c>
      <c r="F579" s="19" t="s">
        <v>27</v>
      </c>
      <c r="G579" s="19" t="s">
        <v>32</v>
      </c>
      <c r="H579" s="19" t="s">
        <v>79</v>
      </c>
      <c r="I579" s="19">
        <v>2</v>
      </c>
      <c r="J579" s="21">
        <v>280</v>
      </c>
      <c r="K579" s="22">
        <v>0.08</v>
      </c>
      <c r="L579" s="21">
        <v>515.20000000000005</v>
      </c>
    </row>
    <row r="580" spans="1:12">
      <c r="A580" s="19" t="s">
        <v>650</v>
      </c>
      <c r="B580" s="20">
        <v>46187</v>
      </c>
      <c r="C580" s="19" t="s">
        <v>20</v>
      </c>
      <c r="D580" s="19" t="s">
        <v>35</v>
      </c>
      <c r="E580" s="19" t="s">
        <v>15</v>
      </c>
      <c r="F580" s="19" t="s">
        <v>16</v>
      </c>
      <c r="G580" s="19" t="s">
        <v>112</v>
      </c>
      <c r="H580" s="19" t="s">
        <v>58</v>
      </c>
      <c r="I580" s="19">
        <v>6</v>
      </c>
      <c r="J580" s="21">
        <v>66.3</v>
      </c>
      <c r="K580" s="22">
        <v>0.05</v>
      </c>
      <c r="L580" s="21">
        <v>377.90999999999991</v>
      </c>
    </row>
    <row r="581" spans="1:12">
      <c r="A581" s="19" t="s">
        <v>651</v>
      </c>
      <c r="B581" s="20">
        <v>46311</v>
      </c>
      <c r="C581" s="19" t="s">
        <v>20</v>
      </c>
      <c r="D581" s="19" t="s">
        <v>35</v>
      </c>
      <c r="E581" s="19" t="s">
        <v>22</v>
      </c>
      <c r="F581" s="19" t="s">
        <v>60</v>
      </c>
      <c r="G581" s="19" t="s">
        <v>67</v>
      </c>
      <c r="H581" s="19" t="s">
        <v>63</v>
      </c>
      <c r="I581" s="19">
        <v>3</v>
      </c>
      <c r="J581" s="21">
        <v>1500</v>
      </c>
      <c r="K581" s="22">
        <v>0.05</v>
      </c>
      <c r="L581" s="21">
        <v>4275</v>
      </c>
    </row>
    <row r="582" spans="1:12">
      <c r="A582" s="19" t="s">
        <v>652</v>
      </c>
      <c r="B582" s="20">
        <v>46093</v>
      </c>
      <c r="C582" s="19" t="s">
        <v>47</v>
      </c>
      <c r="D582" s="19" t="s">
        <v>35</v>
      </c>
      <c r="E582" s="19" t="s">
        <v>15</v>
      </c>
      <c r="F582" s="19" t="s">
        <v>48</v>
      </c>
      <c r="G582" s="19" t="s">
        <v>49</v>
      </c>
      <c r="H582" s="19" t="s">
        <v>55</v>
      </c>
      <c r="I582" s="19">
        <v>1</v>
      </c>
      <c r="J582" s="21">
        <v>4200</v>
      </c>
      <c r="K582" s="22">
        <v>0.03</v>
      </c>
      <c r="L582" s="21">
        <v>4074</v>
      </c>
    </row>
    <row r="583" spans="1:12">
      <c r="A583" s="19" t="s">
        <v>653</v>
      </c>
      <c r="B583" s="20">
        <v>46118</v>
      </c>
      <c r="C583" s="19" t="s">
        <v>47</v>
      </c>
      <c r="D583" s="19" t="s">
        <v>35</v>
      </c>
      <c r="E583" s="19" t="s">
        <v>22</v>
      </c>
      <c r="F583" s="19" t="s">
        <v>48</v>
      </c>
      <c r="G583" s="19" t="s">
        <v>96</v>
      </c>
      <c r="H583" s="19" t="s">
        <v>50</v>
      </c>
      <c r="I583" s="19">
        <v>1</v>
      </c>
      <c r="J583" s="21">
        <v>2425</v>
      </c>
      <c r="K583" s="22">
        <v>0.05</v>
      </c>
      <c r="L583" s="21">
        <v>2303.75</v>
      </c>
    </row>
    <row r="584" spans="1:12">
      <c r="A584" s="19" t="s">
        <v>654</v>
      </c>
      <c r="B584" s="20">
        <v>46185</v>
      </c>
      <c r="C584" s="19" t="s">
        <v>31</v>
      </c>
      <c r="D584" s="19" t="s">
        <v>21</v>
      </c>
      <c r="E584" s="19" t="s">
        <v>15</v>
      </c>
      <c r="F584" s="19" t="s">
        <v>48</v>
      </c>
      <c r="G584" s="19" t="s">
        <v>54</v>
      </c>
      <c r="H584" s="19" t="s">
        <v>79</v>
      </c>
      <c r="I584" s="19">
        <v>1</v>
      </c>
      <c r="J584" s="21">
        <v>1800</v>
      </c>
      <c r="K584" s="22">
        <v>0.08</v>
      </c>
      <c r="L584" s="21">
        <v>1656</v>
      </c>
    </row>
    <row r="585" spans="1:12">
      <c r="A585" s="19" t="s">
        <v>655</v>
      </c>
      <c r="B585" s="20">
        <v>46207</v>
      </c>
      <c r="C585" s="19" t="s">
        <v>47</v>
      </c>
      <c r="D585" s="19" t="s">
        <v>21</v>
      </c>
      <c r="E585" s="19" t="s">
        <v>22</v>
      </c>
      <c r="F585" s="19" t="s">
        <v>16</v>
      </c>
      <c r="G585" s="19" t="s">
        <v>69</v>
      </c>
      <c r="H585" s="19" t="s">
        <v>55</v>
      </c>
      <c r="I585" s="19">
        <v>1</v>
      </c>
      <c r="J585" s="21">
        <v>56.1</v>
      </c>
      <c r="K585" s="22">
        <v>0.2</v>
      </c>
      <c r="L585" s="21">
        <v>44.88</v>
      </c>
    </row>
    <row r="586" spans="1:12">
      <c r="A586" s="19" t="s">
        <v>656</v>
      </c>
      <c r="B586" s="20">
        <v>46367</v>
      </c>
      <c r="C586" s="19" t="s">
        <v>13</v>
      </c>
      <c r="D586" s="19" t="s">
        <v>14</v>
      </c>
      <c r="E586" s="19" t="s">
        <v>22</v>
      </c>
      <c r="F586" s="19" t="s">
        <v>27</v>
      </c>
      <c r="G586" s="19" t="s">
        <v>36</v>
      </c>
      <c r="H586" s="19" t="s">
        <v>29</v>
      </c>
      <c r="I586" s="19">
        <v>2</v>
      </c>
      <c r="J586" s="21">
        <v>795</v>
      </c>
      <c r="K586" s="22">
        <v>0.03</v>
      </c>
      <c r="L586" s="21">
        <v>1542.3</v>
      </c>
    </row>
    <row r="587" spans="1:12">
      <c r="A587" s="19" t="s">
        <v>657</v>
      </c>
      <c r="B587" s="20">
        <v>46331</v>
      </c>
      <c r="C587" s="19" t="s">
        <v>13</v>
      </c>
      <c r="D587" s="19" t="s">
        <v>14</v>
      </c>
      <c r="E587" s="19" t="s">
        <v>15</v>
      </c>
      <c r="F587" s="19" t="s">
        <v>23</v>
      </c>
      <c r="G587" s="19" t="s">
        <v>38</v>
      </c>
      <c r="H587" s="19" t="s">
        <v>43</v>
      </c>
      <c r="I587" s="19">
        <v>2</v>
      </c>
      <c r="J587" s="21">
        <v>339.2</v>
      </c>
      <c r="K587" s="22">
        <v>0.05</v>
      </c>
      <c r="L587" s="21">
        <v>644.4799999999999</v>
      </c>
    </row>
    <row r="588" spans="1:12">
      <c r="A588" s="19" t="s">
        <v>658</v>
      </c>
      <c r="B588" s="20">
        <v>46284</v>
      </c>
      <c r="C588" s="19" t="s">
        <v>20</v>
      </c>
      <c r="D588" s="19" t="s">
        <v>35</v>
      </c>
      <c r="E588" s="19" t="s">
        <v>22</v>
      </c>
      <c r="F588" s="19" t="s">
        <v>48</v>
      </c>
      <c r="G588" s="19" t="s">
        <v>71</v>
      </c>
      <c r="H588" s="19" t="s">
        <v>58</v>
      </c>
      <c r="I588" s="19">
        <v>1</v>
      </c>
      <c r="J588" s="21">
        <v>3392</v>
      </c>
      <c r="K588" s="22">
        <v>0.2</v>
      </c>
      <c r="L588" s="21">
        <v>2713.6000000000004</v>
      </c>
    </row>
    <row r="589" spans="1:12">
      <c r="A589" s="19" t="s">
        <v>659</v>
      </c>
      <c r="B589" s="20">
        <v>46189</v>
      </c>
      <c r="C589" s="19" t="s">
        <v>86</v>
      </c>
      <c r="D589" s="19" t="s">
        <v>21</v>
      </c>
      <c r="E589" s="19" t="s">
        <v>22</v>
      </c>
      <c r="F589" s="19" t="s">
        <v>73</v>
      </c>
      <c r="G589" s="19" t="s">
        <v>129</v>
      </c>
      <c r="H589" s="19" t="s">
        <v>102</v>
      </c>
      <c r="I589" s="19">
        <v>1</v>
      </c>
      <c r="J589" s="21">
        <v>36.4</v>
      </c>
      <c r="K589" s="22">
        <v>0.15</v>
      </c>
      <c r="L589" s="21">
        <v>30.939999999999998</v>
      </c>
    </row>
    <row r="590" spans="1:12">
      <c r="A590" s="19" t="s">
        <v>660</v>
      </c>
      <c r="B590" s="20">
        <v>46174</v>
      </c>
      <c r="C590" s="19" t="s">
        <v>86</v>
      </c>
      <c r="D590" s="19" t="s">
        <v>14</v>
      </c>
      <c r="E590" s="19" t="s">
        <v>22</v>
      </c>
      <c r="F590" s="19" t="s">
        <v>73</v>
      </c>
      <c r="G590" s="19" t="s">
        <v>127</v>
      </c>
      <c r="H590" s="19" t="s">
        <v>102</v>
      </c>
      <c r="I590" s="19">
        <v>4</v>
      </c>
      <c r="J590" s="21">
        <v>25</v>
      </c>
      <c r="K590" s="22">
        <v>0.08</v>
      </c>
      <c r="L590" s="21">
        <v>92</v>
      </c>
    </row>
    <row r="591" spans="1:12">
      <c r="A591" s="19" t="s">
        <v>661</v>
      </c>
      <c r="B591" s="20">
        <v>46336</v>
      </c>
      <c r="C591" s="19" t="s">
        <v>31</v>
      </c>
      <c r="D591" s="19" t="s">
        <v>35</v>
      </c>
      <c r="E591" s="19" t="s">
        <v>22</v>
      </c>
      <c r="F591" s="19" t="s">
        <v>23</v>
      </c>
      <c r="G591" s="19" t="s">
        <v>24</v>
      </c>
      <c r="H591" s="19" t="s">
        <v>79</v>
      </c>
      <c r="I591" s="19">
        <v>11</v>
      </c>
      <c r="J591" s="21">
        <v>90</v>
      </c>
      <c r="K591" s="22">
        <v>0.1</v>
      </c>
      <c r="L591" s="21">
        <v>891</v>
      </c>
    </row>
    <row r="592" spans="1:12">
      <c r="A592" s="19" t="s">
        <v>662</v>
      </c>
      <c r="B592" s="20">
        <v>46097</v>
      </c>
      <c r="C592" s="19" t="s">
        <v>47</v>
      </c>
      <c r="D592" s="19" t="s">
        <v>21</v>
      </c>
      <c r="E592" s="19" t="s">
        <v>15</v>
      </c>
      <c r="F592" s="19" t="s">
        <v>27</v>
      </c>
      <c r="G592" s="19" t="s">
        <v>155</v>
      </c>
      <c r="H592" s="19" t="s">
        <v>83</v>
      </c>
      <c r="I592" s="19">
        <v>1</v>
      </c>
      <c r="J592" s="21">
        <v>174.6</v>
      </c>
      <c r="K592" s="22">
        <v>0.05</v>
      </c>
      <c r="L592" s="21">
        <v>165.86999999999998</v>
      </c>
    </row>
    <row r="593" spans="1:12">
      <c r="A593" s="19" t="s">
        <v>663</v>
      </c>
      <c r="B593" s="20">
        <v>46191</v>
      </c>
      <c r="C593" s="19" t="s">
        <v>20</v>
      </c>
      <c r="D593" s="19" t="s">
        <v>21</v>
      </c>
      <c r="E593" s="19" t="s">
        <v>22</v>
      </c>
      <c r="F593" s="19" t="s">
        <v>16</v>
      </c>
      <c r="G593" s="19" t="s">
        <v>69</v>
      </c>
      <c r="H593" s="19" t="s">
        <v>63</v>
      </c>
      <c r="I593" s="19">
        <v>3</v>
      </c>
      <c r="J593" s="21">
        <v>55</v>
      </c>
      <c r="K593" s="22">
        <v>0</v>
      </c>
      <c r="L593" s="21">
        <v>165</v>
      </c>
    </row>
    <row r="594" spans="1:12">
      <c r="A594" s="19" t="s">
        <v>664</v>
      </c>
      <c r="B594" s="20">
        <v>46336</v>
      </c>
      <c r="C594" s="19" t="s">
        <v>20</v>
      </c>
      <c r="D594" s="19" t="s">
        <v>35</v>
      </c>
      <c r="E594" s="19" t="s">
        <v>15</v>
      </c>
      <c r="F594" s="19" t="s">
        <v>73</v>
      </c>
      <c r="G594" s="19" t="s">
        <v>81</v>
      </c>
      <c r="H594" s="19" t="s">
        <v>58</v>
      </c>
      <c r="I594" s="19">
        <v>5</v>
      </c>
      <c r="J594" s="21">
        <v>12</v>
      </c>
      <c r="K594" s="22">
        <v>0.1</v>
      </c>
      <c r="L594" s="21">
        <v>54</v>
      </c>
    </row>
    <row r="595" spans="1:12">
      <c r="A595" s="19" t="s">
        <v>665</v>
      </c>
      <c r="B595" s="20">
        <v>46194</v>
      </c>
      <c r="C595" s="19" t="s">
        <v>13</v>
      </c>
      <c r="D595" s="19" t="s">
        <v>14</v>
      </c>
      <c r="E595" s="19" t="s">
        <v>15</v>
      </c>
      <c r="F595" s="19" t="s">
        <v>27</v>
      </c>
      <c r="G595" s="19" t="s">
        <v>36</v>
      </c>
      <c r="H595" s="19" t="s">
        <v>18</v>
      </c>
      <c r="I595" s="19">
        <v>1</v>
      </c>
      <c r="J595" s="21">
        <v>712.5</v>
      </c>
      <c r="K595" s="22">
        <v>0.05</v>
      </c>
      <c r="L595" s="21">
        <v>676.875</v>
      </c>
    </row>
    <row r="596" spans="1:12">
      <c r="A596" s="19" t="s">
        <v>666</v>
      </c>
      <c r="B596" s="20">
        <v>46246</v>
      </c>
      <c r="C596" s="19" t="s">
        <v>20</v>
      </c>
      <c r="D596" s="19" t="s">
        <v>21</v>
      </c>
      <c r="E596" s="19" t="s">
        <v>22</v>
      </c>
      <c r="F596" s="19" t="s">
        <v>23</v>
      </c>
      <c r="G596" s="19" t="s">
        <v>24</v>
      </c>
      <c r="H596" s="19" t="s">
        <v>25</v>
      </c>
      <c r="I596" s="19">
        <v>2</v>
      </c>
      <c r="J596" s="21">
        <v>87.3</v>
      </c>
      <c r="K596" s="22">
        <v>0.1</v>
      </c>
      <c r="L596" s="21">
        <v>157.13999999999999</v>
      </c>
    </row>
    <row r="597" spans="1:12">
      <c r="A597" s="19" t="s">
        <v>667</v>
      </c>
      <c r="B597" s="20">
        <v>46332</v>
      </c>
      <c r="C597" s="19" t="s">
        <v>20</v>
      </c>
      <c r="D597" s="19" t="s">
        <v>14</v>
      </c>
      <c r="E597" s="19" t="s">
        <v>22</v>
      </c>
      <c r="F597" s="19" t="s">
        <v>23</v>
      </c>
      <c r="G597" s="19" t="s">
        <v>138</v>
      </c>
      <c r="H597" s="19" t="s">
        <v>58</v>
      </c>
      <c r="I597" s="19">
        <v>1</v>
      </c>
      <c r="J597" s="21">
        <v>60</v>
      </c>
      <c r="K597" s="22">
        <v>0.08</v>
      </c>
      <c r="L597" s="21">
        <v>55.2</v>
      </c>
    </row>
    <row r="598" spans="1:12">
      <c r="A598" s="19" t="s">
        <v>668</v>
      </c>
      <c r="B598" s="20">
        <v>46368</v>
      </c>
      <c r="C598" s="19" t="s">
        <v>31</v>
      </c>
      <c r="D598" s="19" t="s">
        <v>14</v>
      </c>
      <c r="E598" s="19" t="s">
        <v>22</v>
      </c>
      <c r="F598" s="19" t="s">
        <v>16</v>
      </c>
      <c r="G598" s="19" t="s">
        <v>112</v>
      </c>
      <c r="H598" s="19" t="s">
        <v>79</v>
      </c>
      <c r="I598" s="19">
        <v>4</v>
      </c>
      <c r="J598" s="21">
        <v>65</v>
      </c>
      <c r="K598" s="22">
        <v>0.1</v>
      </c>
      <c r="L598" s="21">
        <v>234</v>
      </c>
    </row>
    <row r="599" spans="1:12">
      <c r="A599" s="19" t="s">
        <v>669</v>
      </c>
      <c r="B599" s="20">
        <v>46231</v>
      </c>
      <c r="C599" s="19" t="s">
        <v>86</v>
      </c>
      <c r="D599" s="19" t="s">
        <v>41</v>
      </c>
      <c r="E599" s="19" t="s">
        <v>22</v>
      </c>
      <c r="F599" s="19" t="s">
        <v>16</v>
      </c>
      <c r="G599" s="19" t="s">
        <v>17</v>
      </c>
      <c r="H599" s="19" t="s">
        <v>93</v>
      </c>
      <c r="I599" s="19">
        <v>1</v>
      </c>
      <c r="J599" s="21">
        <v>15.3</v>
      </c>
      <c r="K599" s="22">
        <v>0.08</v>
      </c>
      <c r="L599" s="21">
        <v>14.076000000000001</v>
      </c>
    </row>
    <row r="600" spans="1:12">
      <c r="A600" s="19" t="s">
        <v>670</v>
      </c>
      <c r="B600" s="20">
        <v>46039</v>
      </c>
      <c r="C600" s="19" t="s">
        <v>86</v>
      </c>
      <c r="D600" s="19" t="s">
        <v>35</v>
      </c>
      <c r="E600" s="19" t="s">
        <v>22</v>
      </c>
      <c r="F600" s="19" t="s">
        <v>27</v>
      </c>
      <c r="G600" s="19" t="s">
        <v>36</v>
      </c>
      <c r="H600" s="19" t="s">
        <v>93</v>
      </c>
      <c r="I600" s="19">
        <v>4</v>
      </c>
      <c r="J600" s="21">
        <v>727.5</v>
      </c>
      <c r="K600" s="22">
        <v>0.08</v>
      </c>
      <c r="L600" s="21">
        <v>2677.2000000000003</v>
      </c>
    </row>
    <row r="601" spans="1:12">
      <c r="A601" s="19" t="s">
        <v>671</v>
      </c>
      <c r="B601" s="20">
        <v>46313</v>
      </c>
      <c r="C601" s="19" t="s">
        <v>20</v>
      </c>
      <c r="D601" s="19" t="s">
        <v>41</v>
      </c>
      <c r="E601" s="19" t="s">
        <v>22</v>
      </c>
      <c r="F601" s="19" t="s">
        <v>60</v>
      </c>
      <c r="G601" s="19" t="s">
        <v>91</v>
      </c>
      <c r="H601" s="19" t="s">
        <v>25</v>
      </c>
      <c r="I601" s="19">
        <v>1</v>
      </c>
      <c r="J601" s="21">
        <v>603.20000000000005</v>
      </c>
      <c r="K601" s="22">
        <v>0</v>
      </c>
      <c r="L601" s="21">
        <v>603.20000000000005</v>
      </c>
    </row>
    <row r="602" spans="1:12">
      <c r="A602" s="19" t="s">
        <v>672</v>
      </c>
      <c r="B602" s="20">
        <v>46372</v>
      </c>
      <c r="C602" s="19" t="s">
        <v>86</v>
      </c>
      <c r="D602" s="19" t="s">
        <v>35</v>
      </c>
      <c r="E602" s="19" t="s">
        <v>15</v>
      </c>
      <c r="F602" s="19" t="s">
        <v>60</v>
      </c>
      <c r="G602" s="19" t="s">
        <v>67</v>
      </c>
      <c r="H602" s="19" t="s">
        <v>93</v>
      </c>
      <c r="I602" s="19">
        <v>2</v>
      </c>
      <c r="J602" s="21">
        <v>1500</v>
      </c>
      <c r="K602" s="22">
        <v>0</v>
      </c>
      <c r="L602" s="21">
        <v>3000</v>
      </c>
    </row>
    <row r="603" spans="1:12">
      <c r="A603" s="19" t="s">
        <v>673</v>
      </c>
      <c r="B603" s="20">
        <v>46109</v>
      </c>
      <c r="C603" s="19" t="s">
        <v>13</v>
      </c>
      <c r="D603" s="19" t="s">
        <v>35</v>
      </c>
      <c r="E603" s="19" t="s">
        <v>15</v>
      </c>
      <c r="F603" s="19" t="s">
        <v>48</v>
      </c>
      <c r="G603" s="19" t="s">
        <v>71</v>
      </c>
      <c r="H603" s="19" t="s">
        <v>18</v>
      </c>
      <c r="I603" s="19">
        <v>1</v>
      </c>
      <c r="J603" s="21">
        <v>3328</v>
      </c>
      <c r="K603" s="22">
        <v>0.1</v>
      </c>
      <c r="L603" s="21">
        <v>2995.2000000000003</v>
      </c>
    </row>
    <row r="604" spans="1:12">
      <c r="A604" s="19" t="s">
        <v>674</v>
      </c>
      <c r="B604" s="20">
        <v>46038</v>
      </c>
      <c r="C604" s="19" t="s">
        <v>13</v>
      </c>
      <c r="D604" s="19" t="s">
        <v>14</v>
      </c>
      <c r="E604" s="19" t="s">
        <v>15</v>
      </c>
      <c r="F604" s="19" t="s">
        <v>23</v>
      </c>
      <c r="G604" s="19" t="s">
        <v>52</v>
      </c>
      <c r="H604" s="19" t="s">
        <v>18</v>
      </c>
      <c r="I604" s="19">
        <v>1</v>
      </c>
      <c r="J604" s="21">
        <v>477</v>
      </c>
      <c r="K604" s="22">
        <v>0</v>
      </c>
      <c r="L604" s="21">
        <v>477</v>
      </c>
    </row>
    <row r="605" spans="1:12">
      <c r="A605" s="19" t="s">
        <v>675</v>
      </c>
      <c r="B605" s="20">
        <v>46113</v>
      </c>
      <c r="C605" s="19" t="s">
        <v>13</v>
      </c>
      <c r="D605" s="19" t="s">
        <v>35</v>
      </c>
      <c r="E605" s="19" t="s">
        <v>22</v>
      </c>
      <c r="F605" s="19" t="s">
        <v>48</v>
      </c>
      <c r="G605" s="19" t="s">
        <v>96</v>
      </c>
      <c r="H605" s="19" t="s">
        <v>18</v>
      </c>
      <c r="I605" s="19">
        <v>1</v>
      </c>
      <c r="J605" s="21">
        <v>2500</v>
      </c>
      <c r="K605" s="22">
        <v>0</v>
      </c>
      <c r="L605" s="21">
        <v>2500</v>
      </c>
    </row>
    <row r="606" spans="1:12">
      <c r="A606" s="19" t="s">
        <v>676</v>
      </c>
      <c r="B606" s="20">
        <v>46335</v>
      </c>
      <c r="C606" s="19" t="s">
        <v>47</v>
      </c>
      <c r="D606" s="19" t="s">
        <v>14</v>
      </c>
      <c r="E606" s="19" t="s">
        <v>15</v>
      </c>
      <c r="F606" s="19" t="s">
        <v>60</v>
      </c>
      <c r="G606" s="19" t="s">
        <v>61</v>
      </c>
      <c r="H606" s="19" t="s">
        <v>50</v>
      </c>
      <c r="I606" s="19">
        <v>1</v>
      </c>
      <c r="J606" s="21">
        <v>824.5</v>
      </c>
      <c r="K606" s="22">
        <v>0.1</v>
      </c>
      <c r="L606" s="21">
        <v>742.05000000000007</v>
      </c>
    </row>
    <row r="607" spans="1:12">
      <c r="A607" s="19" t="s">
        <v>677</v>
      </c>
      <c r="B607" s="20">
        <v>46226</v>
      </c>
      <c r="C607" s="19" t="s">
        <v>31</v>
      </c>
      <c r="D607" s="19" t="s">
        <v>14</v>
      </c>
      <c r="E607" s="19" t="s">
        <v>22</v>
      </c>
      <c r="F607" s="19" t="s">
        <v>60</v>
      </c>
      <c r="G607" s="19" t="s">
        <v>91</v>
      </c>
      <c r="H607" s="19" t="s">
        <v>33</v>
      </c>
      <c r="I607" s="19">
        <v>4</v>
      </c>
      <c r="J607" s="21">
        <v>580</v>
      </c>
      <c r="K607" s="22">
        <v>0.1</v>
      </c>
      <c r="L607" s="21">
        <v>2088</v>
      </c>
    </row>
    <row r="608" spans="1:12">
      <c r="A608" s="19" t="s">
        <v>678</v>
      </c>
      <c r="B608" s="20">
        <v>46161</v>
      </c>
      <c r="C608" s="19" t="s">
        <v>31</v>
      </c>
      <c r="D608" s="19" t="s">
        <v>35</v>
      </c>
      <c r="E608" s="19" t="s">
        <v>15</v>
      </c>
      <c r="F608" s="19" t="s">
        <v>73</v>
      </c>
      <c r="G608" s="19" t="s">
        <v>145</v>
      </c>
      <c r="H608" s="19" t="s">
        <v>79</v>
      </c>
      <c r="I608" s="19">
        <v>4</v>
      </c>
      <c r="J608" s="21">
        <v>18.72</v>
      </c>
      <c r="K608" s="22">
        <v>0.03</v>
      </c>
      <c r="L608" s="21">
        <v>72.633599999999987</v>
      </c>
    </row>
    <row r="609" spans="1:12">
      <c r="A609" s="19" t="s">
        <v>679</v>
      </c>
      <c r="B609" s="20">
        <v>46306</v>
      </c>
      <c r="C609" s="19" t="s">
        <v>31</v>
      </c>
      <c r="D609" s="19" t="s">
        <v>14</v>
      </c>
      <c r="E609" s="19" t="s">
        <v>15</v>
      </c>
      <c r="F609" s="19" t="s">
        <v>23</v>
      </c>
      <c r="G609" s="19" t="s">
        <v>138</v>
      </c>
      <c r="H609" s="19" t="s">
        <v>33</v>
      </c>
      <c r="I609" s="19">
        <v>1</v>
      </c>
      <c r="J609" s="21">
        <v>57</v>
      </c>
      <c r="K609" s="22">
        <v>0.05</v>
      </c>
      <c r="L609" s="21">
        <v>54.15</v>
      </c>
    </row>
    <row r="610" spans="1:12">
      <c r="A610" s="19" t="s">
        <v>680</v>
      </c>
      <c r="B610" s="20">
        <v>46132</v>
      </c>
      <c r="C610" s="19" t="s">
        <v>13</v>
      </c>
      <c r="D610" s="19" t="s">
        <v>35</v>
      </c>
      <c r="E610" s="19" t="s">
        <v>22</v>
      </c>
      <c r="F610" s="19" t="s">
        <v>48</v>
      </c>
      <c r="G610" s="19" t="s">
        <v>49</v>
      </c>
      <c r="H610" s="19" t="s">
        <v>18</v>
      </c>
      <c r="I610" s="19">
        <v>4</v>
      </c>
      <c r="J610" s="21">
        <v>4200</v>
      </c>
      <c r="K610" s="22">
        <v>0.05</v>
      </c>
      <c r="L610" s="21">
        <v>15960</v>
      </c>
    </row>
    <row r="611" spans="1:12">
      <c r="A611" s="19" t="s">
        <v>681</v>
      </c>
      <c r="B611" s="20">
        <v>46352</v>
      </c>
      <c r="C611" s="19" t="s">
        <v>20</v>
      </c>
      <c r="D611" s="19" t="s">
        <v>35</v>
      </c>
      <c r="E611" s="19" t="s">
        <v>15</v>
      </c>
      <c r="F611" s="19" t="s">
        <v>27</v>
      </c>
      <c r="G611" s="19" t="s">
        <v>155</v>
      </c>
      <c r="H611" s="19" t="s">
        <v>58</v>
      </c>
      <c r="I611" s="19">
        <v>6</v>
      </c>
      <c r="J611" s="21">
        <v>174.6</v>
      </c>
      <c r="K611" s="22">
        <v>0.08</v>
      </c>
      <c r="L611" s="21">
        <v>963.79199999999992</v>
      </c>
    </row>
    <row r="612" spans="1:12">
      <c r="A612" s="19" t="s">
        <v>682</v>
      </c>
      <c r="B612" s="20">
        <v>46058</v>
      </c>
      <c r="C612" s="19" t="s">
        <v>86</v>
      </c>
      <c r="D612" s="19" t="s">
        <v>35</v>
      </c>
      <c r="E612" s="19" t="s">
        <v>22</v>
      </c>
      <c r="F612" s="19" t="s">
        <v>73</v>
      </c>
      <c r="G612" s="19" t="s">
        <v>81</v>
      </c>
      <c r="H612" s="19" t="s">
        <v>93</v>
      </c>
      <c r="I612" s="19">
        <v>6</v>
      </c>
      <c r="J612" s="21">
        <v>11.64</v>
      </c>
      <c r="K612" s="22">
        <v>0.03</v>
      </c>
      <c r="L612" s="21">
        <v>67.744799999999998</v>
      </c>
    </row>
    <row r="613" spans="1:12">
      <c r="A613" s="19" t="s">
        <v>683</v>
      </c>
      <c r="B613" s="20">
        <v>46247</v>
      </c>
      <c r="C613" s="19" t="s">
        <v>31</v>
      </c>
      <c r="D613" s="19" t="s">
        <v>41</v>
      </c>
      <c r="E613" s="19" t="s">
        <v>22</v>
      </c>
      <c r="F613" s="19" t="s">
        <v>16</v>
      </c>
      <c r="G613" s="19" t="s">
        <v>17</v>
      </c>
      <c r="H613" s="19" t="s">
        <v>33</v>
      </c>
      <c r="I613" s="19">
        <v>4</v>
      </c>
      <c r="J613" s="21">
        <v>15</v>
      </c>
      <c r="K613" s="22">
        <v>0.15</v>
      </c>
      <c r="L613" s="21">
        <v>51</v>
      </c>
    </row>
    <row r="614" spans="1:12">
      <c r="A614" s="19" t="s">
        <v>684</v>
      </c>
      <c r="B614" s="20">
        <v>46164</v>
      </c>
      <c r="C614" s="19" t="s">
        <v>20</v>
      </c>
      <c r="D614" s="19" t="s">
        <v>21</v>
      </c>
      <c r="E614" s="19" t="s">
        <v>22</v>
      </c>
      <c r="F614" s="19" t="s">
        <v>48</v>
      </c>
      <c r="G614" s="19" t="s">
        <v>49</v>
      </c>
      <c r="H614" s="19" t="s">
        <v>25</v>
      </c>
      <c r="I614" s="19">
        <v>1</v>
      </c>
      <c r="J614" s="21">
        <v>4074</v>
      </c>
      <c r="K614" s="22">
        <v>0.05</v>
      </c>
      <c r="L614" s="21">
        <v>3870.2999999999997</v>
      </c>
    </row>
    <row r="615" spans="1:12">
      <c r="A615" s="19" t="s">
        <v>685</v>
      </c>
      <c r="B615" s="20">
        <v>46239</v>
      </c>
      <c r="C615" s="19" t="s">
        <v>31</v>
      </c>
      <c r="D615" s="19" t="s">
        <v>35</v>
      </c>
      <c r="E615" s="19" t="s">
        <v>22</v>
      </c>
      <c r="F615" s="19" t="s">
        <v>60</v>
      </c>
      <c r="G615" s="19" t="s">
        <v>91</v>
      </c>
      <c r="H615" s="19" t="s">
        <v>79</v>
      </c>
      <c r="I615" s="19">
        <v>1</v>
      </c>
      <c r="J615" s="21">
        <v>580</v>
      </c>
      <c r="K615" s="22">
        <v>0.1</v>
      </c>
      <c r="L615" s="21">
        <v>522</v>
      </c>
    </row>
    <row r="616" spans="1:12">
      <c r="A616" s="19" t="s">
        <v>686</v>
      </c>
      <c r="B616" s="20">
        <v>46132</v>
      </c>
      <c r="C616" s="19" t="s">
        <v>31</v>
      </c>
      <c r="D616" s="19" t="s">
        <v>14</v>
      </c>
      <c r="E616" s="19" t="s">
        <v>22</v>
      </c>
      <c r="F616" s="19" t="s">
        <v>23</v>
      </c>
      <c r="G616" s="19" t="s">
        <v>24</v>
      </c>
      <c r="H616" s="19" t="s">
        <v>39</v>
      </c>
      <c r="I616" s="19">
        <v>2</v>
      </c>
      <c r="J616" s="21">
        <v>90</v>
      </c>
      <c r="K616" s="22">
        <v>0.05</v>
      </c>
      <c r="L616" s="21">
        <v>171</v>
      </c>
    </row>
    <row r="617" spans="1:12">
      <c r="A617" s="19" t="s">
        <v>687</v>
      </c>
      <c r="B617" s="20">
        <v>46123</v>
      </c>
      <c r="C617" s="19" t="s">
        <v>47</v>
      </c>
      <c r="D617" s="19" t="s">
        <v>21</v>
      </c>
      <c r="E617" s="19" t="s">
        <v>15</v>
      </c>
      <c r="F617" s="19" t="s">
        <v>73</v>
      </c>
      <c r="G617" s="19" t="s">
        <v>145</v>
      </c>
      <c r="H617" s="19" t="s">
        <v>83</v>
      </c>
      <c r="I617" s="19">
        <v>2</v>
      </c>
      <c r="J617" s="21">
        <v>17.46</v>
      </c>
      <c r="K617" s="22">
        <v>0.03</v>
      </c>
      <c r="L617" s="21">
        <v>33.872399999999999</v>
      </c>
    </row>
    <row r="618" spans="1:12">
      <c r="A618" s="19" t="s">
        <v>688</v>
      </c>
      <c r="B618" s="20">
        <v>46175</v>
      </c>
      <c r="C618" s="19" t="s">
        <v>31</v>
      </c>
      <c r="D618" s="19" t="s">
        <v>21</v>
      </c>
      <c r="E618" s="19" t="s">
        <v>22</v>
      </c>
      <c r="F618" s="19" t="s">
        <v>48</v>
      </c>
      <c r="G618" s="19" t="s">
        <v>96</v>
      </c>
      <c r="H618" s="19" t="s">
        <v>33</v>
      </c>
      <c r="I618" s="19">
        <v>1</v>
      </c>
      <c r="J618" s="21">
        <v>2650</v>
      </c>
      <c r="K618" s="22">
        <v>0.05</v>
      </c>
      <c r="L618" s="21">
        <v>2517.5</v>
      </c>
    </row>
    <row r="619" spans="1:12">
      <c r="A619" s="19" t="s">
        <v>689</v>
      </c>
      <c r="B619" s="20">
        <v>46207</v>
      </c>
      <c r="C619" s="19" t="s">
        <v>20</v>
      </c>
      <c r="D619" s="19" t="s">
        <v>21</v>
      </c>
      <c r="E619" s="19" t="s">
        <v>22</v>
      </c>
      <c r="F619" s="19" t="s">
        <v>60</v>
      </c>
      <c r="G619" s="19" t="s">
        <v>76</v>
      </c>
      <c r="H619" s="19" t="s">
        <v>25</v>
      </c>
      <c r="I619" s="19">
        <v>2</v>
      </c>
      <c r="J619" s="21">
        <v>742</v>
      </c>
      <c r="K619" s="22">
        <v>0</v>
      </c>
      <c r="L619" s="21">
        <v>1484</v>
      </c>
    </row>
    <row r="620" spans="1:12">
      <c r="A620" s="19" t="s">
        <v>690</v>
      </c>
      <c r="B620" s="20">
        <v>46189</v>
      </c>
      <c r="C620" s="19" t="s">
        <v>20</v>
      </c>
      <c r="D620" s="19" t="s">
        <v>14</v>
      </c>
      <c r="E620" s="19" t="s">
        <v>22</v>
      </c>
      <c r="F620" s="19" t="s">
        <v>23</v>
      </c>
      <c r="G620" s="19" t="s">
        <v>138</v>
      </c>
      <c r="H620" s="19" t="s">
        <v>25</v>
      </c>
      <c r="I620" s="19">
        <v>1</v>
      </c>
      <c r="J620" s="21">
        <v>61.2</v>
      </c>
      <c r="K620" s="22">
        <v>0.1</v>
      </c>
      <c r="L620" s="21">
        <v>55.080000000000005</v>
      </c>
    </row>
    <row r="621" spans="1:12">
      <c r="A621" s="19" t="s">
        <v>691</v>
      </c>
      <c r="B621" s="20">
        <v>46338</v>
      </c>
      <c r="C621" s="19" t="s">
        <v>47</v>
      </c>
      <c r="D621" s="19" t="s">
        <v>21</v>
      </c>
      <c r="E621" s="19" t="s">
        <v>22</v>
      </c>
      <c r="F621" s="19" t="s">
        <v>23</v>
      </c>
      <c r="G621" s="19" t="s">
        <v>24</v>
      </c>
      <c r="H621" s="19" t="s">
        <v>83</v>
      </c>
      <c r="I621" s="19">
        <v>2</v>
      </c>
      <c r="J621" s="21">
        <v>87.3</v>
      </c>
      <c r="K621" s="22">
        <v>0.2</v>
      </c>
      <c r="L621" s="21">
        <v>139.68</v>
      </c>
    </row>
    <row r="622" spans="1:12">
      <c r="A622" s="19" t="s">
        <v>692</v>
      </c>
      <c r="B622" s="20">
        <v>46164</v>
      </c>
      <c r="C622" s="19" t="s">
        <v>86</v>
      </c>
      <c r="D622" s="19" t="s">
        <v>14</v>
      </c>
      <c r="E622" s="19" t="s">
        <v>15</v>
      </c>
      <c r="F622" s="19" t="s">
        <v>16</v>
      </c>
      <c r="G622" s="19" t="s">
        <v>17</v>
      </c>
      <c r="H622" s="19" t="s">
        <v>93</v>
      </c>
      <c r="I622" s="19">
        <v>5</v>
      </c>
      <c r="J622" s="21">
        <v>14.55</v>
      </c>
      <c r="K622" s="22">
        <v>0</v>
      </c>
      <c r="L622" s="21">
        <v>72.75</v>
      </c>
    </row>
    <row r="623" spans="1:12">
      <c r="A623" s="19" t="s">
        <v>693</v>
      </c>
      <c r="B623" s="20">
        <v>46033</v>
      </c>
      <c r="C623" s="19" t="s">
        <v>31</v>
      </c>
      <c r="D623" s="19" t="s">
        <v>35</v>
      </c>
      <c r="E623" s="19" t="s">
        <v>22</v>
      </c>
      <c r="F623" s="19" t="s">
        <v>60</v>
      </c>
      <c r="G623" s="19" t="s">
        <v>76</v>
      </c>
      <c r="H623" s="19" t="s">
        <v>79</v>
      </c>
      <c r="I623" s="19">
        <v>1</v>
      </c>
      <c r="J623" s="21">
        <v>700</v>
      </c>
      <c r="K623" s="22">
        <v>0.08</v>
      </c>
      <c r="L623" s="21">
        <v>644</v>
      </c>
    </row>
    <row r="624" spans="1:12">
      <c r="A624" s="19" t="s">
        <v>694</v>
      </c>
      <c r="B624" s="20">
        <v>46369</v>
      </c>
      <c r="C624" s="19" t="s">
        <v>20</v>
      </c>
      <c r="D624" s="19" t="s">
        <v>14</v>
      </c>
      <c r="E624" s="19" t="s">
        <v>15</v>
      </c>
      <c r="F624" s="19" t="s">
        <v>60</v>
      </c>
      <c r="G624" s="19" t="s">
        <v>61</v>
      </c>
      <c r="H624" s="19" t="s">
        <v>58</v>
      </c>
      <c r="I624" s="19">
        <v>1</v>
      </c>
      <c r="J624" s="21">
        <v>867</v>
      </c>
      <c r="K624" s="22">
        <v>0.15</v>
      </c>
      <c r="L624" s="21">
        <v>736.94999999999993</v>
      </c>
    </row>
    <row r="625" spans="1:12">
      <c r="A625" s="19" t="s">
        <v>695</v>
      </c>
      <c r="B625" s="20">
        <v>46162</v>
      </c>
      <c r="C625" s="19" t="s">
        <v>86</v>
      </c>
      <c r="D625" s="19" t="s">
        <v>41</v>
      </c>
      <c r="E625" s="19" t="s">
        <v>15</v>
      </c>
      <c r="F625" s="19" t="s">
        <v>23</v>
      </c>
      <c r="G625" s="19" t="s">
        <v>52</v>
      </c>
      <c r="H625" s="19" t="s">
        <v>87</v>
      </c>
      <c r="I625" s="19">
        <v>2</v>
      </c>
      <c r="J625" s="21">
        <v>450</v>
      </c>
      <c r="K625" s="22">
        <v>0</v>
      </c>
      <c r="L625" s="21">
        <v>900</v>
      </c>
    </row>
    <row r="626" spans="1:12">
      <c r="A626" s="19" t="s">
        <v>696</v>
      </c>
      <c r="B626" s="20">
        <v>46181</v>
      </c>
      <c r="C626" s="19" t="s">
        <v>13</v>
      </c>
      <c r="D626" s="19" t="s">
        <v>41</v>
      </c>
      <c r="E626" s="19" t="s">
        <v>22</v>
      </c>
      <c r="F626" s="19" t="s">
        <v>23</v>
      </c>
      <c r="G626" s="19" t="s">
        <v>138</v>
      </c>
      <c r="H626" s="19" t="s">
        <v>29</v>
      </c>
      <c r="I626" s="19">
        <v>1</v>
      </c>
      <c r="J626" s="21">
        <v>60</v>
      </c>
      <c r="K626" s="22">
        <v>0.15</v>
      </c>
      <c r="L626" s="21">
        <v>51</v>
      </c>
    </row>
    <row r="627" spans="1:12">
      <c r="A627" s="19" t="s">
        <v>697</v>
      </c>
      <c r="B627" s="20">
        <v>46185</v>
      </c>
      <c r="C627" s="19" t="s">
        <v>47</v>
      </c>
      <c r="D627" s="19" t="s">
        <v>35</v>
      </c>
      <c r="E627" s="19" t="s">
        <v>15</v>
      </c>
      <c r="F627" s="19" t="s">
        <v>73</v>
      </c>
      <c r="G627" s="19" t="s">
        <v>145</v>
      </c>
      <c r="H627" s="19" t="s">
        <v>55</v>
      </c>
      <c r="I627" s="19">
        <v>4</v>
      </c>
      <c r="J627" s="21">
        <v>18.36</v>
      </c>
      <c r="K627" s="22">
        <v>0.08</v>
      </c>
      <c r="L627" s="21">
        <v>67.564800000000005</v>
      </c>
    </row>
    <row r="628" spans="1:12">
      <c r="A628" s="19" t="s">
        <v>698</v>
      </c>
      <c r="B628" s="20">
        <v>46225</v>
      </c>
      <c r="C628" s="19" t="s">
        <v>13</v>
      </c>
      <c r="D628" s="19" t="s">
        <v>14</v>
      </c>
      <c r="E628" s="19" t="s">
        <v>15</v>
      </c>
      <c r="F628" s="19" t="s">
        <v>23</v>
      </c>
      <c r="G628" s="19" t="s">
        <v>38</v>
      </c>
      <c r="H628" s="19" t="s">
        <v>43</v>
      </c>
      <c r="I628" s="19">
        <v>1</v>
      </c>
      <c r="J628" s="21">
        <v>339.2</v>
      </c>
      <c r="K628" s="22">
        <v>0.15</v>
      </c>
      <c r="L628" s="21">
        <v>288.32</v>
      </c>
    </row>
    <row r="629" spans="1:12">
      <c r="A629" s="19" t="s">
        <v>699</v>
      </c>
      <c r="B629" s="20">
        <v>46365</v>
      </c>
      <c r="C629" s="19" t="s">
        <v>47</v>
      </c>
      <c r="D629" s="19" t="s">
        <v>21</v>
      </c>
      <c r="E629" s="19" t="s">
        <v>22</v>
      </c>
      <c r="F629" s="19" t="s">
        <v>73</v>
      </c>
      <c r="G629" s="19" t="s">
        <v>145</v>
      </c>
      <c r="H629" s="19" t="s">
        <v>50</v>
      </c>
      <c r="I629" s="19">
        <v>3</v>
      </c>
      <c r="J629" s="21">
        <v>17.100000000000001</v>
      </c>
      <c r="K629" s="22">
        <v>0.08</v>
      </c>
      <c r="L629" s="21">
        <v>47.196000000000005</v>
      </c>
    </row>
    <row r="630" spans="1:12">
      <c r="A630" s="19" t="s">
        <v>700</v>
      </c>
      <c r="B630" s="20">
        <v>46136</v>
      </c>
      <c r="C630" s="19" t="s">
        <v>13</v>
      </c>
      <c r="D630" s="19" t="s">
        <v>14</v>
      </c>
      <c r="E630" s="19" t="s">
        <v>22</v>
      </c>
      <c r="F630" s="19" t="s">
        <v>48</v>
      </c>
      <c r="G630" s="19" t="s">
        <v>71</v>
      </c>
      <c r="H630" s="19" t="s">
        <v>29</v>
      </c>
      <c r="I630" s="19">
        <v>2</v>
      </c>
      <c r="J630" s="21">
        <v>3200</v>
      </c>
      <c r="K630" s="22">
        <v>0.03</v>
      </c>
      <c r="L630" s="21">
        <v>6208</v>
      </c>
    </row>
    <row r="631" spans="1:12">
      <c r="A631" s="19" t="s">
        <v>701</v>
      </c>
      <c r="B631" s="20">
        <v>46274</v>
      </c>
      <c r="C631" s="19" t="s">
        <v>13</v>
      </c>
      <c r="D631" s="19" t="s">
        <v>14</v>
      </c>
      <c r="E631" s="19" t="s">
        <v>15</v>
      </c>
      <c r="F631" s="19" t="s">
        <v>16</v>
      </c>
      <c r="G631" s="19" t="s">
        <v>42</v>
      </c>
      <c r="H631" s="19" t="s">
        <v>29</v>
      </c>
      <c r="I631" s="19">
        <v>5</v>
      </c>
      <c r="J631" s="21">
        <v>45</v>
      </c>
      <c r="K631" s="22">
        <v>0.03</v>
      </c>
      <c r="L631" s="21">
        <v>218.25</v>
      </c>
    </row>
    <row r="632" spans="1:12">
      <c r="A632" s="19" t="s">
        <v>702</v>
      </c>
      <c r="B632" s="20">
        <v>46248</v>
      </c>
      <c r="C632" s="19" t="s">
        <v>20</v>
      </c>
      <c r="D632" s="19" t="s">
        <v>41</v>
      </c>
      <c r="E632" s="19" t="s">
        <v>15</v>
      </c>
      <c r="F632" s="19" t="s">
        <v>16</v>
      </c>
      <c r="G632" s="19" t="s">
        <v>42</v>
      </c>
      <c r="H632" s="19" t="s">
        <v>58</v>
      </c>
      <c r="I632" s="19">
        <v>4</v>
      </c>
      <c r="J632" s="21">
        <v>45</v>
      </c>
      <c r="K632" s="22">
        <v>0.05</v>
      </c>
      <c r="L632" s="21">
        <v>171</v>
      </c>
    </row>
    <row r="633" spans="1:12">
      <c r="A633" s="19" t="s">
        <v>703</v>
      </c>
      <c r="B633" s="20">
        <v>46109</v>
      </c>
      <c r="C633" s="19" t="s">
        <v>31</v>
      </c>
      <c r="D633" s="19" t="s">
        <v>35</v>
      </c>
      <c r="E633" s="19" t="s">
        <v>22</v>
      </c>
      <c r="F633" s="19" t="s">
        <v>16</v>
      </c>
      <c r="G633" s="19" t="s">
        <v>42</v>
      </c>
      <c r="H633" s="19" t="s">
        <v>33</v>
      </c>
      <c r="I633" s="19">
        <v>8</v>
      </c>
      <c r="J633" s="21">
        <v>45.9</v>
      </c>
      <c r="K633" s="22">
        <v>0.15</v>
      </c>
      <c r="L633" s="21">
        <v>312.12</v>
      </c>
    </row>
    <row r="634" spans="1:12">
      <c r="A634" s="19" t="s">
        <v>704</v>
      </c>
      <c r="B634" s="20">
        <v>46348</v>
      </c>
      <c r="C634" s="19" t="s">
        <v>13</v>
      </c>
      <c r="D634" s="19" t="s">
        <v>14</v>
      </c>
      <c r="E634" s="19" t="s">
        <v>22</v>
      </c>
      <c r="F634" s="19" t="s">
        <v>23</v>
      </c>
      <c r="G634" s="19" t="s">
        <v>38</v>
      </c>
      <c r="H634" s="19" t="s">
        <v>18</v>
      </c>
      <c r="I634" s="19">
        <v>1</v>
      </c>
      <c r="J634" s="21">
        <v>320</v>
      </c>
      <c r="K634" s="22">
        <v>0.1</v>
      </c>
      <c r="L634" s="21">
        <v>288</v>
      </c>
    </row>
    <row r="635" spans="1:12">
      <c r="A635" s="19" t="s">
        <v>705</v>
      </c>
      <c r="B635" s="20">
        <v>46230</v>
      </c>
      <c r="C635" s="19" t="s">
        <v>20</v>
      </c>
      <c r="D635" s="19" t="s">
        <v>35</v>
      </c>
      <c r="E635" s="19" t="s">
        <v>22</v>
      </c>
      <c r="F635" s="19" t="s">
        <v>60</v>
      </c>
      <c r="G635" s="19" t="s">
        <v>91</v>
      </c>
      <c r="H635" s="19" t="s">
        <v>63</v>
      </c>
      <c r="I635" s="19">
        <v>2</v>
      </c>
      <c r="J635" s="21">
        <v>580</v>
      </c>
      <c r="K635" s="22">
        <v>0.1</v>
      </c>
      <c r="L635" s="21">
        <v>1044</v>
      </c>
    </row>
    <row r="636" spans="1:12">
      <c r="A636" s="19" t="s">
        <v>706</v>
      </c>
      <c r="B636" s="20">
        <v>46161</v>
      </c>
      <c r="C636" s="19" t="s">
        <v>13</v>
      </c>
      <c r="D636" s="19" t="s">
        <v>41</v>
      </c>
      <c r="E636" s="19" t="s">
        <v>22</v>
      </c>
      <c r="F636" s="19" t="s">
        <v>27</v>
      </c>
      <c r="G636" s="19" t="s">
        <v>36</v>
      </c>
      <c r="H636" s="19" t="s">
        <v>29</v>
      </c>
      <c r="I636" s="19">
        <v>1</v>
      </c>
      <c r="J636" s="21">
        <v>750</v>
      </c>
      <c r="K636" s="22">
        <v>0.03</v>
      </c>
      <c r="L636" s="21">
        <v>727.5</v>
      </c>
    </row>
    <row r="637" spans="1:12">
      <c r="A637" s="19" t="s">
        <v>707</v>
      </c>
      <c r="B637" s="20">
        <v>46182</v>
      </c>
      <c r="C637" s="19" t="s">
        <v>47</v>
      </c>
      <c r="D637" s="19" t="s">
        <v>14</v>
      </c>
      <c r="E637" s="19" t="s">
        <v>22</v>
      </c>
      <c r="F637" s="19" t="s">
        <v>23</v>
      </c>
      <c r="G637" s="19" t="s">
        <v>52</v>
      </c>
      <c r="H637" s="19" t="s">
        <v>50</v>
      </c>
      <c r="I637" s="19">
        <v>3</v>
      </c>
      <c r="J637" s="21">
        <v>459</v>
      </c>
      <c r="K637" s="22">
        <v>0.08</v>
      </c>
      <c r="L637" s="21">
        <v>1266.8400000000001</v>
      </c>
    </row>
    <row r="638" spans="1:12">
      <c r="A638" s="19" t="s">
        <v>708</v>
      </c>
      <c r="B638" s="20">
        <v>46385</v>
      </c>
      <c r="C638" s="19" t="s">
        <v>47</v>
      </c>
      <c r="D638" s="19" t="s">
        <v>14</v>
      </c>
      <c r="E638" s="19" t="s">
        <v>22</v>
      </c>
      <c r="F638" s="19" t="s">
        <v>48</v>
      </c>
      <c r="G638" s="19" t="s">
        <v>54</v>
      </c>
      <c r="H638" s="19" t="s">
        <v>50</v>
      </c>
      <c r="I638" s="19">
        <v>1</v>
      </c>
      <c r="J638" s="21">
        <v>1710</v>
      </c>
      <c r="K638" s="22">
        <v>0.2</v>
      </c>
      <c r="L638" s="21">
        <v>1368</v>
      </c>
    </row>
    <row r="639" spans="1:12">
      <c r="A639" s="19" t="s">
        <v>709</v>
      </c>
      <c r="B639" s="20">
        <v>46348</v>
      </c>
      <c r="C639" s="19" t="s">
        <v>47</v>
      </c>
      <c r="D639" s="19" t="s">
        <v>14</v>
      </c>
      <c r="E639" s="19" t="s">
        <v>22</v>
      </c>
      <c r="F639" s="19" t="s">
        <v>23</v>
      </c>
      <c r="G639" s="19" t="s">
        <v>138</v>
      </c>
      <c r="H639" s="19" t="s">
        <v>83</v>
      </c>
      <c r="I639" s="19">
        <v>2</v>
      </c>
      <c r="J639" s="21">
        <v>62.4</v>
      </c>
      <c r="K639" s="22">
        <v>0.2</v>
      </c>
      <c r="L639" s="21">
        <v>99.84</v>
      </c>
    </row>
    <row r="640" spans="1:12">
      <c r="A640" s="19" t="s">
        <v>710</v>
      </c>
      <c r="B640" s="20">
        <v>46348</v>
      </c>
      <c r="C640" s="19" t="s">
        <v>31</v>
      </c>
      <c r="D640" s="19" t="s">
        <v>41</v>
      </c>
      <c r="E640" s="19" t="s">
        <v>22</v>
      </c>
      <c r="F640" s="19" t="s">
        <v>48</v>
      </c>
      <c r="G640" s="19" t="s">
        <v>49</v>
      </c>
      <c r="H640" s="19" t="s">
        <v>79</v>
      </c>
      <c r="I640" s="19">
        <v>1</v>
      </c>
      <c r="J640" s="21">
        <v>4200</v>
      </c>
      <c r="K640" s="22">
        <v>0.2</v>
      </c>
      <c r="L640" s="21">
        <v>3360</v>
      </c>
    </row>
    <row r="641" spans="1:12">
      <c r="A641" s="19" t="s">
        <v>711</v>
      </c>
      <c r="B641" s="20">
        <v>46140</v>
      </c>
      <c r="C641" s="19" t="s">
        <v>47</v>
      </c>
      <c r="D641" s="19" t="s">
        <v>41</v>
      </c>
      <c r="E641" s="19" t="s">
        <v>22</v>
      </c>
      <c r="F641" s="19" t="s">
        <v>73</v>
      </c>
      <c r="G641" s="19" t="s">
        <v>145</v>
      </c>
      <c r="H641" s="19" t="s">
        <v>83</v>
      </c>
      <c r="I641" s="19">
        <v>2</v>
      </c>
      <c r="J641" s="21">
        <v>17.100000000000001</v>
      </c>
      <c r="K641" s="22">
        <v>0</v>
      </c>
      <c r="L641" s="21">
        <v>34.200000000000003</v>
      </c>
    </row>
    <row r="642" spans="1:12">
      <c r="A642" s="19" t="s">
        <v>712</v>
      </c>
      <c r="B642" s="20">
        <v>46187</v>
      </c>
      <c r="C642" s="19" t="s">
        <v>47</v>
      </c>
      <c r="D642" s="19" t="s">
        <v>14</v>
      </c>
      <c r="E642" s="19" t="s">
        <v>22</v>
      </c>
      <c r="F642" s="19" t="s">
        <v>27</v>
      </c>
      <c r="G642" s="19" t="s">
        <v>32</v>
      </c>
      <c r="H642" s="19" t="s">
        <v>83</v>
      </c>
      <c r="I642" s="19">
        <v>4</v>
      </c>
      <c r="J642" s="21">
        <v>280</v>
      </c>
      <c r="K642" s="22">
        <v>0.08</v>
      </c>
      <c r="L642" s="21">
        <v>1030.4000000000001</v>
      </c>
    </row>
    <row r="643" spans="1:12">
      <c r="A643" s="19" t="s">
        <v>713</v>
      </c>
      <c r="B643" s="20">
        <v>46197</v>
      </c>
      <c r="C643" s="19" t="s">
        <v>47</v>
      </c>
      <c r="D643" s="19" t="s">
        <v>35</v>
      </c>
      <c r="E643" s="19" t="s">
        <v>22</v>
      </c>
      <c r="F643" s="19" t="s">
        <v>16</v>
      </c>
      <c r="G643" s="19" t="s">
        <v>42</v>
      </c>
      <c r="H643" s="19" t="s">
        <v>50</v>
      </c>
      <c r="I643" s="19">
        <v>8</v>
      </c>
      <c r="J643" s="21">
        <v>45</v>
      </c>
      <c r="K643" s="22">
        <v>0.15</v>
      </c>
      <c r="L643" s="21">
        <v>306</v>
      </c>
    </row>
    <row r="644" spans="1:12">
      <c r="A644" s="19" t="s">
        <v>714</v>
      </c>
      <c r="B644" s="20">
        <v>46029</v>
      </c>
      <c r="C644" s="19" t="s">
        <v>13</v>
      </c>
      <c r="D644" s="19" t="s">
        <v>14</v>
      </c>
      <c r="E644" s="19" t="s">
        <v>15</v>
      </c>
      <c r="F644" s="19" t="s">
        <v>16</v>
      </c>
      <c r="G644" s="19" t="s">
        <v>65</v>
      </c>
      <c r="H644" s="19" t="s">
        <v>29</v>
      </c>
      <c r="I644" s="19">
        <v>5</v>
      </c>
      <c r="J644" s="21">
        <v>80</v>
      </c>
      <c r="K644" s="22">
        <v>0.08</v>
      </c>
      <c r="L644" s="21">
        <v>368</v>
      </c>
    </row>
    <row r="645" spans="1:12">
      <c r="A645" s="19" t="s">
        <v>715</v>
      </c>
      <c r="B645" s="20">
        <v>46201</v>
      </c>
      <c r="C645" s="19" t="s">
        <v>13</v>
      </c>
      <c r="D645" s="19" t="s">
        <v>14</v>
      </c>
      <c r="E645" s="19" t="s">
        <v>22</v>
      </c>
      <c r="F645" s="19" t="s">
        <v>73</v>
      </c>
      <c r="G645" s="19" t="s">
        <v>129</v>
      </c>
      <c r="H645" s="19" t="s">
        <v>29</v>
      </c>
      <c r="I645" s="19">
        <v>1</v>
      </c>
      <c r="J645" s="21">
        <v>35</v>
      </c>
      <c r="K645" s="22">
        <v>0.08</v>
      </c>
      <c r="L645" s="21">
        <v>32.200000000000003</v>
      </c>
    </row>
    <row r="646" spans="1:12">
      <c r="A646" s="19" t="s">
        <v>716</v>
      </c>
      <c r="B646" s="20">
        <v>46353</v>
      </c>
      <c r="C646" s="19" t="s">
        <v>47</v>
      </c>
      <c r="D646" s="19" t="s">
        <v>14</v>
      </c>
      <c r="E646" s="19" t="s">
        <v>22</v>
      </c>
      <c r="F646" s="19" t="s">
        <v>27</v>
      </c>
      <c r="G646" s="19" t="s">
        <v>36</v>
      </c>
      <c r="H646" s="19" t="s">
        <v>55</v>
      </c>
      <c r="I646" s="19">
        <v>7</v>
      </c>
      <c r="J646" s="21">
        <v>727.5</v>
      </c>
      <c r="K646" s="22">
        <v>0.05</v>
      </c>
      <c r="L646" s="21">
        <v>4837.875</v>
      </c>
    </row>
    <row r="647" spans="1:12">
      <c r="A647" s="19" t="s">
        <v>717</v>
      </c>
      <c r="B647" s="20">
        <v>46328</v>
      </c>
      <c r="C647" s="19" t="s">
        <v>86</v>
      </c>
      <c r="D647" s="19" t="s">
        <v>21</v>
      </c>
      <c r="E647" s="19" t="s">
        <v>15</v>
      </c>
      <c r="F647" s="19" t="s">
        <v>16</v>
      </c>
      <c r="G647" s="19" t="s">
        <v>57</v>
      </c>
      <c r="H647" s="19" t="s">
        <v>87</v>
      </c>
      <c r="I647" s="19">
        <v>7</v>
      </c>
      <c r="J647" s="21">
        <v>38</v>
      </c>
      <c r="K647" s="22">
        <v>0.03</v>
      </c>
      <c r="L647" s="21">
        <v>258.02</v>
      </c>
    </row>
    <row r="648" spans="1:12">
      <c r="A648" s="19" t="s">
        <v>718</v>
      </c>
      <c r="B648" s="20">
        <v>46228</v>
      </c>
      <c r="C648" s="19" t="s">
        <v>47</v>
      </c>
      <c r="D648" s="19" t="s">
        <v>21</v>
      </c>
      <c r="E648" s="19" t="s">
        <v>22</v>
      </c>
      <c r="F648" s="19" t="s">
        <v>16</v>
      </c>
      <c r="G648" s="19" t="s">
        <v>17</v>
      </c>
      <c r="H648" s="19" t="s">
        <v>83</v>
      </c>
      <c r="I648" s="19">
        <v>1</v>
      </c>
      <c r="J648" s="21">
        <v>15</v>
      </c>
      <c r="K648" s="22">
        <v>0.15</v>
      </c>
      <c r="L648" s="21">
        <v>12.75</v>
      </c>
    </row>
    <row r="649" spans="1:12">
      <c r="A649" s="19" t="s">
        <v>719</v>
      </c>
      <c r="B649" s="20">
        <v>46128</v>
      </c>
      <c r="C649" s="19" t="s">
        <v>86</v>
      </c>
      <c r="D649" s="19" t="s">
        <v>21</v>
      </c>
      <c r="E649" s="19" t="s">
        <v>15</v>
      </c>
      <c r="F649" s="19" t="s">
        <v>16</v>
      </c>
      <c r="G649" s="19" t="s">
        <v>57</v>
      </c>
      <c r="H649" s="19" t="s">
        <v>93</v>
      </c>
      <c r="I649" s="19">
        <v>2</v>
      </c>
      <c r="J649" s="21">
        <v>38</v>
      </c>
      <c r="K649" s="22">
        <v>0.03</v>
      </c>
      <c r="L649" s="21">
        <v>73.72</v>
      </c>
    </row>
    <row r="650" spans="1:12">
      <c r="A650" s="19" t="s">
        <v>720</v>
      </c>
      <c r="B650" s="20">
        <v>46031</v>
      </c>
      <c r="C650" s="19" t="s">
        <v>31</v>
      </c>
      <c r="D650" s="19" t="s">
        <v>21</v>
      </c>
      <c r="E650" s="19" t="s">
        <v>15</v>
      </c>
      <c r="F650" s="19" t="s">
        <v>60</v>
      </c>
      <c r="G650" s="19" t="s">
        <v>76</v>
      </c>
      <c r="H650" s="19" t="s">
        <v>33</v>
      </c>
      <c r="I650" s="19">
        <v>1</v>
      </c>
      <c r="J650" s="21">
        <v>679</v>
      </c>
      <c r="K650" s="22">
        <v>0</v>
      </c>
      <c r="L650" s="21">
        <v>679</v>
      </c>
    </row>
    <row r="651" spans="1:12">
      <c r="A651" s="19" t="s">
        <v>721</v>
      </c>
      <c r="B651" s="20">
        <v>46369</v>
      </c>
      <c r="C651" s="19" t="s">
        <v>13</v>
      </c>
      <c r="D651" s="19" t="s">
        <v>35</v>
      </c>
      <c r="E651" s="19" t="s">
        <v>22</v>
      </c>
      <c r="F651" s="19" t="s">
        <v>23</v>
      </c>
      <c r="G651" s="19" t="s">
        <v>138</v>
      </c>
      <c r="H651" s="19" t="s">
        <v>29</v>
      </c>
      <c r="I651" s="19">
        <v>3</v>
      </c>
      <c r="J651" s="21">
        <v>58.2</v>
      </c>
      <c r="K651" s="22">
        <v>0</v>
      </c>
      <c r="L651" s="21">
        <v>174.60000000000002</v>
      </c>
    </row>
    <row r="652" spans="1:12">
      <c r="A652" s="19" t="s">
        <v>722</v>
      </c>
      <c r="B652" s="20">
        <v>46372</v>
      </c>
      <c r="C652" s="19" t="s">
        <v>47</v>
      </c>
      <c r="D652" s="19" t="s">
        <v>41</v>
      </c>
      <c r="E652" s="19" t="s">
        <v>22</v>
      </c>
      <c r="F652" s="19" t="s">
        <v>27</v>
      </c>
      <c r="G652" s="19" t="s">
        <v>32</v>
      </c>
      <c r="H652" s="19" t="s">
        <v>83</v>
      </c>
      <c r="I652" s="19">
        <v>2</v>
      </c>
      <c r="J652" s="21">
        <v>266</v>
      </c>
      <c r="K652" s="22">
        <v>0.1</v>
      </c>
      <c r="L652" s="21">
        <v>478.8</v>
      </c>
    </row>
    <row r="653" spans="1:12">
      <c r="A653" s="19" t="s">
        <v>723</v>
      </c>
      <c r="B653" s="20">
        <v>46378</v>
      </c>
      <c r="C653" s="19" t="s">
        <v>86</v>
      </c>
      <c r="D653" s="19" t="s">
        <v>41</v>
      </c>
      <c r="E653" s="19" t="s">
        <v>22</v>
      </c>
      <c r="F653" s="19" t="s">
        <v>23</v>
      </c>
      <c r="G653" s="19" t="s">
        <v>138</v>
      </c>
      <c r="H653" s="19" t="s">
        <v>102</v>
      </c>
      <c r="I653" s="19">
        <v>3</v>
      </c>
      <c r="J653" s="21">
        <v>60</v>
      </c>
      <c r="K653" s="22">
        <v>0.2</v>
      </c>
      <c r="L653" s="21">
        <v>144</v>
      </c>
    </row>
    <row r="654" spans="1:12">
      <c r="A654" s="19" t="s">
        <v>724</v>
      </c>
      <c r="B654" s="20">
        <v>46064</v>
      </c>
      <c r="C654" s="19" t="s">
        <v>13</v>
      </c>
      <c r="D654" s="19" t="s">
        <v>21</v>
      </c>
      <c r="E654" s="19" t="s">
        <v>15</v>
      </c>
      <c r="F654" s="19" t="s">
        <v>48</v>
      </c>
      <c r="G654" s="19" t="s">
        <v>96</v>
      </c>
      <c r="H654" s="19" t="s">
        <v>43</v>
      </c>
      <c r="I654" s="19">
        <v>2</v>
      </c>
      <c r="J654" s="21">
        <v>2650</v>
      </c>
      <c r="K654" s="22">
        <v>0.1</v>
      </c>
      <c r="L654" s="21">
        <v>4770</v>
      </c>
    </row>
    <row r="655" spans="1:12">
      <c r="A655" s="19" t="s">
        <v>725</v>
      </c>
      <c r="B655" s="20">
        <v>46156</v>
      </c>
      <c r="C655" s="19" t="s">
        <v>86</v>
      </c>
      <c r="D655" s="19" t="s">
        <v>41</v>
      </c>
      <c r="E655" s="19" t="s">
        <v>22</v>
      </c>
      <c r="F655" s="19" t="s">
        <v>23</v>
      </c>
      <c r="G655" s="19" t="s">
        <v>138</v>
      </c>
      <c r="H655" s="19" t="s">
        <v>87</v>
      </c>
      <c r="I655" s="19">
        <v>2</v>
      </c>
      <c r="J655" s="21">
        <v>61.2</v>
      </c>
      <c r="K655" s="22">
        <v>0.03</v>
      </c>
      <c r="L655" s="21">
        <v>118.72800000000001</v>
      </c>
    </row>
    <row r="656" spans="1:12">
      <c r="A656" s="19" t="s">
        <v>726</v>
      </c>
      <c r="B656" s="20">
        <v>46381</v>
      </c>
      <c r="C656" s="19" t="s">
        <v>47</v>
      </c>
      <c r="D656" s="19" t="s">
        <v>21</v>
      </c>
      <c r="E656" s="19" t="s">
        <v>22</v>
      </c>
      <c r="F656" s="19" t="s">
        <v>23</v>
      </c>
      <c r="G656" s="19" t="s">
        <v>24</v>
      </c>
      <c r="H656" s="19" t="s">
        <v>50</v>
      </c>
      <c r="I656" s="19">
        <v>1</v>
      </c>
      <c r="J656" s="21">
        <v>85.5</v>
      </c>
      <c r="K656" s="22">
        <v>0</v>
      </c>
      <c r="L656" s="21">
        <v>85.5</v>
      </c>
    </row>
    <row r="657" spans="1:12">
      <c r="A657" s="19" t="s">
        <v>727</v>
      </c>
      <c r="B657" s="20">
        <v>46031</v>
      </c>
      <c r="C657" s="19" t="s">
        <v>31</v>
      </c>
      <c r="D657" s="19" t="s">
        <v>21</v>
      </c>
      <c r="E657" s="19" t="s">
        <v>15</v>
      </c>
      <c r="F657" s="19" t="s">
        <v>73</v>
      </c>
      <c r="G657" s="19" t="s">
        <v>145</v>
      </c>
      <c r="H657" s="19" t="s">
        <v>39</v>
      </c>
      <c r="I657" s="19">
        <v>2</v>
      </c>
      <c r="J657" s="21">
        <v>17.100000000000001</v>
      </c>
      <c r="K657" s="22">
        <v>0.2</v>
      </c>
      <c r="L657" s="21">
        <v>27.360000000000003</v>
      </c>
    </row>
    <row r="658" spans="1:12">
      <c r="A658" s="19" t="s">
        <v>728</v>
      </c>
      <c r="B658" s="20">
        <v>46219</v>
      </c>
      <c r="C658" s="19" t="s">
        <v>31</v>
      </c>
      <c r="D658" s="19" t="s">
        <v>35</v>
      </c>
      <c r="E658" s="19" t="s">
        <v>15</v>
      </c>
      <c r="F658" s="19" t="s">
        <v>48</v>
      </c>
      <c r="G658" s="19" t="s">
        <v>96</v>
      </c>
      <c r="H658" s="19" t="s">
        <v>39</v>
      </c>
      <c r="I658" s="19">
        <v>1</v>
      </c>
      <c r="J658" s="21">
        <v>2500</v>
      </c>
      <c r="K658" s="22">
        <v>0.03</v>
      </c>
      <c r="L658" s="21">
        <v>2425</v>
      </c>
    </row>
    <row r="659" spans="1:12">
      <c r="A659" s="19" t="s">
        <v>729</v>
      </c>
      <c r="B659" s="20">
        <v>46345</v>
      </c>
      <c r="C659" s="19" t="s">
        <v>47</v>
      </c>
      <c r="D659" s="19" t="s">
        <v>21</v>
      </c>
      <c r="E659" s="19" t="s">
        <v>22</v>
      </c>
      <c r="F659" s="19" t="s">
        <v>27</v>
      </c>
      <c r="G659" s="19" t="s">
        <v>36</v>
      </c>
      <c r="H659" s="19" t="s">
        <v>83</v>
      </c>
      <c r="I659" s="19">
        <v>6</v>
      </c>
      <c r="J659" s="21">
        <v>780</v>
      </c>
      <c r="K659" s="22">
        <v>0.05</v>
      </c>
      <c r="L659" s="21">
        <v>4446</v>
      </c>
    </row>
    <row r="660" spans="1:12">
      <c r="A660" s="19" t="s">
        <v>730</v>
      </c>
      <c r="B660" s="20">
        <v>46294</v>
      </c>
      <c r="C660" s="19" t="s">
        <v>86</v>
      </c>
      <c r="D660" s="19" t="s">
        <v>14</v>
      </c>
      <c r="E660" s="19" t="s">
        <v>22</v>
      </c>
      <c r="F660" s="19" t="s">
        <v>16</v>
      </c>
      <c r="G660" s="19" t="s">
        <v>57</v>
      </c>
      <c r="H660" s="19" t="s">
        <v>93</v>
      </c>
      <c r="I660" s="19">
        <v>5</v>
      </c>
      <c r="J660" s="21">
        <v>36.86</v>
      </c>
      <c r="K660" s="22">
        <v>0</v>
      </c>
      <c r="L660" s="21">
        <v>184.3</v>
      </c>
    </row>
    <row r="661" spans="1:12">
      <c r="A661" s="19" t="s">
        <v>731</v>
      </c>
      <c r="B661" s="20">
        <v>46196</v>
      </c>
      <c r="C661" s="19" t="s">
        <v>13</v>
      </c>
      <c r="D661" s="19" t="s">
        <v>21</v>
      </c>
      <c r="E661" s="19" t="s">
        <v>22</v>
      </c>
      <c r="F661" s="19" t="s">
        <v>60</v>
      </c>
      <c r="G661" s="19" t="s">
        <v>91</v>
      </c>
      <c r="H661" s="19" t="s">
        <v>29</v>
      </c>
      <c r="I661" s="19">
        <v>4</v>
      </c>
      <c r="J661" s="21">
        <v>591.6</v>
      </c>
      <c r="K661" s="22">
        <v>0.1</v>
      </c>
      <c r="L661" s="21">
        <v>2129.7600000000002</v>
      </c>
    </row>
    <row r="662" spans="1:12">
      <c r="A662" s="19" t="s">
        <v>732</v>
      </c>
      <c r="B662" s="20">
        <v>46166</v>
      </c>
      <c r="C662" s="19" t="s">
        <v>47</v>
      </c>
      <c r="D662" s="19" t="s">
        <v>41</v>
      </c>
      <c r="E662" s="19" t="s">
        <v>22</v>
      </c>
      <c r="F662" s="19" t="s">
        <v>16</v>
      </c>
      <c r="G662" s="19" t="s">
        <v>42</v>
      </c>
      <c r="H662" s="19" t="s">
        <v>50</v>
      </c>
      <c r="I662" s="19">
        <v>2</v>
      </c>
      <c r="J662" s="21">
        <v>45</v>
      </c>
      <c r="K662" s="22">
        <v>0</v>
      </c>
      <c r="L662" s="21">
        <v>90</v>
      </c>
    </row>
    <row r="663" spans="1:12">
      <c r="A663" s="19" t="s">
        <v>733</v>
      </c>
      <c r="B663" s="20">
        <v>46223</v>
      </c>
      <c r="C663" s="19" t="s">
        <v>86</v>
      </c>
      <c r="D663" s="19" t="s">
        <v>21</v>
      </c>
      <c r="E663" s="19" t="s">
        <v>15</v>
      </c>
      <c r="F663" s="19" t="s">
        <v>27</v>
      </c>
      <c r="G663" s="19" t="s">
        <v>155</v>
      </c>
      <c r="H663" s="19" t="s">
        <v>102</v>
      </c>
      <c r="I663" s="19">
        <v>1</v>
      </c>
      <c r="J663" s="21">
        <v>174.6</v>
      </c>
      <c r="K663" s="22">
        <v>0</v>
      </c>
      <c r="L663" s="21">
        <v>174.6</v>
      </c>
    </row>
    <row r="664" spans="1:12">
      <c r="A664" s="19" t="s">
        <v>734</v>
      </c>
      <c r="B664" s="20">
        <v>46305</v>
      </c>
      <c r="C664" s="19" t="s">
        <v>13</v>
      </c>
      <c r="D664" s="19" t="s">
        <v>41</v>
      </c>
      <c r="E664" s="19" t="s">
        <v>15</v>
      </c>
      <c r="F664" s="19" t="s">
        <v>16</v>
      </c>
      <c r="G664" s="19" t="s">
        <v>69</v>
      </c>
      <c r="H664" s="19" t="s">
        <v>29</v>
      </c>
      <c r="I664" s="19">
        <v>6</v>
      </c>
      <c r="J664" s="21">
        <v>55</v>
      </c>
      <c r="K664" s="22">
        <v>0.08</v>
      </c>
      <c r="L664" s="21">
        <v>303.60000000000002</v>
      </c>
    </row>
    <row r="665" spans="1:12">
      <c r="A665" s="19" t="s">
        <v>735</v>
      </c>
      <c r="B665" s="20">
        <v>46292</v>
      </c>
      <c r="C665" s="19" t="s">
        <v>86</v>
      </c>
      <c r="D665" s="19" t="s">
        <v>14</v>
      </c>
      <c r="E665" s="19" t="s">
        <v>22</v>
      </c>
      <c r="F665" s="19" t="s">
        <v>48</v>
      </c>
      <c r="G665" s="19" t="s">
        <v>54</v>
      </c>
      <c r="H665" s="19" t="s">
        <v>102</v>
      </c>
      <c r="I665" s="19">
        <v>1</v>
      </c>
      <c r="J665" s="21">
        <v>1872</v>
      </c>
      <c r="K665" s="22">
        <v>0.05</v>
      </c>
      <c r="L665" s="21">
        <v>1778.3999999999999</v>
      </c>
    </row>
    <row r="666" spans="1:12">
      <c r="A666" s="19" t="s">
        <v>736</v>
      </c>
      <c r="B666" s="20">
        <v>46248</v>
      </c>
      <c r="C666" s="19" t="s">
        <v>13</v>
      </c>
      <c r="D666" s="19" t="s">
        <v>14</v>
      </c>
      <c r="E666" s="19" t="s">
        <v>22</v>
      </c>
      <c r="F666" s="19" t="s">
        <v>27</v>
      </c>
      <c r="G666" s="19" t="s">
        <v>36</v>
      </c>
      <c r="H666" s="19" t="s">
        <v>43</v>
      </c>
      <c r="I666" s="19">
        <v>6</v>
      </c>
      <c r="J666" s="21">
        <v>750</v>
      </c>
      <c r="K666" s="22">
        <v>0.05</v>
      </c>
      <c r="L666" s="21">
        <v>4275</v>
      </c>
    </row>
    <row r="667" spans="1:12">
      <c r="A667" s="19" t="s">
        <v>737</v>
      </c>
      <c r="B667" s="20">
        <v>46213</v>
      </c>
      <c r="C667" s="19" t="s">
        <v>20</v>
      </c>
      <c r="D667" s="19" t="s">
        <v>14</v>
      </c>
      <c r="E667" s="19" t="s">
        <v>22</v>
      </c>
      <c r="F667" s="19" t="s">
        <v>48</v>
      </c>
      <c r="G667" s="19" t="s">
        <v>96</v>
      </c>
      <c r="H667" s="19" t="s">
        <v>63</v>
      </c>
      <c r="I667" s="19">
        <v>2</v>
      </c>
      <c r="J667" s="21">
        <v>2500</v>
      </c>
      <c r="K667" s="22">
        <v>0.05</v>
      </c>
      <c r="L667" s="21">
        <v>4750</v>
      </c>
    </row>
    <row r="668" spans="1:12">
      <c r="A668" s="19" t="s">
        <v>738</v>
      </c>
      <c r="B668" s="20">
        <v>46252</v>
      </c>
      <c r="C668" s="19" t="s">
        <v>31</v>
      </c>
      <c r="D668" s="19" t="s">
        <v>14</v>
      </c>
      <c r="E668" s="19" t="s">
        <v>15</v>
      </c>
      <c r="F668" s="19" t="s">
        <v>48</v>
      </c>
      <c r="G668" s="19" t="s">
        <v>71</v>
      </c>
      <c r="H668" s="19" t="s">
        <v>33</v>
      </c>
      <c r="I668" s="19">
        <v>1</v>
      </c>
      <c r="J668" s="21">
        <v>3392</v>
      </c>
      <c r="K668" s="22">
        <v>0.05</v>
      </c>
      <c r="L668" s="21">
        <v>3222.3999999999996</v>
      </c>
    </row>
    <row r="669" spans="1:12">
      <c r="A669" s="19" t="s">
        <v>739</v>
      </c>
      <c r="B669" s="20">
        <v>46161</v>
      </c>
      <c r="C669" s="19" t="s">
        <v>31</v>
      </c>
      <c r="D669" s="19" t="s">
        <v>21</v>
      </c>
      <c r="E669" s="19" t="s">
        <v>15</v>
      </c>
      <c r="F669" s="19" t="s">
        <v>23</v>
      </c>
      <c r="G669" s="19" t="s">
        <v>38</v>
      </c>
      <c r="H669" s="19" t="s">
        <v>33</v>
      </c>
      <c r="I669" s="19">
        <v>5</v>
      </c>
      <c r="J669" s="21">
        <v>320</v>
      </c>
      <c r="K669" s="22">
        <v>0</v>
      </c>
      <c r="L669" s="21">
        <v>1600</v>
      </c>
    </row>
    <row r="670" spans="1:12">
      <c r="A670" s="19" t="s">
        <v>740</v>
      </c>
      <c r="B670" s="20">
        <v>46336</v>
      </c>
      <c r="C670" s="19" t="s">
        <v>86</v>
      </c>
      <c r="D670" s="19" t="s">
        <v>35</v>
      </c>
      <c r="E670" s="19" t="s">
        <v>22</v>
      </c>
      <c r="F670" s="19" t="s">
        <v>60</v>
      </c>
      <c r="G670" s="19" t="s">
        <v>67</v>
      </c>
      <c r="H670" s="19" t="s">
        <v>93</v>
      </c>
      <c r="I670" s="19">
        <v>4</v>
      </c>
      <c r="J670" s="21">
        <v>1530</v>
      </c>
      <c r="K670" s="22">
        <v>0.15</v>
      </c>
      <c r="L670" s="21">
        <v>5202</v>
      </c>
    </row>
    <row r="671" spans="1:12">
      <c r="A671" s="19" t="s">
        <v>741</v>
      </c>
      <c r="B671" s="20">
        <v>46084</v>
      </c>
      <c r="C671" s="19" t="s">
        <v>13</v>
      </c>
      <c r="D671" s="19" t="s">
        <v>21</v>
      </c>
      <c r="E671" s="19" t="s">
        <v>22</v>
      </c>
      <c r="F671" s="19" t="s">
        <v>16</v>
      </c>
      <c r="G671" s="19" t="s">
        <v>65</v>
      </c>
      <c r="H671" s="19" t="s">
        <v>18</v>
      </c>
      <c r="I671" s="19">
        <v>1</v>
      </c>
      <c r="J671" s="21">
        <v>76</v>
      </c>
      <c r="K671" s="22">
        <v>0</v>
      </c>
      <c r="L671" s="21">
        <v>76</v>
      </c>
    </row>
    <row r="672" spans="1:12">
      <c r="A672" s="19" t="s">
        <v>742</v>
      </c>
      <c r="B672" s="20">
        <v>46280</v>
      </c>
      <c r="C672" s="19" t="s">
        <v>13</v>
      </c>
      <c r="D672" s="19" t="s">
        <v>41</v>
      </c>
      <c r="E672" s="19" t="s">
        <v>22</v>
      </c>
      <c r="F672" s="19" t="s">
        <v>23</v>
      </c>
      <c r="G672" s="19" t="s">
        <v>24</v>
      </c>
      <c r="H672" s="19" t="s">
        <v>29</v>
      </c>
      <c r="I672" s="19">
        <v>3</v>
      </c>
      <c r="J672" s="21">
        <v>90</v>
      </c>
      <c r="K672" s="22">
        <v>0.2</v>
      </c>
      <c r="L672" s="21">
        <v>216</v>
      </c>
    </row>
    <row r="673" spans="1:12">
      <c r="A673" s="19" t="s">
        <v>743</v>
      </c>
      <c r="B673" s="20">
        <v>46288</v>
      </c>
      <c r="C673" s="19" t="s">
        <v>13</v>
      </c>
      <c r="D673" s="19" t="s">
        <v>41</v>
      </c>
      <c r="E673" s="19" t="s">
        <v>15</v>
      </c>
      <c r="F673" s="19" t="s">
        <v>16</v>
      </c>
      <c r="G673" s="19" t="s">
        <v>112</v>
      </c>
      <c r="H673" s="19" t="s">
        <v>18</v>
      </c>
      <c r="I673" s="19">
        <v>5</v>
      </c>
      <c r="J673" s="21">
        <v>63.05</v>
      </c>
      <c r="K673" s="22">
        <v>0.1</v>
      </c>
      <c r="L673" s="21">
        <v>283.72500000000002</v>
      </c>
    </row>
    <row r="674" spans="1:12">
      <c r="A674" s="19" t="s">
        <v>744</v>
      </c>
      <c r="B674" s="20">
        <v>46333</v>
      </c>
      <c r="C674" s="19" t="s">
        <v>20</v>
      </c>
      <c r="D674" s="19" t="s">
        <v>14</v>
      </c>
      <c r="E674" s="19" t="s">
        <v>15</v>
      </c>
      <c r="F674" s="19" t="s">
        <v>73</v>
      </c>
      <c r="G674" s="19" t="s">
        <v>74</v>
      </c>
      <c r="H674" s="19" t="s">
        <v>25</v>
      </c>
      <c r="I674" s="19">
        <v>1</v>
      </c>
      <c r="J674" s="21">
        <v>8</v>
      </c>
      <c r="K674" s="22">
        <v>0.15</v>
      </c>
      <c r="L674" s="21">
        <v>6.8</v>
      </c>
    </row>
    <row r="675" spans="1:12">
      <c r="A675" s="19" t="s">
        <v>745</v>
      </c>
      <c r="B675" s="20">
        <v>46174</v>
      </c>
      <c r="C675" s="19" t="s">
        <v>31</v>
      </c>
      <c r="D675" s="19" t="s">
        <v>41</v>
      </c>
      <c r="E675" s="19" t="s">
        <v>22</v>
      </c>
      <c r="F675" s="19" t="s">
        <v>48</v>
      </c>
      <c r="G675" s="19" t="s">
        <v>49</v>
      </c>
      <c r="H675" s="19" t="s">
        <v>79</v>
      </c>
      <c r="I675" s="19">
        <v>1</v>
      </c>
      <c r="J675" s="21">
        <v>4452</v>
      </c>
      <c r="K675" s="22">
        <v>0.08</v>
      </c>
      <c r="L675" s="21">
        <v>4095.84</v>
      </c>
    </row>
    <row r="676" spans="1:12">
      <c r="A676" s="19" t="s">
        <v>746</v>
      </c>
      <c r="B676" s="20">
        <v>46100</v>
      </c>
      <c r="C676" s="19" t="s">
        <v>47</v>
      </c>
      <c r="D676" s="19" t="s">
        <v>21</v>
      </c>
      <c r="E676" s="19" t="s">
        <v>15</v>
      </c>
      <c r="F676" s="19" t="s">
        <v>16</v>
      </c>
      <c r="G676" s="19" t="s">
        <v>17</v>
      </c>
      <c r="H676" s="19" t="s">
        <v>55</v>
      </c>
      <c r="I676" s="19">
        <v>7</v>
      </c>
      <c r="J676" s="21">
        <v>15.6</v>
      </c>
      <c r="K676" s="22">
        <v>0.1</v>
      </c>
      <c r="L676" s="21">
        <v>98.28</v>
      </c>
    </row>
    <row r="677" spans="1:12">
      <c r="A677" s="19" t="s">
        <v>747</v>
      </c>
      <c r="B677" s="20">
        <v>46258</v>
      </c>
      <c r="C677" s="19" t="s">
        <v>20</v>
      </c>
      <c r="D677" s="19" t="s">
        <v>14</v>
      </c>
      <c r="E677" s="19" t="s">
        <v>22</v>
      </c>
      <c r="F677" s="19" t="s">
        <v>60</v>
      </c>
      <c r="G677" s="19" t="s">
        <v>76</v>
      </c>
      <c r="H677" s="19" t="s">
        <v>63</v>
      </c>
      <c r="I677" s="19">
        <v>2</v>
      </c>
      <c r="J677" s="21">
        <v>700</v>
      </c>
      <c r="K677" s="22">
        <v>0.05</v>
      </c>
      <c r="L677" s="21">
        <v>1330</v>
      </c>
    </row>
    <row r="678" spans="1:12">
      <c r="A678" s="19" t="s">
        <v>748</v>
      </c>
      <c r="B678" s="20">
        <v>46252</v>
      </c>
      <c r="C678" s="19" t="s">
        <v>31</v>
      </c>
      <c r="D678" s="19" t="s">
        <v>41</v>
      </c>
      <c r="E678" s="19" t="s">
        <v>22</v>
      </c>
      <c r="F678" s="19" t="s">
        <v>60</v>
      </c>
      <c r="G678" s="19" t="s">
        <v>76</v>
      </c>
      <c r="H678" s="19" t="s">
        <v>79</v>
      </c>
      <c r="I678" s="19">
        <v>1</v>
      </c>
      <c r="J678" s="21">
        <v>714</v>
      </c>
      <c r="K678" s="22">
        <v>0.05</v>
      </c>
      <c r="L678" s="21">
        <v>678.3</v>
      </c>
    </row>
    <row r="679" spans="1:12">
      <c r="A679" s="19" t="s">
        <v>749</v>
      </c>
      <c r="B679" s="20">
        <v>46119</v>
      </c>
      <c r="C679" s="19" t="s">
        <v>20</v>
      </c>
      <c r="D679" s="19" t="s">
        <v>21</v>
      </c>
      <c r="E679" s="19" t="s">
        <v>22</v>
      </c>
      <c r="F679" s="19" t="s">
        <v>60</v>
      </c>
      <c r="G679" s="19" t="s">
        <v>67</v>
      </c>
      <c r="H679" s="19" t="s">
        <v>58</v>
      </c>
      <c r="I679" s="19">
        <v>1</v>
      </c>
      <c r="J679" s="21">
        <v>1590</v>
      </c>
      <c r="K679" s="22">
        <v>0.03</v>
      </c>
      <c r="L679" s="21">
        <v>1542.3</v>
      </c>
    </row>
    <row r="680" spans="1:12">
      <c r="A680" s="19" t="s">
        <v>750</v>
      </c>
      <c r="B680" s="20">
        <v>46187</v>
      </c>
      <c r="C680" s="19" t="s">
        <v>47</v>
      </c>
      <c r="D680" s="19" t="s">
        <v>35</v>
      </c>
      <c r="E680" s="19" t="s">
        <v>22</v>
      </c>
      <c r="F680" s="19" t="s">
        <v>73</v>
      </c>
      <c r="G680" s="19" t="s">
        <v>81</v>
      </c>
      <c r="H680" s="19" t="s">
        <v>55</v>
      </c>
      <c r="I680" s="19">
        <v>5</v>
      </c>
      <c r="J680" s="21">
        <v>12</v>
      </c>
      <c r="K680" s="22">
        <v>0.15</v>
      </c>
      <c r="L680" s="21">
        <v>51</v>
      </c>
    </row>
    <row r="681" spans="1:12">
      <c r="A681" s="19" t="s">
        <v>751</v>
      </c>
      <c r="B681" s="20">
        <v>46209</v>
      </c>
      <c r="C681" s="19" t="s">
        <v>31</v>
      </c>
      <c r="D681" s="19" t="s">
        <v>21</v>
      </c>
      <c r="E681" s="19" t="s">
        <v>15</v>
      </c>
      <c r="F681" s="19" t="s">
        <v>48</v>
      </c>
      <c r="G681" s="19" t="s">
        <v>49</v>
      </c>
      <c r="H681" s="19" t="s">
        <v>79</v>
      </c>
      <c r="I681" s="19">
        <v>1</v>
      </c>
      <c r="J681" s="21">
        <v>4200</v>
      </c>
      <c r="K681" s="22">
        <v>0.05</v>
      </c>
      <c r="L681" s="21">
        <v>3990</v>
      </c>
    </row>
    <row r="682" spans="1:12">
      <c r="A682" s="19" t="s">
        <v>752</v>
      </c>
      <c r="B682" s="20">
        <v>46151</v>
      </c>
      <c r="C682" s="19" t="s">
        <v>86</v>
      </c>
      <c r="D682" s="19" t="s">
        <v>14</v>
      </c>
      <c r="E682" s="19" t="s">
        <v>22</v>
      </c>
      <c r="F682" s="19" t="s">
        <v>73</v>
      </c>
      <c r="G682" s="19" t="s">
        <v>127</v>
      </c>
      <c r="H682" s="19" t="s">
        <v>93</v>
      </c>
      <c r="I682" s="19">
        <v>2</v>
      </c>
      <c r="J682" s="21">
        <v>24.25</v>
      </c>
      <c r="K682" s="22">
        <v>0</v>
      </c>
      <c r="L682" s="21">
        <v>48.5</v>
      </c>
    </row>
    <row r="683" spans="1:12">
      <c r="A683" s="19" t="s">
        <v>753</v>
      </c>
      <c r="B683" s="20">
        <v>46061</v>
      </c>
      <c r="C683" s="19" t="s">
        <v>20</v>
      </c>
      <c r="D683" s="19" t="s">
        <v>41</v>
      </c>
      <c r="E683" s="19" t="s">
        <v>22</v>
      </c>
      <c r="F683" s="19" t="s">
        <v>23</v>
      </c>
      <c r="G683" s="19" t="s">
        <v>138</v>
      </c>
      <c r="H683" s="19" t="s">
        <v>58</v>
      </c>
      <c r="I683" s="19">
        <v>5</v>
      </c>
      <c r="J683" s="21">
        <v>60</v>
      </c>
      <c r="K683" s="22">
        <v>0.15</v>
      </c>
      <c r="L683" s="21">
        <v>255</v>
      </c>
    </row>
    <row r="684" spans="1:12">
      <c r="A684" s="19" t="s">
        <v>754</v>
      </c>
      <c r="B684" s="20">
        <v>46288</v>
      </c>
      <c r="C684" s="19" t="s">
        <v>31</v>
      </c>
      <c r="D684" s="19" t="s">
        <v>41</v>
      </c>
      <c r="E684" s="19" t="s">
        <v>22</v>
      </c>
      <c r="F684" s="19" t="s">
        <v>27</v>
      </c>
      <c r="G684" s="19" t="s">
        <v>32</v>
      </c>
      <c r="H684" s="19" t="s">
        <v>79</v>
      </c>
      <c r="I684" s="19">
        <v>4</v>
      </c>
      <c r="J684" s="21">
        <v>271.60000000000002</v>
      </c>
      <c r="K684" s="22">
        <v>0.08</v>
      </c>
      <c r="L684" s="21">
        <v>999.48800000000017</v>
      </c>
    </row>
    <row r="685" spans="1:12">
      <c r="A685" s="19" t="s">
        <v>755</v>
      </c>
      <c r="B685" s="20">
        <v>46328</v>
      </c>
      <c r="C685" s="19" t="s">
        <v>20</v>
      </c>
      <c r="D685" s="19" t="s">
        <v>14</v>
      </c>
      <c r="E685" s="19" t="s">
        <v>15</v>
      </c>
      <c r="F685" s="19" t="s">
        <v>16</v>
      </c>
      <c r="G685" s="19" t="s">
        <v>57</v>
      </c>
      <c r="H685" s="19" t="s">
        <v>58</v>
      </c>
      <c r="I685" s="19">
        <v>4</v>
      </c>
      <c r="J685" s="21">
        <v>38</v>
      </c>
      <c r="K685" s="22">
        <v>0.1</v>
      </c>
      <c r="L685" s="21">
        <v>136.80000000000001</v>
      </c>
    </row>
    <row r="686" spans="1:12">
      <c r="A686" s="19" t="s">
        <v>756</v>
      </c>
      <c r="B686" s="20">
        <v>46231</v>
      </c>
      <c r="C686" s="19" t="s">
        <v>31</v>
      </c>
      <c r="D686" s="19" t="s">
        <v>35</v>
      </c>
      <c r="E686" s="19" t="s">
        <v>15</v>
      </c>
      <c r="F686" s="19" t="s">
        <v>48</v>
      </c>
      <c r="G686" s="19" t="s">
        <v>96</v>
      </c>
      <c r="H686" s="19" t="s">
        <v>79</v>
      </c>
      <c r="I686" s="19">
        <v>3</v>
      </c>
      <c r="J686" s="21">
        <v>2650</v>
      </c>
      <c r="K686" s="22">
        <v>0.1</v>
      </c>
      <c r="L686" s="21">
        <v>7155</v>
      </c>
    </row>
    <row r="687" spans="1:12">
      <c r="A687" s="19" t="s">
        <v>757</v>
      </c>
      <c r="B687" s="20">
        <v>46138</v>
      </c>
      <c r="C687" s="19" t="s">
        <v>20</v>
      </c>
      <c r="D687" s="19" t="s">
        <v>14</v>
      </c>
      <c r="E687" s="19" t="s">
        <v>15</v>
      </c>
      <c r="F687" s="19" t="s">
        <v>16</v>
      </c>
      <c r="G687" s="19" t="s">
        <v>17</v>
      </c>
      <c r="H687" s="19" t="s">
        <v>25</v>
      </c>
      <c r="I687" s="19">
        <v>2</v>
      </c>
      <c r="J687" s="21">
        <v>15.6</v>
      </c>
      <c r="K687" s="22">
        <v>0.08</v>
      </c>
      <c r="L687" s="21">
        <v>28.704000000000001</v>
      </c>
    </row>
    <row r="688" spans="1:12">
      <c r="A688" s="19" t="s">
        <v>758</v>
      </c>
      <c r="B688" s="20">
        <v>46312</v>
      </c>
      <c r="C688" s="19" t="s">
        <v>20</v>
      </c>
      <c r="D688" s="19" t="s">
        <v>14</v>
      </c>
      <c r="E688" s="19" t="s">
        <v>22</v>
      </c>
      <c r="F688" s="19" t="s">
        <v>48</v>
      </c>
      <c r="G688" s="19" t="s">
        <v>49</v>
      </c>
      <c r="H688" s="19" t="s">
        <v>58</v>
      </c>
      <c r="I688" s="19">
        <v>3</v>
      </c>
      <c r="J688" s="21">
        <v>4452</v>
      </c>
      <c r="K688" s="22">
        <v>0.05</v>
      </c>
      <c r="L688" s="21">
        <v>12688.199999999999</v>
      </c>
    </row>
    <row r="689" spans="1:12">
      <c r="A689" s="19" t="s">
        <v>759</v>
      </c>
      <c r="B689" s="20">
        <v>46143</v>
      </c>
      <c r="C689" s="19" t="s">
        <v>20</v>
      </c>
      <c r="D689" s="19" t="s">
        <v>35</v>
      </c>
      <c r="E689" s="19" t="s">
        <v>22</v>
      </c>
      <c r="F689" s="19" t="s">
        <v>60</v>
      </c>
      <c r="G689" s="19" t="s">
        <v>91</v>
      </c>
      <c r="H689" s="19" t="s">
        <v>25</v>
      </c>
      <c r="I689" s="19">
        <v>1</v>
      </c>
      <c r="J689" s="21">
        <v>562.6</v>
      </c>
      <c r="K689" s="22">
        <v>0.05</v>
      </c>
      <c r="L689" s="21">
        <v>534.47</v>
      </c>
    </row>
    <row r="690" spans="1:12">
      <c r="A690" s="19" t="s">
        <v>760</v>
      </c>
      <c r="B690" s="20">
        <v>46186</v>
      </c>
      <c r="C690" s="19" t="s">
        <v>13</v>
      </c>
      <c r="D690" s="19" t="s">
        <v>35</v>
      </c>
      <c r="E690" s="19" t="s">
        <v>22</v>
      </c>
      <c r="F690" s="19" t="s">
        <v>27</v>
      </c>
      <c r="G690" s="19" t="s">
        <v>32</v>
      </c>
      <c r="H690" s="19" t="s">
        <v>43</v>
      </c>
      <c r="I690" s="19">
        <v>6</v>
      </c>
      <c r="J690" s="21">
        <v>280</v>
      </c>
      <c r="K690" s="22">
        <v>0.15</v>
      </c>
      <c r="L690" s="21">
        <v>1428</v>
      </c>
    </row>
    <row r="691" spans="1:12">
      <c r="A691" s="19" t="s">
        <v>761</v>
      </c>
      <c r="B691" s="20">
        <v>46213</v>
      </c>
      <c r="C691" s="19" t="s">
        <v>13</v>
      </c>
      <c r="D691" s="19" t="s">
        <v>14</v>
      </c>
      <c r="E691" s="19" t="s">
        <v>15</v>
      </c>
      <c r="F691" s="19" t="s">
        <v>73</v>
      </c>
      <c r="G691" s="19" t="s">
        <v>74</v>
      </c>
      <c r="H691" s="19" t="s">
        <v>18</v>
      </c>
      <c r="I691" s="19">
        <v>4</v>
      </c>
      <c r="J691" s="21">
        <v>8</v>
      </c>
      <c r="K691" s="22">
        <v>0.05</v>
      </c>
      <c r="L691" s="21">
        <v>30.4</v>
      </c>
    </row>
    <row r="692" spans="1:12">
      <c r="A692" s="19" t="s">
        <v>762</v>
      </c>
      <c r="B692" s="20">
        <v>46346</v>
      </c>
      <c r="C692" s="19" t="s">
        <v>47</v>
      </c>
      <c r="D692" s="19" t="s">
        <v>35</v>
      </c>
      <c r="E692" s="19" t="s">
        <v>22</v>
      </c>
      <c r="F692" s="19" t="s">
        <v>27</v>
      </c>
      <c r="G692" s="19" t="s">
        <v>155</v>
      </c>
      <c r="H692" s="19" t="s">
        <v>55</v>
      </c>
      <c r="I692" s="19">
        <v>11</v>
      </c>
      <c r="J692" s="21">
        <v>180</v>
      </c>
      <c r="K692" s="22">
        <v>0.03</v>
      </c>
      <c r="L692" s="21">
        <v>1920.6</v>
      </c>
    </row>
    <row r="693" spans="1:12">
      <c r="A693" s="19" t="s">
        <v>763</v>
      </c>
      <c r="B693" s="20">
        <v>46166</v>
      </c>
      <c r="C693" s="19" t="s">
        <v>13</v>
      </c>
      <c r="D693" s="19" t="s">
        <v>41</v>
      </c>
      <c r="E693" s="19" t="s">
        <v>22</v>
      </c>
      <c r="F693" s="19" t="s">
        <v>60</v>
      </c>
      <c r="G693" s="19" t="s">
        <v>61</v>
      </c>
      <c r="H693" s="19" t="s">
        <v>29</v>
      </c>
      <c r="I693" s="19">
        <v>2</v>
      </c>
      <c r="J693" s="21">
        <v>824.5</v>
      </c>
      <c r="K693" s="22">
        <v>0.05</v>
      </c>
      <c r="L693" s="21">
        <v>1566.55</v>
      </c>
    </row>
    <row r="694" spans="1:12">
      <c r="A694" s="19" t="s">
        <v>764</v>
      </c>
      <c r="B694" s="20">
        <v>46301</v>
      </c>
      <c r="C694" s="19" t="s">
        <v>31</v>
      </c>
      <c r="D694" s="19" t="s">
        <v>41</v>
      </c>
      <c r="E694" s="19" t="s">
        <v>22</v>
      </c>
      <c r="F694" s="19" t="s">
        <v>16</v>
      </c>
      <c r="G694" s="19" t="s">
        <v>57</v>
      </c>
      <c r="H694" s="19" t="s">
        <v>79</v>
      </c>
      <c r="I694" s="19">
        <v>8</v>
      </c>
      <c r="J694" s="21">
        <v>39.520000000000003</v>
      </c>
      <c r="K694" s="22">
        <v>0</v>
      </c>
      <c r="L694" s="21">
        <v>316.16000000000003</v>
      </c>
    </row>
    <row r="695" spans="1:12">
      <c r="A695" s="19" t="s">
        <v>765</v>
      </c>
      <c r="B695" s="20">
        <v>46335</v>
      </c>
      <c r="C695" s="19" t="s">
        <v>13</v>
      </c>
      <c r="D695" s="19" t="s">
        <v>14</v>
      </c>
      <c r="E695" s="19" t="s">
        <v>15</v>
      </c>
      <c r="F695" s="19" t="s">
        <v>23</v>
      </c>
      <c r="G695" s="19" t="s">
        <v>52</v>
      </c>
      <c r="H695" s="19" t="s">
        <v>29</v>
      </c>
      <c r="I695" s="19">
        <v>2</v>
      </c>
      <c r="J695" s="21">
        <v>477</v>
      </c>
      <c r="K695" s="22">
        <v>0.1</v>
      </c>
      <c r="L695" s="21">
        <v>858.6</v>
      </c>
    </row>
    <row r="696" spans="1:12">
      <c r="A696" s="19" t="s">
        <v>766</v>
      </c>
      <c r="B696" s="20">
        <v>46150</v>
      </c>
      <c r="C696" s="19" t="s">
        <v>47</v>
      </c>
      <c r="D696" s="19" t="s">
        <v>41</v>
      </c>
      <c r="E696" s="19" t="s">
        <v>22</v>
      </c>
      <c r="F696" s="19" t="s">
        <v>73</v>
      </c>
      <c r="G696" s="19" t="s">
        <v>74</v>
      </c>
      <c r="H696" s="19" t="s">
        <v>55</v>
      </c>
      <c r="I696" s="19">
        <v>2</v>
      </c>
      <c r="J696" s="21">
        <v>8</v>
      </c>
      <c r="K696" s="22">
        <v>0.05</v>
      </c>
      <c r="L696" s="21">
        <v>15.2</v>
      </c>
    </row>
    <row r="697" spans="1:12">
      <c r="A697" s="19" t="s">
        <v>767</v>
      </c>
      <c r="B697" s="20">
        <v>46239</v>
      </c>
      <c r="C697" s="19" t="s">
        <v>13</v>
      </c>
      <c r="D697" s="19" t="s">
        <v>21</v>
      </c>
      <c r="E697" s="19" t="s">
        <v>15</v>
      </c>
      <c r="F697" s="19" t="s">
        <v>48</v>
      </c>
      <c r="G697" s="19" t="s">
        <v>99</v>
      </c>
      <c r="H697" s="19" t="s">
        <v>18</v>
      </c>
      <c r="I697" s="19">
        <v>2</v>
      </c>
      <c r="J697" s="21">
        <v>3000</v>
      </c>
      <c r="K697" s="22">
        <v>0.03</v>
      </c>
      <c r="L697" s="21">
        <v>5820</v>
      </c>
    </row>
    <row r="698" spans="1:12">
      <c r="A698" s="19" t="s">
        <v>768</v>
      </c>
      <c r="B698" s="20">
        <v>46095</v>
      </c>
      <c r="C698" s="19" t="s">
        <v>47</v>
      </c>
      <c r="D698" s="19" t="s">
        <v>14</v>
      </c>
      <c r="E698" s="19" t="s">
        <v>15</v>
      </c>
      <c r="F698" s="19" t="s">
        <v>73</v>
      </c>
      <c r="G698" s="19" t="s">
        <v>145</v>
      </c>
      <c r="H698" s="19" t="s">
        <v>55</v>
      </c>
      <c r="I698" s="19">
        <v>2</v>
      </c>
      <c r="J698" s="21">
        <v>18</v>
      </c>
      <c r="K698" s="22">
        <v>0.03</v>
      </c>
      <c r="L698" s="21">
        <v>34.92</v>
      </c>
    </row>
    <row r="699" spans="1:12">
      <c r="A699" s="19" t="s">
        <v>769</v>
      </c>
      <c r="B699" s="20">
        <v>46191</v>
      </c>
      <c r="C699" s="19" t="s">
        <v>20</v>
      </c>
      <c r="D699" s="19" t="s">
        <v>21</v>
      </c>
      <c r="E699" s="19" t="s">
        <v>15</v>
      </c>
      <c r="F699" s="19" t="s">
        <v>60</v>
      </c>
      <c r="G699" s="19" t="s">
        <v>76</v>
      </c>
      <c r="H699" s="19" t="s">
        <v>58</v>
      </c>
      <c r="I699" s="19">
        <v>2</v>
      </c>
      <c r="J699" s="21">
        <v>742</v>
      </c>
      <c r="K699" s="22">
        <v>0.2</v>
      </c>
      <c r="L699" s="21">
        <v>1187.2</v>
      </c>
    </row>
    <row r="700" spans="1:12">
      <c r="A700" s="19" t="s">
        <v>770</v>
      </c>
      <c r="B700" s="20">
        <v>46383</v>
      </c>
      <c r="C700" s="19" t="s">
        <v>31</v>
      </c>
      <c r="D700" s="19" t="s">
        <v>21</v>
      </c>
      <c r="E700" s="19" t="s">
        <v>22</v>
      </c>
      <c r="F700" s="19" t="s">
        <v>60</v>
      </c>
      <c r="G700" s="19" t="s">
        <v>91</v>
      </c>
      <c r="H700" s="19" t="s">
        <v>79</v>
      </c>
      <c r="I700" s="19">
        <v>1</v>
      </c>
      <c r="J700" s="21">
        <v>580</v>
      </c>
      <c r="K700" s="22">
        <v>0</v>
      </c>
      <c r="L700" s="21">
        <v>580</v>
      </c>
    </row>
    <row r="701" spans="1:12">
      <c r="A701" s="19" t="s">
        <v>771</v>
      </c>
      <c r="B701" s="20">
        <v>46368</v>
      </c>
      <c r="C701" s="19" t="s">
        <v>47</v>
      </c>
      <c r="D701" s="19" t="s">
        <v>14</v>
      </c>
      <c r="E701" s="19" t="s">
        <v>22</v>
      </c>
      <c r="F701" s="19" t="s">
        <v>16</v>
      </c>
      <c r="G701" s="19" t="s">
        <v>57</v>
      </c>
      <c r="H701" s="19" t="s">
        <v>83</v>
      </c>
      <c r="I701" s="19">
        <v>1</v>
      </c>
      <c r="J701" s="21">
        <v>38</v>
      </c>
      <c r="K701" s="22">
        <v>0.03</v>
      </c>
      <c r="L701" s="21">
        <v>36.86</v>
      </c>
    </row>
    <row r="702" spans="1:12">
      <c r="A702" s="19" t="s">
        <v>772</v>
      </c>
      <c r="B702" s="20">
        <v>46124</v>
      </c>
      <c r="C702" s="19" t="s">
        <v>86</v>
      </c>
      <c r="D702" s="19" t="s">
        <v>21</v>
      </c>
      <c r="E702" s="19" t="s">
        <v>22</v>
      </c>
      <c r="F702" s="19" t="s">
        <v>16</v>
      </c>
      <c r="G702" s="19" t="s">
        <v>65</v>
      </c>
      <c r="H702" s="19" t="s">
        <v>102</v>
      </c>
      <c r="I702" s="19">
        <v>1</v>
      </c>
      <c r="J702" s="21">
        <v>83.2</v>
      </c>
      <c r="K702" s="22">
        <v>0.15</v>
      </c>
      <c r="L702" s="21">
        <v>70.72</v>
      </c>
    </row>
    <row r="703" spans="1:12">
      <c r="A703" s="19" t="s">
        <v>773</v>
      </c>
      <c r="B703" s="20">
        <v>46108</v>
      </c>
      <c r="C703" s="19" t="s">
        <v>13</v>
      </c>
      <c r="D703" s="19" t="s">
        <v>14</v>
      </c>
      <c r="E703" s="19" t="s">
        <v>22</v>
      </c>
      <c r="F703" s="19" t="s">
        <v>16</v>
      </c>
      <c r="G703" s="19" t="s">
        <v>42</v>
      </c>
      <c r="H703" s="19" t="s">
        <v>29</v>
      </c>
      <c r="I703" s="19">
        <v>2</v>
      </c>
      <c r="J703" s="21">
        <v>46.8</v>
      </c>
      <c r="K703" s="22">
        <v>0.03</v>
      </c>
      <c r="L703" s="21">
        <v>90.791999999999987</v>
      </c>
    </row>
    <row r="704" spans="1:12">
      <c r="A704" s="19" t="s">
        <v>774</v>
      </c>
      <c r="B704" s="20">
        <v>46352</v>
      </c>
      <c r="C704" s="19" t="s">
        <v>86</v>
      </c>
      <c r="D704" s="19" t="s">
        <v>41</v>
      </c>
      <c r="E704" s="19" t="s">
        <v>22</v>
      </c>
      <c r="F704" s="19" t="s">
        <v>16</v>
      </c>
      <c r="G704" s="19" t="s">
        <v>112</v>
      </c>
      <c r="H704" s="19" t="s">
        <v>93</v>
      </c>
      <c r="I704" s="19">
        <v>4</v>
      </c>
      <c r="J704" s="21">
        <v>68.900000000000006</v>
      </c>
      <c r="K704" s="22">
        <v>0.1</v>
      </c>
      <c r="L704" s="21">
        <v>248.04000000000002</v>
      </c>
    </row>
    <row r="705" spans="1:12">
      <c r="A705" s="19" t="s">
        <v>775</v>
      </c>
      <c r="B705" s="20">
        <v>46337</v>
      </c>
      <c r="C705" s="19" t="s">
        <v>31</v>
      </c>
      <c r="D705" s="19" t="s">
        <v>21</v>
      </c>
      <c r="E705" s="19" t="s">
        <v>22</v>
      </c>
      <c r="F705" s="19" t="s">
        <v>48</v>
      </c>
      <c r="G705" s="19" t="s">
        <v>49</v>
      </c>
      <c r="H705" s="19" t="s">
        <v>33</v>
      </c>
      <c r="I705" s="19">
        <v>1</v>
      </c>
      <c r="J705" s="21">
        <v>4284</v>
      </c>
      <c r="K705" s="22">
        <v>0.2</v>
      </c>
      <c r="L705" s="21">
        <v>3427.2000000000003</v>
      </c>
    </row>
    <row r="706" spans="1:12">
      <c r="A706" s="19" t="s">
        <v>776</v>
      </c>
      <c r="B706" s="20">
        <v>46316</v>
      </c>
      <c r="C706" s="19" t="s">
        <v>31</v>
      </c>
      <c r="D706" s="19" t="s">
        <v>14</v>
      </c>
      <c r="E706" s="19" t="s">
        <v>15</v>
      </c>
      <c r="F706" s="19" t="s">
        <v>23</v>
      </c>
      <c r="G706" s="19" t="s">
        <v>138</v>
      </c>
      <c r="H706" s="19" t="s">
        <v>39</v>
      </c>
      <c r="I706" s="19">
        <v>3</v>
      </c>
      <c r="J706" s="21">
        <v>58.2</v>
      </c>
      <c r="K706" s="22">
        <v>0</v>
      </c>
      <c r="L706" s="21">
        <v>174.60000000000002</v>
      </c>
    </row>
    <row r="707" spans="1:12">
      <c r="A707" s="19" t="s">
        <v>777</v>
      </c>
      <c r="B707" s="20">
        <v>46228</v>
      </c>
      <c r="C707" s="19" t="s">
        <v>31</v>
      </c>
      <c r="D707" s="19" t="s">
        <v>21</v>
      </c>
      <c r="E707" s="19" t="s">
        <v>15</v>
      </c>
      <c r="F707" s="19" t="s">
        <v>60</v>
      </c>
      <c r="G707" s="19" t="s">
        <v>91</v>
      </c>
      <c r="H707" s="19" t="s">
        <v>79</v>
      </c>
      <c r="I707" s="19">
        <v>2</v>
      </c>
      <c r="J707" s="21">
        <v>562.6</v>
      </c>
      <c r="K707" s="22">
        <v>0.05</v>
      </c>
      <c r="L707" s="21">
        <v>1068.94</v>
      </c>
    </row>
    <row r="708" spans="1:12">
      <c r="A708" s="19" t="s">
        <v>778</v>
      </c>
      <c r="B708" s="20">
        <v>46119</v>
      </c>
      <c r="C708" s="19" t="s">
        <v>86</v>
      </c>
      <c r="D708" s="19" t="s">
        <v>35</v>
      </c>
      <c r="E708" s="19" t="s">
        <v>22</v>
      </c>
      <c r="F708" s="19" t="s">
        <v>60</v>
      </c>
      <c r="G708" s="19" t="s">
        <v>67</v>
      </c>
      <c r="H708" s="19" t="s">
        <v>93</v>
      </c>
      <c r="I708" s="19">
        <v>2</v>
      </c>
      <c r="J708" s="21">
        <v>1560</v>
      </c>
      <c r="K708" s="22">
        <v>0.08</v>
      </c>
      <c r="L708" s="21">
        <v>2870.4</v>
      </c>
    </row>
    <row r="709" spans="1:12">
      <c r="A709" s="19" t="s">
        <v>779</v>
      </c>
      <c r="B709" s="20">
        <v>46148</v>
      </c>
      <c r="C709" s="19" t="s">
        <v>86</v>
      </c>
      <c r="D709" s="19" t="s">
        <v>41</v>
      </c>
      <c r="E709" s="19" t="s">
        <v>15</v>
      </c>
      <c r="F709" s="19" t="s">
        <v>16</v>
      </c>
      <c r="G709" s="19" t="s">
        <v>42</v>
      </c>
      <c r="H709" s="19" t="s">
        <v>93</v>
      </c>
      <c r="I709" s="19">
        <v>3</v>
      </c>
      <c r="J709" s="21">
        <v>43.65</v>
      </c>
      <c r="K709" s="22">
        <v>0.05</v>
      </c>
      <c r="L709" s="21">
        <v>124.40249999999999</v>
      </c>
    </row>
    <row r="710" spans="1:12">
      <c r="A710" s="19" t="s">
        <v>780</v>
      </c>
      <c r="B710" s="20">
        <v>46115</v>
      </c>
      <c r="C710" s="19" t="s">
        <v>31</v>
      </c>
      <c r="D710" s="19" t="s">
        <v>41</v>
      </c>
      <c r="E710" s="19" t="s">
        <v>22</v>
      </c>
      <c r="F710" s="19" t="s">
        <v>16</v>
      </c>
      <c r="G710" s="19" t="s">
        <v>57</v>
      </c>
      <c r="H710" s="19" t="s">
        <v>33</v>
      </c>
      <c r="I710" s="19">
        <v>1</v>
      </c>
      <c r="J710" s="21">
        <v>38</v>
      </c>
      <c r="K710" s="22">
        <v>0</v>
      </c>
      <c r="L710" s="21">
        <v>38</v>
      </c>
    </row>
    <row r="711" spans="1:12">
      <c r="A711" s="19" t="s">
        <v>781</v>
      </c>
      <c r="B711" s="20">
        <v>46058</v>
      </c>
      <c r="C711" s="19" t="s">
        <v>86</v>
      </c>
      <c r="D711" s="19" t="s">
        <v>14</v>
      </c>
      <c r="E711" s="19" t="s">
        <v>22</v>
      </c>
      <c r="F711" s="19" t="s">
        <v>73</v>
      </c>
      <c r="G711" s="19" t="s">
        <v>127</v>
      </c>
      <c r="H711" s="19" t="s">
        <v>87</v>
      </c>
      <c r="I711" s="19">
        <v>1</v>
      </c>
      <c r="J711" s="21">
        <v>23.75</v>
      </c>
      <c r="K711" s="22">
        <v>0.1</v>
      </c>
      <c r="L711" s="21">
        <v>21.375</v>
      </c>
    </row>
    <row r="712" spans="1:12">
      <c r="A712" s="19" t="s">
        <v>782</v>
      </c>
      <c r="B712" s="20">
        <v>46129</v>
      </c>
      <c r="C712" s="19" t="s">
        <v>13</v>
      </c>
      <c r="D712" s="19" t="s">
        <v>21</v>
      </c>
      <c r="E712" s="19" t="s">
        <v>15</v>
      </c>
      <c r="F712" s="19" t="s">
        <v>16</v>
      </c>
      <c r="G712" s="19" t="s">
        <v>69</v>
      </c>
      <c r="H712" s="19" t="s">
        <v>43</v>
      </c>
      <c r="I712" s="19">
        <v>1</v>
      </c>
      <c r="J712" s="21">
        <v>57.2</v>
      </c>
      <c r="K712" s="22">
        <v>0</v>
      </c>
      <c r="L712" s="21">
        <v>57.2</v>
      </c>
    </row>
    <row r="713" spans="1:12">
      <c r="A713" s="19" t="s">
        <v>783</v>
      </c>
      <c r="B713" s="20">
        <v>46141</v>
      </c>
      <c r="C713" s="19" t="s">
        <v>31</v>
      </c>
      <c r="D713" s="19" t="s">
        <v>21</v>
      </c>
      <c r="E713" s="19" t="s">
        <v>22</v>
      </c>
      <c r="F713" s="19" t="s">
        <v>16</v>
      </c>
      <c r="G713" s="19" t="s">
        <v>65</v>
      </c>
      <c r="H713" s="19" t="s">
        <v>79</v>
      </c>
      <c r="I713" s="19">
        <v>2</v>
      </c>
      <c r="J713" s="21">
        <v>80</v>
      </c>
      <c r="K713" s="22">
        <v>0.05</v>
      </c>
      <c r="L713" s="21">
        <v>152</v>
      </c>
    </row>
    <row r="714" spans="1:12">
      <c r="A714" s="19" t="s">
        <v>784</v>
      </c>
      <c r="B714" s="20">
        <v>46343</v>
      </c>
      <c r="C714" s="19" t="s">
        <v>31</v>
      </c>
      <c r="D714" s="19" t="s">
        <v>41</v>
      </c>
      <c r="E714" s="19" t="s">
        <v>22</v>
      </c>
      <c r="F714" s="19" t="s">
        <v>27</v>
      </c>
      <c r="G714" s="19" t="s">
        <v>36</v>
      </c>
      <c r="H714" s="19" t="s">
        <v>79</v>
      </c>
      <c r="I714" s="19">
        <v>7</v>
      </c>
      <c r="J714" s="21">
        <v>780</v>
      </c>
      <c r="K714" s="22">
        <v>0.08</v>
      </c>
      <c r="L714" s="21">
        <v>5023.2</v>
      </c>
    </row>
    <row r="715" spans="1:12">
      <c r="A715" s="19" t="s">
        <v>785</v>
      </c>
      <c r="B715" s="20">
        <v>46037</v>
      </c>
      <c r="C715" s="19" t="s">
        <v>47</v>
      </c>
      <c r="D715" s="19" t="s">
        <v>21</v>
      </c>
      <c r="E715" s="19" t="s">
        <v>22</v>
      </c>
      <c r="F715" s="19" t="s">
        <v>16</v>
      </c>
      <c r="G715" s="19" t="s">
        <v>42</v>
      </c>
      <c r="H715" s="19" t="s">
        <v>55</v>
      </c>
      <c r="I715" s="19">
        <v>2</v>
      </c>
      <c r="J715" s="21">
        <v>47.7</v>
      </c>
      <c r="K715" s="22">
        <v>0.03</v>
      </c>
      <c r="L715" s="21">
        <v>92.537999999999997</v>
      </c>
    </row>
    <row r="716" spans="1:12">
      <c r="A716" s="19" t="s">
        <v>786</v>
      </c>
      <c r="B716" s="20">
        <v>46185</v>
      </c>
      <c r="C716" s="19" t="s">
        <v>47</v>
      </c>
      <c r="D716" s="19" t="s">
        <v>14</v>
      </c>
      <c r="E716" s="19" t="s">
        <v>22</v>
      </c>
      <c r="F716" s="19" t="s">
        <v>16</v>
      </c>
      <c r="G716" s="19" t="s">
        <v>112</v>
      </c>
      <c r="H716" s="19" t="s">
        <v>50</v>
      </c>
      <c r="I716" s="19">
        <v>2</v>
      </c>
      <c r="J716" s="21">
        <v>63.05</v>
      </c>
      <c r="K716" s="22">
        <v>0.08</v>
      </c>
      <c r="L716" s="21">
        <v>116.012</v>
      </c>
    </row>
    <row r="717" spans="1:12">
      <c r="A717" s="19" t="s">
        <v>787</v>
      </c>
      <c r="B717" s="20">
        <v>46350</v>
      </c>
      <c r="C717" s="19" t="s">
        <v>20</v>
      </c>
      <c r="D717" s="19" t="s">
        <v>14</v>
      </c>
      <c r="E717" s="19" t="s">
        <v>22</v>
      </c>
      <c r="F717" s="19" t="s">
        <v>23</v>
      </c>
      <c r="G717" s="19" t="s">
        <v>138</v>
      </c>
      <c r="H717" s="19" t="s">
        <v>58</v>
      </c>
      <c r="I717" s="19">
        <v>3</v>
      </c>
      <c r="J717" s="21">
        <v>61.2</v>
      </c>
      <c r="K717" s="22">
        <v>0.2</v>
      </c>
      <c r="L717" s="21">
        <v>146.88000000000002</v>
      </c>
    </row>
    <row r="718" spans="1:12">
      <c r="A718" s="19" t="s">
        <v>788</v>
      </c>
      <c r="B718" s="20">
        <v>46181</v>
      </c>
      <c r="C718" s="19" t="s">
        <v>13</v>
      </c>
      <c r="D718" s="19" t="s">
        <v>14</v>
      </c>
      <c r="E718" s="19" t="s">
        <v>15</v>
      </c>
      <c r="F718" s="19" t="s">
        <v>27</v>
      </c>
      <c r="G718" s="19" t="s">
        <v>28</v>
      </c>
      <c r="H718" s="19" t="s">
        <v>18</v>
      </c>
      <c r="I718" s="19">
        <v>6</v>
      </c>
      <c r="J718" s="21">
        <v>19</v>
      </c>
      <c r="K718" s="22">
        <v>0.03</v>
      </c>
      <c r="L718" s="21">
        <v>110.58</v>
      </c>
    </row>
    <row r="719" spans="1:12">
      <c r="A719" s="19" t="s">
        <v>789</v>
      </c>
      <c r="B719" s="20">
        <v>46235</v>
      </c>
      <c r="C719" s="19" t="s">
        <v>47</v>
      </c>
      <c r="D719" s="19" t="s">
        <v>35</v>
      </c>
      <c r="E719" s="19" t="s">
        <v>22</v>
      </c>
      <c r="F719" s="19" t="s">
        <v>27</v>
      </c>
      <c r="G719" s="19" t="s">
        <v>155</v>
      </c>
      <c r="H719" s="19" t="s">
        <v>55</v>
      </c>
      <c r="I719" s="19">
        <v>7</v>
      </c>
      <c r="J719" s="21">
        <v>187.2</v>
      </c>
      <c r="K719" s="22">
        <v>0.1</v>
      </c>
      <c r="L719" s="21">
        <v>1179.3599999999999</v>
      </c>
    </row>
    <row r="720" spans="1:12">
      <c r="A720" s="19" t="s">
        <v>790</v>
      </c>
      <c r="B720" s="20">
        <v>46283</v>
      </c>
      <c r="C720" s="19" t="s">
        <v>31</v>
      </c>
      <c r="D720" s="19" t="s">
        <v>41</v>
      </c>
      <c r="E720" s="19" t="s">
        <v>22</v>
      </c>
      <c r="F720" s="19" t="s">
        <v>23</v>
      </c>
      <c r="G720" s="19" t="s">
        <v>138</v>
      </c>
      <c r="H720" s="19" t="s">
        <v>79</v>
      </c>
      <c r="I720" s="19">
        <v>5</v>
      </c>
      <c r="J720" s="21">
        <v>62.4</v>
      </c>
      <c r="K720" s="22">
        <v>0.05</v>
      </c>
      <c r="L720" s="21">
        <v>296.39999999999998</v>
      </c>
    </row>
    <row r="721" spans="1:12">
      <c r="A721" s="19" t="s">
        <v>791</v>
      </c>
      <c r="B721" s="20">
        <v>46352</v>
      </c>
      <c r="C721" s="19" t="s">
        <v>13</v>
      </c>
      <c r="D721" s="19" t="s">
        <v>14</v>
      </c>
      <c r="E721" s="19" t="s">
        <v>22</v>
      </c>
      <c r="F721" s="19" t="s">
        <v>27</v>
      </c>
      <c r="G721" s="19" t="s">
        <v>155</v>
      </c>
      <c r="H721" s="19" t="s">
        <v>29</v>
      </c>
      <c r="I721" s="19">
        <v>1</v>
      </c>
      <c r="J721" s="21">
        <v>171</v>
      </c>
      <c r="K721" s="22">
        <v>0</v>
      </c>
      <c r="L721" s="21">
        <v>171</v>
      </c>
    </row>
    <row r="722" spans="1:12">
      <c r="A722" s="19" t="s">
        <v>792</v>
      </c>
      <c r="B722" s="20">
        <v>46288</v>
      </c>
      <c r="C722" s="19" t="s">
        <v>86</v>
      </c>
      <c r="D722" s="19" t="s">
        <v>14</v>
      </c>
      <c r="E722" s="19" t="s">
        <v>22</v>
      </c>
      <c r="F722" s="19" t="s">
        <v>48</v>
      </c>
      <c r="G722" s="19" t="s">
        <v>96</v>
      </c>
      <c r="H722" s="19" t="s">
        <v>93</v>
      </c>
      <c r="I722" s="19">
        <v>4</v>
      </c>
      <c r="J722" s="21">
        <v>2500</v>
      </c>
      <c r="K722" s="22">
        <v>0.2</v>
      </c>
      <c r="L722" s="21">
        <v>8000</v>
      </c>
    </row>
    <row r="723" spans="1:12">
      <c r="A723" s="19" t="s">
        <v>793</v>
      </c>
      <c r="B723" s="20">
        <v>46141</v>
      </c>
      <c r="C723" s="19" t="s">
        <v>13</v>
      </c>
      <c r="D723" s="19" t="s">
        <v>21</v>
      </c>
      <c r="E723" s="19" t="s">
        <v>15</v>
      </c>
      <c r="F723" s="19" t="s">
        <v>27</v>
      </c>
      <c r="G723" s="19" t="s">
        <v>155</v>
      </c>
      <c r="H723" s="19" t="s">
        <v>29</v>
      </c>
      <c r="I723" s="19">
        <v>5</v>
      </c>
      <c r="J723" s="21">
        <v>174.6</v>
      </c>
      <c r="K723" s="22">
        <v>0.05</v>
      </c>
      <c r="L723" s="21">
        <v>829.34999999999991</v>
      </c>
    </row>
    <row r="724" spans="1:12">
      <c r="A724" s="19" t="s">
        <v>794</v>
      </c>
      <c r="B724" s="20">
        <v>46088</v>
      </c>
      <c r="C724" s="19" t="s">
        <v>13</v>
      </c>
      <c r="D724" s="19" t="s">
        <v>21</v>
      </c>
      <c r="E724" s="19" t="s">
        <v>22</v>
      </c>
      <c r="F724" s="19" t="s">
        <v>60</v>
      </c>
      <c r="G724" s="19" t="s">
        <v>91</v>
      </c>
      <c r="H724" s="19" t="s">
        <v>43</v>
      </c>
      <c r="I724" s="19">
        <v>2</v>
      </c>
      <c r="J724" s="21">
        <v>580</v>
      </c>
      <c r="K724" s="22">
        <v>0</v>
      </c>
      <c r="L724" s="21">
        <v>1160</v>
      </c>
    </row>
    <row r="725" spans="1:12">
      <c r="A725" s="19" t="s">
        <v>795</v>
      </c>
      <c r="B725" s="20">
        <v>46355</v>
      </c>
      <c r="C725" s="19" t="s">
        <v>20</v>
      </c>
      <c r="D725" s="19" t="s">
        <v>35</v>
      </c>
      <c r="E725" s="19" t="s">
        <v>15</v>
      </c>
      <c r="F725" s="19" t="s">
        <v>23</v>
      </c>
      <c r="G725" s="19" t="s">
        <v>138</v>
      </c>
      <c r="H725" s="19" t="s">
        <v>58</v>
      </c>
      <c r="I725" s="19">
        <v>2</v>
      </c>
      <c r="J725" s="21">
        <v>63.6</v>
      </c>
      <c r="K725" s="22">
        <v>0.08</v>
      </c>
      <c r="L725" s="21">
        <v>117.024</v>
      </c>
    </row>
    <row r="726" spans="1:12">
      <c r="A726" s="19" t="s">
        <v>796</v>
      </c>
      <c r="B726" s="20">
        <v>46358</v>
      </c>
      <c r="C726" s="19" t="s">
        <v>47</v>
      </c>
      <c r="D726" s="19" t="s">
        <v>14</v>
      </c>
      <c r="E726" s="19" t="s">
        <v>22</v>
      </c>
      <c r="F726" s="19" t="s">
        <v>48</v>
      </c>
      <c r="G726" s="19" t="s">
        <v>71</v>
      </c>
      <c r="H726" s="19" t="s">
        <v>50</v>
      </c>
      <c r="I726" s="19">
        <v>1</v>
      </c>
      <c r="J726" s="21">
        <v>3392</v>
      </c>
      <c r="K726" s="22">
        <v>0.08</v>
      </c>
      <c r="L726" s="21">
        <v>3120.6400000000003</v>
      </c>
    </row>
    <row r="727" spans="1:12">
      <c r="A727" s="19" t="s">
        <v>797</v>
      </c>
      <c r="B727" s="20">
        <v>46334</v>
      </c>
      <c r="C727" s="19" t="s">
        <v>31</v>
      </c>
      <c r="D727" s="19" t="s">
        <v>41</v>
      </c>
      <c r="E727" s="19" t="s">
        <v>22</v>
      </c>
      <c r="F727" s="19" t="s">
        <v>16</v>
      </c>
      <c r="G727" s="19" t="s">
        <v>69</v>
      </c>
      <c r="H727" s="19" t="s">
        <v>79</v>
      </c>
      <c r="I727" s="19">
        <v>2</v>
      </c>
      <c r="J727" s="21">
        <v>55</v>
      </c>
      <c r="K727" s="22">
        <v>0.15</v>
      </c>
      <c r="L727" s="21">
        <v>93.5</v>
      </c>
    </row>
    <row r="728" spans="1:12">
      <c r="A728" s="19" t="s">
        <v>798</v>
      </c>
      <c r="B728" s="20">
        <v>46364</v>
      </c>
      <c r="C728" s="19" t="s">
        <v>47</v>
      </c>
      <c r="D728" s="19" t="s">
        <v>21</v>
      </c>
      <c r="E728" s="19" t="s">
        <v>15</v>
      </c>
      <c r="F728" s="19" t="s">
        <v>48</v>
      </c>
      <c r="G728" s="19" t="s">
        <v>96</v>
      </c>
      <c r="H728" s="19" t="s">
        <v>50</v>
      </c>
      <c r="I728" s="19">
        <v>1</v>
      </c>
      <c r="J728" s="21">
        <v>2550</v>
      </c>
      <c r="K728" s="22">
        <v>0.1</v>
      </c>
      <c r="L728" s="21">
        <v>2295</v>
      </c>
    </row>
    <row r="729" spans="1:12">
      <c r="A729" s="19" t="s">
        <v>799</v>
      </c>
      <c r="B729" s="20">
        <v>46036</v>
      </c>
      <c r="C729" s="19" t="s">
        <v>47</v>
      </c>
      <c r="D729" s="19" t="s">
        <v>21</v>
      </c>
      <c r="E729" s="19" t="s">
        <v>22</v>
      </c>
      <c r="F729" s="19" t="s">
        <v>48</v>
      </c>
      <c r="G729" s="19" t="s">
        <v>54</v>
      </c>
      <c r="H729" s="19" t="s">
        <v>83</v>
      </c>
      <c r="I729" s="19">
        <v>1</v>
      </c>
      <c r="J729" s="21">
        <v>1800</v>
      </c>
      <c r="K729" s="22">
        <v>0.03</v>
      </c>
      <c r="L729" s="21">
        <v>1746</v>
      </c>
    </row>
    <row r="730" spans="1:12">
      <c r="A730" s="19" t="s">
        <v>800</v>
      </c>
      <c r="B730" s="20">
        <v>46353</v>
      </c>
      <c r="C730" s="19" t="s">
        <v>86</v>
      </c>
      <c r="D730" s="19" t="s">
        <v>35</v>
      </c>
      <c r="E730" s="19" t="s">
        <v>22</v>
      </c>
      <c r="F730" s="19" t="s">
        <v>73</v>
      </c>
      <c r="G730" s="19" t="s">
        <v>74</v>
      </c>
      <c r="H730" s="19" t="s">
        <v>87</v>
      </c>
      <c r="I730" s="19">
        <v>10</v>
      </c>
      <c r="J730" s="21">
        <v>8.48</v>
      </c>
      <c r="K730" s="22">
        <v>0.1</v>
      </c>
      <c r="L730" s="21">
        <v>76.320000000000007</v>
      </c>
    </row>
    <row r="731" spans="1:12">
      <c r="A731" s="19" t="s">
        <v>801</v>
      </c>
      <c r="B731" s="20">
        <v>46055</v>
      </c>
      <c r="C731" s="19" t="s">
        <v>47</v>
      </c>
      <c r="D731" s="19" t="s">
        <v>14</v>
      </c>
      <c r="E731" s="19" t="s">
        <v>22</v>
      </c>
      <c r="F731" s="19" t="s">
        <v>23</v>
      </c>
      <c r="G731" s="19" t="s">
        <v>38</v>
      </c>
      <c r="H731" s="19" t="s">
        <v>83</v>
      </c>
      <c r="I731" s="19">
        <v>6</v>
      </c>
      <c r="J731" s="21">
        <v>304</v>
      </c>
      <c r="K731" s="22">
        <v>0.05</v>
      </c>
      <c r="L731" s="21">
        <v>1732.8</v>
      </c>
    </row>
    <row r="732" spans="1:12">
      <c r="A732" s="19" t="s">
        <v>802</v>
      </c>
      <c r="B732" s="20">
        <v>46248</v>
      </c>
      <c r="C732" s="19" t="s">
        <v>31</v>
      </c>
      <c r="D732" s="19" t="s">
        <v>35</v>
      </c>
      <c r="E732" s="19" t="s">
        <v>22</v>
      </c>
      <c r="F732" s="19" t="s">
        <v>48</v>
      </c>
      <c r="G732" s="19" t="s">
        <v>49</v>
      </c>
      <c r="H732" s="19" t="s">
        <v>79</v>
      </c>
      <c r="I732" s="19">
        <v>1</v>
      </c>
      <c r="J732" s="21">
        <v>4368</v>
      </c>
      <c r="K732" s="22">
        <v>0.1</v>
      </c>
      <c r="L732" s="21">
        <v>3931.2000000000003</v>
      </c>
    </row>
    <row r="733" spans="1:12">
      <c r="A733" s="19" t="s">
        <v>803</v>
      </c>
      <c r="B733" s="20">
        <v>46352</v>
      </c>
      <c r="C733" s="19" t="s">
        <v>13</v>
      </c>
      <c r="D733" s="19" t="s">
        <v>14</v>
      </c>
      <c r="E733" s="19" t="s">
        <v>22</v>
      </c>
      <c r="F733" s="19" t="s">
        <v>23</v>
      </c>
      <c r="G733" s="19" t="s">
        <v>52</v>
      </c>
      <c r="H733" s="19" t="s">
        <v>18</v>
      </c>
      <c r="I733" s="19">
        <v>3</v>
      </c>
      <c r="J733" s="21">
        <v>459</v>
      </c>
      <c r="K733" s="22">
        <v>0.1</v>
      </c>
      <c r="L733" s="21">
        <v>1239.3</v>
      </c>
    </row>
    <row r="734" spans="1:12">
      <c r="A734" s="19" t="s">
        <v>804</v>
      </c>
      <c r="B734" s="20">
        <v>46184</v>
      </c>
      <c r="C734" s="19" t="s">
        <v>20</v>
      </c>
      <c r="D734" s="19" t="s">
        <v>14</v>
      </c>
      <c r="E734" s="19" t="s">
        <v>15</v>
      </c>
      <c r="F734" s="19" t="s">
        <v>23</v>
      </c>
      <c r="G734" s="19" t="s">
        <v>38</v>
      </c>
      <c r="H734" s="19" t="s">
        <v>63</v>
      </c>
      <c r="I734" s="19">
        <v>3</v>
      </c>
      <c r="J734" s="21">
        <v>320</v>
      </c>
      <c r="K734" s="22">
        <v>0.05</v>
      </c>
      <c r="L734" s="21">
        <v>912</v>
      </c>
    </row>
    <row r="735" spans="1:12">
      <c r="A735" s="19" t="s">
        <v>805</v>
      </c>
      <c r="B735" s="20">
        <v>46193</v>
      </c>
      <c r="C735" s="19" t="s">
        <v>20</v>
      </c>
      <c r="D735" s="19" t="s">
        <v>14</v>
      </c>
      <c r="E735" s="19" t="s">
        <v>22</v>
      </c>
      <c r="F735" s="19" t="s">
        <v>16</v>
      </c>
      <c r="G735" s="19" t="s">
        <v>57</v>
      </c>
      <c r="H735" s="19" t="s">
        <v>63</v>
      </c>
      <c r="I735" s="19">
        <v>3</v>
      </c>
      <c r="J735" s="21">
        <v>39.520000000000003</v>
      </c>
      <c r="K735" s="22">
        <v>0.1</v>
      </c>
      <c r="L735" s="21">
        <v>106.70400000000001</v>
      </c>
    </row>
    <row r="736" spans="1:12">
      <c r="A736" s="19" t="s">
        <v>806</v>
      </c>
      <c r="B736" s="20">
        <v>46171</v>
      </c>
      <c r="C736" s="19" t="s">
        <v>20</v>
      </c>
      <c r="D736" s="19" t="s">
        <v>14</v>
      </c>
      <c r="E736" s="19" t="s">
        <v>22</v>
      </c>
      <c r="F736" s="19" t="s">
        <v>23</v>
      </c>
      <c r="G736" s="19" t="s">
        <v>138</v>
      </c>
      <c r="H736" s="19" t="s">
        <v>58</v>
      </c>
      <c r="I736" s="19">
        <v>7</v>
      </c>
      <c r="J736" s="21">
        <v>61.2</v>
      </c>
      <c r="K736" s="22">
        <v>0.05</v>
      </c>
      <c r="L736" s="21">
        <v>406.98</v>
      </c>
    </row>
    <row r="737" spans="1:12">
      <c r="A737" s="19" t="s">
        <v>807</v>
      </c>
      <c r="B737" s="20">
        <v>46267</v>
      </c>
      <c r="C737" s="19" t="s">
        <v>31</v>
      </c>
      <c r="D737" s="19" t="s">
        <v>41</v>
      </c>
      <c r="E737" s="19" t="s">
        <v>22</v>
      </c>
      <c r="F737" s="19" t="s">
        <v>16</v>
      </c>
      <c r="G737" s="19" t="s">
        <v>57</v>
      </c>
      <c r="H737" s="19" t="s">
        <v>79</v>
      </c>
      <c r="I737" s="19">
        <v>7</v>
      </c>
      <c r="J737" s="21">
        <v>38</v>
      </c>
      <c r="K737" s="22">
        <v>0.1</v>
      </c>
      <c r="L737" s="21">
        <v>239.4</v>
      </c>
    </row>
    <row r="738" spans="1:12">
      <c r="A738" s="19" t="s">
        <v>808</v>
      </c>
      <c r="B738" s="20">
        <v>46306</v>
      </c>
      <c r="C738" s="19" t="s">
        <v>31</v>
      </c>
      <c r="D738" s="19" t="s">
        <v>21</v>
      </c>
      <c r="E738" s="19" t="s">
        <v>22</v>
      </c>
      <c r="F738" s="19" t="s">
        <v>60</v>
      </c>
      <c r="G738" s="19" t="s">
        <v>67</v>
      </c>
      <c r="H738" s="19" t="s">
        <v>79</v>
      </c>
      <c r="I738" s="19">
        <v>2</v>
      </c>
      <c r="J738" s="21">
        <v>1530</v>
      </c>
      <c r="K738" s="22">
        <v>0.05</v>
      </c>
      <c r="L738" s="21">
        <v>2907</v>
      </c>
    </row>
    <row r="739" spans="1:12">
      <c r="A739" s="19" t="s">
        <v>809</v>
      </c>
      <c r="B739" s="20">
        <v>46079</v>
      </c>
      <c r="C739" s="19" t="s">
        <v>47</v>
      </c>
      <c r="D739" s="19" t="s">
        <v>21</v>
      </c>
      <c r="E739" s="19" t="s">
        <v>22</v>
      </c>
      <c r="F739" s="19" t="s">
        <v>23</v>
      </c>
      <c r="G739" s="19" t="s">
        <v>38</v>
      </c>
      <c r="H739" s="19" t="s">
        <v>55</v>
      </c>
      <c r="I739" s="19">
        <v>3</v>
      </c>
      <c r="J739" s="21">
        <v>339.2</v>
      </c>
      <c r="K739" s="22">
        <v>0.03</v>
      </c>
      <c r="L739" s="21">
        <v>987.07199999999989</v>
      </c>
    </row>
    <row r="740" spans="1:12">
      <c r="A740" s="19" t="s">
        <v>810</v>
      </c>
      <c r="B740" s="20">
        <v>46322</v>
      </c>
      <c r="C740" s="19" t="s">
        <v>86</v>
      </c>
      <c r="D740" s="19" t="s">
        <v>35</v>
      </c>
      <c r="E740" s="19" t="s">
        <v>15</v>
      </c>
      <c r="F740" s="19" t="s">
        <v>48</v>
      </c>
      <c r="G740" s="19" t="s">
        <v>71</v>
      </c>
      <c r="H740" s="19" t="s">
        <v>87</v>
      </c>
      <c r="I740" s="19">
        <v>1</v>
      </c>
      <c r="J740" s="21">
        <v>3264</v>
      </c>
      <c r="K740" s="22">
        <v>0.05</v>
      </c>
      <c r="L740" s="21">
        <v>3100.7999999999997</v>
      </c>
    </row>
    <row r="741" spans="1:12">
      <c r="A741" s="19" t="s">
        <v>811</v>
      </c>
      <c r="B741" s="20">
        <v>46063</v>
      </c>
      <c r="C741" s="19" t="s">
        <v>20</v>
      </c>
      <c r="D741" s="19" t="s">
        <v>21</v>
      </c>
      <c r="E741" s="19" t="s">
        <v>22</v>
      </c>
      <c r="F741" s="19" t="s">
        <v>48</v>
      </c>
      <c r="G741" s="19" t="s">
        <v>71</v>
      </c>
      <c r="H741" s="19" t="s">
        <v>63</v>
      </c>
      <c r="I741" s="19">
        <v>1</v>
      </c>
      <c r="J741" s="21">
        <v>3200</v>
      </c>
      <c r="K741" s="22">
        <v>0</v>
      </c>
      <c r="L741" s="21">
        <v>3200</v>
      </c>
    </row>
    <row r="742" spans="1:12">
      <c r="A742" s="19" t="s">
        <v>812</v>
      </c>
      <c r="B742" s="20">
        <v>46276</v>
      </c>
      <c r="C742" s="19" t="s">
        <v>47</v>
      </c>
      <c r="D742" s="19" t="s">
        <v>14</v>
      </c>
      <c r="E742" s="19" t="s">
        <v>15</v>
      </c>
      <c r="F742" s="19" t="s">
        <v>16</v>
      </c>
      <c r="G742" s="19" t="s">
        <v>57</v>
      </c>
      <c r="H742" s="19" t="s">
        <v>83</v>
      </c>
      <c r="I742" s="19">
        <v>1</v>
      </c>
      <c r="J742" s="21">
        <v>36.86</v>
      </c>
      <c r="K742" s="22">
        <v>0.08</v>
      </c>
      <c r="L742" s="21">
        <v>33.911200000000001</v>
      </c>
    </row>
    <row r="743" spans="1:12">
      <c r="A743" s="19" t="s">
        <v>813</v>
      </c>
      <c r="B743" s="20">
        <v>46294</v>
      </c>
      <c r="C743" s="19" t="s">
        <v>31</v>
      </c>
      <c r="D743" s="19" t="s">
        <v>41</v>
      </c>
      <c r="E743" s="19" t="s">
        <v>15</v>
      </c>
      <c r="F743" s="19" t="s">
        <v>16</v>
      </c>
      <c r="G743" s="19" t="s">
        <v>57</v>
      </c>
      <c r="H743" s="19" t="s">
        <v>39</v>
      </c>
      <c r="I743" s="19">
        <v>7</v>
      </c>
      <c r="J743" s="21">
        <v>38</v>
      </c>
      <c r="K743" s="22">
        <v>0.2</v>
      </c>
      <c r="L743" s="21">
        <v>212.8</v>
      </c>
    </row>
    <row r="744" spans="1:12">
      <c r="A744" s="19" t="s">
        <v>814</v>
      </c>
      <c r="B744" s="20">
        <v>46355</v>
      </c>
      <c r="C744" s="19" t="s">
        <v>13</v>
      </c>
      <c r="D744" s="19" t="s">
        <v>14</v>
      </c>
      <c r="E744" s="19" t="s">
        <v>22</v>
      </c>
      <c r="F744" s="19" t="s">
        <v>16</v>
      </c>
      <c r="G744" s="19" t="s">
        <v>112</v>
      </c>
      <c r="H744" s="19" t="s">
        <v>29</v>
      </c>
      <c r="I744" s="19">
        <v>3</v>
      </c>
      <c r="J744" s="21">
        <v>65</v>
      </c>
      <c r="K744" s="22">
        <v>0.1</v>
      </c>
      <c r="L744" s="21">
        <v>175.5</v>
      </c>
    </row>
    <row r="745" spans="1:12">
      <c r="A745" s="19" t="s">
        <v>815</v>
      </c>
      <c r="B745" s="20">
        <v>46255</v>
      </c>
      <c r="C745" s="19" t="s">
        <v>86</v>
      </c>
      <c r="D745" s="19" t="s">
        <v>14</v>
      </c>
      <c r="E745" s="19" t="s">
        <v>22</v>
      </c>
      <c r="F745" s="19" t="s">
        <v>16</v>
      </c>
      <c r="G745" s="19" t="s">
        <v>65</v>
      </c>
      <c r="H745" s="19" t="s">
        <v>93</v>
      </c>
      <c r="I745" s="19">
        <v>4</v>
      </c>
      <c r="J745" s="21">
        <v>80</v>
      </c>
      <c r="K745" s="22">
        <v>0.03</v>
      </c>
      <c r="L745" s="21">
        <v>310.39999999999998</v>
      </c>
    </row>
    <row r="746" spans="1:12">
      <c r="A746" s="19" t="s">
        <v>816</v>
      </c>
      <c r="B746" s="20">
        <v>46243</v>
      </c>
      <c r="C746" s="19" t="s">
        <v>47</v>
      </c>
      <c r="D746" s="19" t="s">
        <v>41</v>
      </c>
      <c r="E746" s="19" t="s">
        <v>22</v>
      </c>
      <c r="F746" s="19" t="s">
        <v>73</v>
      </c>
      <c r="G746" s="19" t="s">
        <v>81</v>
      </c>
      <c r="H746" s="19" t="s">
        <v>55</v>
      </c>
      <c r="I746" s="19">
        <v>4</v>
      </c>
      <c r="J746" s="21">
        <v>11.64</v>
      </c>
      <c r="K746" s="22">
        <v>0.1</v>
      </c>
      <c r="L746" s="21">
        <v>41.904000000000003</v>
      </c>
    </row>
    <row r="747" spans="1:12">
      <c r="A747" s="19" t="s">
        <v>817</v>
      </c>
      <c r="B747" s="20">
        <v>46039</v>
      </c>
      <c r="C747" s="19" t="s">
        <v>86</v>
      </c>
      <c r="D747" s="19" t="s">
        <v>41</v>
      </c>
      <c r="E747" s="19" t="s">
        <v>22</v>
      </c>
      <c r="F747" s="19" t="s">
        <v>48</v>
      </c>
      <c r="G747" s="19" t="s">
        <v>99</v>
      </c>
      <c r="H747" s="19" t="s">
        <v>87</v>
      </c>
      <c r="I747" s="19">
        <v>1</v>
      </c>
      <c r="J747" s="21">
        <v>3180</v>
      </c>
      <c r="K747" s="22">
        <v>0.1</v>
      </c>
      <c r="L747" s="21">
        <v>2862</v>
      </c>
    </row>
    <row r="748" spans="1:12">
      <c r="A748" s="19" t="s">
        <v>818</v>
      </c>
      <c r="B748" s="20">
        <v>46288</v>
      </c>
      <c r="C748" s="19" t="s">
        <v>47</v>
      </c>
      <c r="D748" s="19" t="s">
        <v>21</v>
      </c>
      <c r="E748" s="19" t="s">
        <v>22</v>
      </c>
      <c r="F748" s="19" t="s">
        <v>23</v>
      </c>
      <c r="G748" s="19" t="s">
        <v>52</v>
      </c>
      <c r="H748" s="19" t="s">
        <v>50</v>
      </c>
      <c r="I748" s="19">
        <v>1</v>
      </c>
      <c r="J748" s="21">
        <v>450</v>
      </c>
      <c r="K748" s="22">
        <v>0.03</v>
      </c>
      <c r="L748" s="21">
        <v>436.5</v>
      </c>
    </row>
    <row r="749" spans="1:12">
      <c r="A749" s="19" t="s">
        <v>819</v>
      </c>
      <c r="B749" s="20">
        <v>46183</v>
      </c>
      <c r="C749" s="19" t="s">
        <v>20</v>
      </c>
      <c r="D749" s="19" t="s">
        <v>14</v>
      </c>
      <c r="E749" s="19" t="s">
        <v>15</v>
      </c>
      <c r="F749" s="19" t="s">
        <v>73</v>
      </c>
      <c r="G749" s="19" t="s">
        <v>129</v>
      </c>
      <c r="H749" s="19" t="s">
        <v>63</v>
      </c>
      <c r="I749" s="19">
        <v>1</v>
      </c>
      <c r="J749" s="21">
        <v>33.950000000000003</v>
      </c>
      <c r="K749" s="22">
        <v>0.03</v>
      </c>
      <c r="L749" s="21">
        <v>32.9315</v>
      </c>
    </row>
    <row r="750" spans="1:12">
      <c r="A750" s="19" t="s">
        <v>820</v>
      </c>
      <c r="B750" s="20">
        <v>46211</v>
      </c>
      <c r="C750" s="19" t="s">
        <v>20</v>
      </c>
      <c r="D750" s="19" t="s">
        <v>21</v>
      </c>
      <c r="E750" s="19" t="s">
        <v>22</v>
      </c>
      <c r="F750" s="19" t="s">
        <v>60</v>
      </c>
      <c r="G750" s="19" t="s">
        <v>76</v>
      </c>
      <c r="H750" s="19" t="s">
        <v>63</v>
      </c>
      <c r="I750" s="19">
        <v>1</v>
      </c>
      <c r="J750" s="21">
        <v>728</v>
      </c>
      <c r="K750" s="22">
        <v>0.1</v>
      </c>
      <c r="L750" s="21">
        <v>655.20000000000005</v>
      </c>
    </row>
    <row r="751" spans="1:12">
      <c r="A751" s="19" t="s">
        <v>821</v>
      </c>
      <c r="B751" s="20">
        <v>46113</v>
      </c>
      <c r="C751" s="19" t="s">
        <v>31</v>
      </c>
      <c r="D751" s="19" t="s">
        <v>14</v>
      </c>
      <c r="E751" s="19" t="s">
        <v>22</v>
      </c>
      <c r="F751" s="19" t="s">
        <v>48</v>
      </c>
      <c r="G751" s="19" t="s">
        <v>71</v>
      </c>
      <c r="H751" s="19" t="s">
        <v>39</v>
      </c>
      <c r="I751" s="19">
        <v>2</v>
      </c>
      <c r="J751" s="21">
        <v>3200</v>
      </c>
      <c r="K751" s="22">
        <v>0.05</v>
      </c>
      <c r="L751" s="21">
        <v>6080</v>
      </c>
    </row>
    <row r="752" spans="1:12">
      <c r="A752" s="19" t="s">
        <v>822</v>
      </c>
      <c r="B752" s="20">
        <v>46062</v>
      </c>
      <c r="C752" s="19" t="s">
        <v>47</v>
      </c>
      <c r="D752" s="19" t="s">
        <v>14</v>
      </c>
      <c r="E752" s="19" t="s">
        <v>15</v>
      </c>
      <c r="F752" s="19" t="s">
        <v>16</v>
      </c>
      <c r="G752" s="19" t="s">
        <v>112</v>
      </c>
      <c r="H752" s="19" t="s">
        <v>83</v>
      </c>
      <c r="I752" s="19">
        <v>1</v>
      </c>
      <c r="J752" s="21">
        <v>66.3</v>
      </c>
      <c r="K752" s="22">
        <v>0.03</v>
      </c>
      <c r="L752" s="21">
        <v>64.310999999999993</v>
      </c>
    </row>
    <row r="753" spans="1:12">
      <c r="A753" s="19" t="s">
        <v>823</v>
      </c>
      <c r="B753" s="20">
        <v>46320</v>
      </c>
      <c r="C753" s="19" t="s">
        <v>13</v>
      </c>
      <c r="D753" s="19" t="s">
        <v>14</v>
      </c>
      <c r="E753" s="19" t="s">
        <v>22</v>
      </c>
      <c r="F753" s="19" t="s">
        <v>27</v>
      </c>
      <c r="G753" s="19" t="s">
        <v>28</v>
      </c>
      <c r="H753" s="19" t="s">
        <v>29</v>
      </c>
      <c r="I753" s="19">
        <v>4</v>
      </c>
      <c r="J753" s="21">
        <v>19</v>
      </c>
      <c r="K753" s="22">
        <v>0.03</v>
      </c>
      <c r="L753" s="21">
        <v>73.72</v>
      </c>
    </row>
    <row r="754" spans="1:12">
      <c r="A754" s="19" t="s">
        <v>824</v>
      </c>
      <c r="B754" s="20">
        <v>46308</v>
      </c>
      <c r="C754" s="19" t="s">
        <v>47</v>
      </c>
      <c r="D754" s="19" t="s">
        <v>41</v>
      </c>
      <c r="E754" s="19" t="s">
        <v>22</v>
      </c>
      <c r="F754" s="19" t="s">
        <v>16</v>
      </c>
      <c r="G754" s="19" t="s">
        <v>17</v>
      </c>
      <c r="H754" s="19" t="s">
        <v>55</v>
      </c>
      <c r="I754" s="19">
        <v>5</v>
      </c>
      <c r="J754" s="21">
        <v>15</v>
      </c>
      <c r="K754" s="22">
        <v>0.03</v>
      </c>
      <c r="L754" s="21">
        <v>72.75</v>
      </c>
    </row>
    <row r="755" spans="1:12">
      <c r="A755" s="19" t="s">
        <v>825</v>
      </c>
      <c r="B755" s="20">
        <v>46311</v>
      </c>
      <c r="C755" s="19" t="s">
        <v>31</v>
      </c>
      <c r="D755" s="19" t="s">
        <v>21</v>
      </c>
      <c r="E755" s="19" t="s">
        <v>22</v>
      </c>
      <c r="F755" s="19" t="s">
        <v>60</v>
      </c>
      <c r="G755" s="19" t="s">
        <v>76</v>
      </c>
      <c r="H755" s="19" t="s">
        <v>79</v>
      </c>
      <c r="I755" s="19">
        <v>3</v>
      </c>
      <c r="J755" s="21">
        <v>714</v>
      </c>
      <c r="K755" s="22">
        <v>0.03</v>
      </c>
      <c r="L755" s="21">
        <v>2077.7399999999998</v>
      </c>
    </row>
    <row r="756" spans="1:12">
      <c r="A756" s="19" t="s">
        <v>826</v>
      </c>
      <c r="B756" s="20">
        <v>46196</v>
      </c>
      <c r="C756" s="19" t="s">
        <v>86</v>
      </c>
      <c r="D756" s="19" t="s">
        <v>21</v>
      </c>
      <c r="E756" s="19" t="s">
        <v>22</v>
      </c>
      <c r="F756" s="19" t="s">
        <v>16</v>
      </c>
      <c r="G756" s="19" t="s">
        <v>112</v>
      </c>
      <c r="H756" s="19" t="s">
        <v>102</v>
      </c>
      <c r="I756" s="19">
        <v>2</v>
      </c>
      <c r="J756" s="21">
        <v>65</v>
      </c>
      <c r="K756" s="22">
        <v>0.1</v>
      </c>
      <c r="L756" s="21">
        <v>117</v>
      </c>
    </row>
    <row r="757" spans="1:12">
      <c r="A757" s="19" t="s">
        <v>827</v>
      </c>
      <c r="B757" s="20">
        <v>46353</v>
      </c>
      <c r="C757" s="19" t="s">
        <v>86</v>
      </c>
      <c r="D757" s="19" t="s">
        <v>14</v>
      </c>
      <c r="E757" s="19" t="s">
        <v>22</v>
      </c>
      <c r="F757" s="19" t="s">
        <v>23</v>
      </c>
      <c r="G757" s="19" t="s">
        <v>138</v>
      </c>
      <c r="H757" s="19" t="s">
        <v>93</v>
      </c>
      <c r="I757" s="19">
        <v>3</v>
      </c>
      <c r="J757" s="21">
        <v>61.2</v>
      </c>
      <c r="K757" s="22">
        <v>0.1</v>
      </c>
      <c r="L757" s="21">
        <v>165.24000000000004</v>
      </c>
    </row>
    <row r="758" spans="1:12">
      <c r="A758" s="19" t="s">
        <v>828</v>
      </c>
      <c r="B758" s="20">
        <v>46361</v>
      </c>
      <c r="C758" s="19" t="s">
        <v>47</v>
      </c>
      <c r="D758" s="19" t="s">
        <v>41</v>
      </c>
      <c r="E758" s="19" t="s">
        <v>22</v>
      </c>
      <c r="F758" s="19" t="s">
        <v>73</v>
      </c>
      <c r="G758" s="19" t="s">
        <v>74</v>
      </c>
      <c r="H758" s="19" t="s">
        <v>83</v>
      </c>
      <c r="I758" s="19">
        <v>8</v>
      </c>
      <c r="J758" s="21">
        <v>8.32</v>
      </c>
      <c r="K758" s="22">
        <v>0.05</v>
      </c>
      <c r="L758" s="21">
        <v>63.231999999999999</v>
      </c>
    </row>
    <row r="759" spans="1:12">
      <c r="A759" s="19" t="s">
        <v>829</v>
      </c>
      <c r="B759" s="20">
        <v>46035</v>
      </c>
      <c r="C759" s="19" t="s">
        <v>31</v>
      </c>
      <c r="D759" s="19" t="s">
        <v>14</v>
      </c>
      <c r="E759" s="19" t="s">
        <v>22</v>
      </c>
      <c r="F759" s="19" t="s">
        <v>60</v>
      </c>
      <c r="G759" s="19" t="s">
        <v>67</v>
      </c>
      <c r="H759" s="19" t="s">
        <v>79</v>
      </c>
      <c r="I759" s="19">
        <v>1</v>
      </c>
      <c r="J759" s="21">
        <v>1455</v>
      </c>
      <c r="K759" s="22">
        <v>0.08</v>
      </c>
      <c r="L759" s="21">
        <v>1338.6000000000001</v>
      </c>
    </row>
    <row r="760" spans="1:12">
      <c r="A760" s="19" t="s">
        <v>830</v>
      </c>
      <c r="B760" s="20">
        <v>46045</v>
      </c>
      <c r="C760" s="19" t="s">
        <v>20</v>
      </c>
      <c r="D760" s="19" t="s">
        <v>14</v>
      </c>
      <c r="E760" s="19" t="s">
        <v>15</v>
      </c>
      <c r="F760" s="19" t="s">
        <v>27</v>
      </c>
      <c r="G760" s="19" t="s">
        <v>155</v>
      </c>
      <c r="H760" s="19" t="s">
        <v>58</v>
      </c>
      <c r="I760" s="19">
        <v>1</v>
      </c>
      <c r="J760" s="21">
        <v>180</v>
      </c>
      <c r="K760" s="22">
        <v>0.03</v>
      </c>
      <c r="L760" s="21">
        <v>174.6</v>
      </c>
    </row>
    <row r="761" spans="1:12">
      <c r="A761" s="19" t="s">
        <v>831</v>
      </c>
      <c r="B761" s="20">
        <v>46024</v>
      </c>
      <c r="C761" s="19" t="s">
        <v>86</v>
      </c>
      <c r="D761" s="19" t="s">
        <v>14</v>
      </c>
      <c r="E761" s="19" t="s">
        <v>15</v>
      </c>
      <c r="F761" s="19" t="s">
        <v>27</v>
      </c>
      <c r="G761" s="19" t="s">
        <v>155</v>
      </c>
      <c r="H761" s="19" t="s">
        <v>102</v>
      </c>
      <c r="I761" s="19">
        <v>8</v>
      </c>
      <c r="J761" s="21">
        <v>180</v>
      </c>
      <c r="K761" s="22">
        <v>0</v>
      </c>
      <c r="L761" s="21">
        <v>1440</v>
      </c>
    </row>
    <row r="762" spans="1:12">
      <c r="A762" s="19" t="s">
        <v>832</v>
      </c>
      <c r="B762" s="20">
        <v>46176</v>
      </c>
      <c r="C762" s="19" t="s">
        <v>86</v>
      </c>
      <c r="D762" s="19" t="s">
        <v>41</v>
      </c>
      <c r="E762" s="19" t="s">
        <v>15</v>
      </c>
      <c r="F762" s="19" t="s">
        <v>73</v>
      </c>
      <c r="G762" s="19" t="s">
        <v>129</v>
      </c>
      <c r="H762" s="19" t="s">
        <v>93</v>
      </c>
      <c r="I762" s="19">
        <v>5</v>
      </c>
      <c r="J762" s="21">
        <v>36.4</v>
      </c>
      <c r="K762" s="22">
        <v>0.1</v>
      </c>
      <c r="L762" s="21">
        <v>163.80000000000001</v>
      </c>
    </row>
    <row r="763" spans="1:12">
      <c r="A763" s="19" t="s">
        <v>833</v>
      </c>
      <c r="B763" s="20">
        <v>46265</v>
      </c>
      <c r="C763" s="19" t="s">
        <v>86</v>
      </c>
      <c r="D763" s="19" t="s">
        <v>14</v>
      </c>
      <c r="E763" s="19" t="s">
        <v>22</v>
      </c>
      <c r="F763" s="19" t="s">
        <v>60</v>
      </c>
      <c r="G763" s="19" t="s">
        <v>61</v>
      </c>
      <c r="H763" s="19" t="s">
        <v>102</v>
      </c>
      <c r="I763" s="19">
        <v>5</v>
      </c>
      <c r="J763" s="21">
        <v>807.5</v>
      </c>
      <c r="K763" s="22">
        <v>0.05</v>
      </c>
      <c r="L763" s="21">
        <v>3835.625</v>
      </c>
    </row>
    <row r="764" spans="1:12">
      <c r="A764" s="19" t="s">
        <v>834</v>
      </c>
      <c r="B764" s="20">
        <v>46242</v>
      </c>
      <c r="C764" s="19" t="s">
        <v>20</v>
      </c>
      <c r="D764" s="19" t="s">
        <v>41</v>
      </c>
      <c r="E764" s="19" t="s">
        <v>22</v>
      </c>
      <c r="F764" s="19" t="s">
        <v>60</v>
      </c>
      <c r="G764" s="19" t="s">
        <v>91</v>
      </c>
      <c r="H764" s="19" t="s">
        <v>63</v>
      </c>
      <c r="I764" s="19">
        <v>1</v>
      </c>
      <c r="J764" s="21">
        <v>562.6</v>
      </c>
      <c r="K764" s="22">
        <v>0.15</v>
      </c>
      <c r="L764" s="21">
        <v>478.21</v>
      </c>
    </row>
    <row r="765" spans="1:12">
      <c r="A765" s="19" t="s">
        <v>835</v>
      </c>
      <c r="B765" s="20">
        <v>46169</v>
      </c>
      <c r="C765" s="19" t="s">
        <v>13</v>
      </c>
      <c r="D765" s="19" t="s">
        <v>14</v>
      </c>
      <c r="E765" s="19" t="s">
        <v>22</v>
      </c>
      <c r="F765" s="19" t="s">
        <v>73</v>
      </c>
      <c r="G765" s="19" t="s">
        <v>81</v>
      </c>
      <c r="H765" s="19" t="s">
        <v>43</v>
      </c>
      <c r="I765" s="19">
        <v>1</v>
      </c>
      <c r="J765" s="21">
        <v>12.48</v>
      </c>
      <c r="K765" s="22">
        <v>0.15</v>
      </c>
      <c r="L765" s="21">
        <v>10.608000000000001</v>
      </c>
    </row>
    <row r="766" spans="1:12">
      <c r="A766" s="19" t="s">
        <v>836</v>
      </c>
      <c r="B766" s="20">
        <v>46186</v>
      </c>
      <c r="C766" s="19" t="s">
        <v>47</v>
      </c>
      <c r="D766" s="19" t="s">
        <v>14</v>
      </c>
      <c r="E766" s="19" t="s">
        <v>22</v>
      </c>
      <c r="F766" s="19" t="s">
        <v>48</v>
      </c>
      <c r="G766" s="19" t="s">
        <v>71</v>
      </c>
      <c r="H766" s="19" t="s">
        <v>55</v>
      </c>
      <c r="I766" s="19">
        <v>2</v>
      </c>
      <c r="J766" s="21">
        <v>3200</v>
      </c>
      <c r="K766" s="22">
        <v>0.03</v>
      </c>
      <c r="L766" s="21">
        <v>6208</v>
      </c>
    </row>
    <row r="767" spans="1:12">
      <c r="A767" s="19" t="s">
        <v>837</v>
      </c>
      <c r="B767" s="20">
        <v>46225</v>
      </c>
      <c r="C767" s="19" t="s">
        <v>47</v>
      </c>
      <c r="D767" s="19" t="s">
        <v>35</v>
      </c>
      <c r="E767" s="19" t="s">
        <v>22</v>
      </c>
      <c r="F767" s="19" t="s">
        <v>48</v>
      </c>
      <c r="G767" s="19" t="s">
        <v>49</v>
      </c>
      <c r="H767" s="19" t="s">
        <v>83</v>
      </c>
      <c r="I767" s="19">
        <v>4</v>
      </c>
      <c r="J767" s="21">
        <v>4368</v>
      </c>
      <c r="K767" s="22">
        <v>0.08</v>
      </c>
      <c r="L767" s="21">
        <v>16074.240000000002</v>
      </c>
    </row>
    <row r="768" spans="1:12">
      <c r="A768" s="19" t="s">
        <v>838</v>
      </c>
      <c r="B768" s="20">
        <v>46057</v>
      </c>
      <c r="C768" s="19" t="s">
        <v>20</v>
      </c>
      <c r="D768" s="19" t="s">
        <v>35</v>
      </c>
      <c r="E768" s="19" t="s">
        <v>22</v>
      </c>
      <c r="F768" s="19" t="s">
        <v>48</v>
      </c>
      <c r="G768" s="19" t="s">
        <v>96</v>
      </c>
      <c r="H768" s="19" t="s">
        <v>58</v>
      </c>
      <c r="I768" s="19">
        <v>1</v>
      </c>
      <c r="J768" s="21">
        <v>2375</v>
      </c>
      <c r="K768" s="22">
        <v>0</v>
      </c>
      <c r="L768" s="21">
        <v>2375</v>
      </c>
    </row>
    <row r="769" spans="1:12">
      <c r="A769" s="19" t="s">
        <v>839</v>
      </c>
      <c r="B769" s="20">
        <v>46280</v>
      </c>
      <c r="C769" s="19" t="s">
        <v>86</v>
      </c>
      <c r="D769" s="19" t="s">
        <v>35</v>
      </c>
      <c r="E769" s="19" t="s">
        <v>22</v>
      </c>
      <c r="F769" s="19" t="s">
        <v>60</v>
      </c>
      <c r="G769" s="19" t="s">
        <v>91</v>
      </c>
      <c r="H769" s="19" t="s">
        <v>102</v>
      </c>
      <c r="I769" s="19">
        <v>1</v>
      </c>
      <c r="J769" s="21">
        <v>580</v>
      </c>
      <c r="K769" s="22">
        <v>0.15</v>
      </c>
      <c r="L769" s="21">
        <v>493</v>
      </c>
    </row>
    <row r="770" spans="1:12">
      <c r="A770" s="19" t="s">
        <v>840</v>
      </c>
      <c r="B770" s="20">
        <v>46280</v>
      </c>
      <c r="C770" s="19" t="s">
        <v>20</v>
      </c>
      <c r="D770" s="19" t="s">
        <v>14</v>
      </c>
      <c r="E770" s="19" t="s">
        <v>22</v>
      </c>
      <c r="F770" s="19" t="s">
        <v>16</v>
      </c>
      <c r="G770" s="19" t="s">
        <v>69</v>
      </c>
      <c r="H770" s="19" t="s">
        <v>25</v>
      </c>
      <c r="I770" s="19">
        <v>2</v>
      </c>
      <c r="J770" s="21">
        <v>55</v>
      </c>
      <c r="K770" s="22">
        <v>0.03</v>
      </c>
      <c r="L770" s="21">
        <v>106.7</v>
      </c>
    </row>
    <row r="771" spans="1:12">
      <c r="A771" s="19" t="s">
        <v>841</v>
      </c>
      <c r="B771" s="20">
        <v>46082</v>
      </c>
      <c r="C771" s="19" t="s">
        <v>20</v>
      </c>
      <c r="D771" s="19" t="s">
        <v>14</v>
      </c>
      <c r="E771" s="19" t="s">
        <v>15</v>
      </c>
      <c r="F771" s="19" t="s">
        <v>23</v>
      </c>
      <c r="G771" s="19" t="s">
        <v>38</v>
      </c>
      <c r="H771" s="19" t="s">
        <v>63</v>
      </c>
      <c r="I771" s="19">
        <v>4</v>
      </c>
      <c r="J771" s="21">
        <v>310.39999999999998</v>
      </c>
      <c r="K771" s="22">
        <v>0</v>
      </c>
      <c r="L771" s="21">
        <v>1241.5999999999999</v>
      </c>
    </row>
    <row r="772" spans="1:12">
      <c r="A772" s="19" t="s">
        <v>842</v>
      </c>
      <c r="B772" s="20">
        <v>46093</v>
      </c>
      <c r="C772" s="19" t="s">
        <v>31</v>
      </c>
      <c r="D772" s="19" t="s">
        <v>35</v>
      </c>
      <c r="E772" s="19" t="s">
        <v>22</v>
      </c>
      <c r="F772" s="19" t="s">
        <v>60</v>
      </c>
      <c r="G772" s="19" t="s">
        <v>76</v>
      </c>
      <c r="H772" s="19" t="s">
        <v>39</v>
      </c>
      <c r="I772" s="19">
        <v>3</v>
      </c>
      <c r="J772" s="21">
        <v>665</v>
      </c>
      <c r="K772" s="22">
        <v>0.15</v>
      </c>
      <c r="L772" s="21">
        <v>1695.75</v>
      </c>
    </row>
    <row r="773" spans="1:12">
      <c r="A773" s="19" t="s">
        <v>843</v>
      </c>
      <c r="B773" s="20">
        <v>46287</v>
      </c>
      <c r="C773" s="19" t="s">
        <v>47</v>
      </c>
      <c r="D773" s="19" t="s">
        <v>21</v>
      </c>
      <c r="E773" s="19" t="s">
        <v>15</v>
      </c>
      <c r="F773" s="19" t="s">
        <v>16</v>
      </c>
      <c r="G773" s="19" t="s">
        <v>42</v>
      </c>
      <c r="H773" s="19" t="s">
        <v>50</v>
      </c>
      <c r="I773" s="19">
        <v>4</v>
      </c>
      <c r="J773" s="21">
        <v>42.75</v>
      </c>
      <c r="K773" s="22">
        <v>0.08</v>
      </c>
      <c r="L773" s="21">
        <v>157.32</v>
      </c>
    </row>
    <row r="774" spans="1:12">
      <c r="A774" s="19" t="s">
        <v>844</v>
      </c>
      <c r="B774" s="20">
        <v>46150</v>
      </c>
      <c r="C774" s="19" t="s">
        <v>31</v>
      </c>
      <c r="D774" s="19" t="s">
        <v>14</v>
      </c>
      <c r="E774" s="19" t="s">
        <v>15</v>
      </c>
      <c r="F774" s="19" t="s">
        <v>16</v>
      </c>
      <c r="G774" s="19" t="s">
        <v>112</v>
      </c>
      <c r="H774" s="19" t="s">
        <v>39</v>
      </c>
      <c r="I774" s="19">
        <v>1</v>
      </c>
      <c r="J774" s="21">
        <v>63.05</v>
      </c>
      <c r="K774" s="22">
        <v>0.1</v>
      </c>
      <c r="L774" s="21">
        <v>56.744999999999997</v>
      </c>
    </row>
    <row r="775" spans="1:12">
      <c r="A775" s="19" t="s">
        <v>845</v>
      </c>
      <c r="B775" s="20">
        <v>46087</v>
      </c>
      <c r="C775" s="19" t="s">
        <v>31</v>
      </c>
      <c r="D775" s="19" t="s">
        <v>21</v>
      </c>
      <c r="E775" s="19" t="s">
        <v>22</v>
      </c>
      <c r="F775" s="19" t="s">
        <v>48</v>
      </c>
      <c r="G775" s="19" t="s">
        <v>96</v>
      </c>
      <c r="H775" s="19" t="s">
        <v>33</v>
      </c>
      <c r="I775" s="19">
        <v>3</v>
      </c>
      <c r="J775" s="21">
        <v>2500</v>
      </c>
      <c r="K775" s="22">
        <v>0.05</v>
      </c>
      <c r="L775" s="21">
        <v>7125</v>
      </c>
    </row>
    <row r="776" spans="1:12">
      <c r="A776" s="19" t="s">
        <v>846</v>
      </c>
      <c r="B776" s="20">
        <v>46060</v>
      </c>
      <c r="C776" s="19" t="s">
        <v>31</v>
      </c>
      <c r="D776" s="19" t="s">
        <v>14</v>
      </c>
      <c r="E776" s="19" t="s">
        <v>15</v>
      </c>
      <c r="F776" s="19" t="s">
        <v>23</v>
      </c>
      <c r="G776" s="19" t="s">
        <v>52</v>
      </c>
      <c r="H776" s="19" t="s">
        <v>39</v>
      </c>
      <c r="I776" s="19">
        <v>1</v>
      </c>
      <c r="J776" s="21">
        <v>468</v>
      </c>
      <c r="K776" s="22">
        <v>0</v>
      </c>
      <c r="L776" s="21">
        <v>468</v>
      </c>
    </row>
    <row r="777" spans="1:12">
      <c r="A777" s="19" t="s">
        <v>847</v>
      </c>
      <c r="B777" s="20">
        <v>46347</v>
      </c>
      <c r="C777" s="19" t="s">
        <v>13</v>
      </c>
      <c r="D777" s="19" t="s">
        <v>14</v>
      </c>
      <c r="E777" s="19" t="s">
        <v>22</v>
      </c>
      <c r="F777" s="19" t="s">
        <v>48</v>
      </c>
      <c r="G777" s="19" t="s">
        <v>99</v>
      </c>
      <c r="H777" s="19" t="s">
        <v>43</v>
      </c>
      <c r="I777" s="19">
        <v>4</v>
      </c>
      <c r="J777" s="21">
        <v>3180</v>
      </c>
      <c r="K777" s="22">
        <v>0.03</v>
      </c>
      <c r="L777" s="21">
        <v>12338.4</v>
      </c>
    </row>
    <row r="778" spans="1:12">
      <c r="A778" s="19" t="s">
        <v>848</v>
      </c>
      <c r="B778" s="20">
        <v>46325</v>
      </c>
      <c r="C778" s="19" t="s">
        <v>47</v>
      </c>
      <c r="D778" s="19" t="s">
        <v>14</v>
      </c>
      <c r="E778" s="19" t="s">
        <v>22</v>
      </c>
      <c r="F778" s="19" t="s">
        <v>60</v>
      </c>
      <c r="G778" s="19" t="s">
        <v>76</v>
      </c>
      <c r="H778" s="19" t="s">
        <v>55</v>
      </c>
      <c r="I778" s="19">
        <v>1</v>
      </c>
      <c r="J778" s="21">
        <v>700</v>
      </c>
      <c r="K778" s="22">
        <v>0.08</v>
      </c>
      <c r="L778" s="21">
        <v>644</v>
      </c>
    </row>
    <row r="779" spans="1:12">
      <c r="A779" s="19" t="s">
        <v>849</v>
      </c>
      <c r="B779" s="20">
        <v>46170</v>
      </c>
      <c r="C779" s="19" t="s">
        <v>13</v>
      </c>
      <c r="D779" s="19" t="s">
        <v>14</v>
      </c>
      <c r="E779" s="19" t="s">
        <v>15</v>
      </c>
      <c r="F779" s="19" t="s">
        <v>27</v>
      </c>
      <c r="G779" s="19" t="s">
        <v>155</v>
      </c>
      <c r="H779" s="19" t="s">
        <v>43</v>
      </c>
      <c r="I779" s="19">
        <v>3</v>
      </c>
      <c r="J779" s="21">
        <v>187.2</v>
      </c>
      <c r="K779" s="22">
        <v>0.08</v>
      </c>
      <c r="L779" s="21">
        <v>516.67199999999991</v>
      </c>
    </row>
    <row r="780" spans="1:12">
      <c r="A780" s="19" t="s">
        <v>850</v>
      </c>
      <c r="B780" s="20">
        <v>46235</v>
      </c>
      <c r="C780" s="19" t="s">
        <v>31</v>
      </c>
      <c r="D780" s="19" t="s">
        <v>21</v>
      </c>
      <c r="E780" s="19" t="s">
        <v>22</v>
      </c>
      <c r="F780" s="19" t="s">
        <v>48</v>
      </c>
      <c r="G780" s="19" t="s">
        <v>49</v>
      </c>
      <c r="H780" s="19" t="s">
        <v>33</v>
      </c>
      <c r="I780" s="19">
        <v>1</v>
      </c>
      <c r="J780" s="21">
        <v>4200</v>
      </c>
      <c r="K780" s="22">
        <v>0</v>
      </c>
      <c r="L780" s="21">
        <v>4200</v>
      </c>
    </row>
    <row r="781" spans="1:12">
      <c r="A781" s="19" t="s">
        <v>851</v>
      </c>
      <c r="B781" s="20">
        <v>46210</v>
      </c>
      <c r="C781" s="19" t="s">
        <v>31</v>
      </c>
      <c r="D781" s="19" t="s">
        <v>14</v>
      </c>
      <c r="E781" s="19" t="s">
        <v>15</v>
      </c>
      <c r="F781" s="19" t="s">
        <v>27</v>
      </c>
      <c r="G781" s="19" t="s">
        <v>155</v>
      </c>
      <c r="H781" s="19" t="s">
        <v>79</v>
      </c>
      <c r="I781" s="19">
        <v>1</v>
      </c>
      <c r="J781" s="21">
        <v>183.6</v>
      </c>
      <c r="K781" s="22">
        <v>0.03</v>
      </c>
      <c r="L781" s="21">
        <v>178.09199999999998</v>
      </c>
    </row>
    <row r="782" spans="1:12">
      <c r="A782" s="19" t="s">
        <v>852</v>
      </c>
      <c r="B782" s="20">
        <v>46217</v>
      </c>
      <c r="C782" s="19" t="s">
        <v>13</v>
      </c>
      <c r="D782" s="19" t="s">
        <v>14</v>
      </c>
      <c r="E782" s="19" t="s">
        <v>15</v>
      </c>
      <c r="F782" s="19" t="s">
        <v>73</v>
      </c>
      <c r="G782" s="19" t="s">
        <v>129</v>
      </c>
      <c r="H782" s="19" t="s">
        <v>43</v>
      </c>
      <c r="I782" s="19">
        <v>1</v>
      </c>
      <c r="J782" s="21">
        <v>35.700000000000003</v>
      </c>
      <c r="K782" s="22">
        <v>0.05</v>
      </c>
      <c r="L782" s="21">
        <v>33.914999999999999</v>
      </c>
    </row>
    <row r="783" spans="1:12">
      <c r="A783" s="19" t="s">
        <v>853</v>
      </c>
      <c r="B783" s="20">
        <v>46382</v>
      </c>
      <c r="C783" s="19" t="s">
        <v>13</v>
      </c>
      <c r="D783" s="19" t="s">
        <v>35</v>
      </c>
      <c r="E783" s="19" t="s">
        <v>22</v>
      </c>
      <c r="F783" s="19" t="s">
        <v>60</v>
      </c>
      <c r="G783" s="19" t="s">
        <v>67</v>
      </c>
      <c r="H783" s="19" t="s">
        <v>29</v>
      </c>
      <c r="I783" s="19">
        <v>1</v>
      </c>
      <c r="J783" s="21">
        <v>1500</v>
      </c>
      <c r="K783" s="22">
        <v>0</v>
      </c>
      <c r="L783" s="21">
        <v>1500</v>
      </c>
    </row>
    <row r="784" spans="1:12">
      <c r="A784" s="19" t="s">
        <v>854</v>
      </c>
      <c r="B784" s="20">
        <v>46029</v>
      </c>
      <c r="C784" s="19" t="s">
        <v>31</v>
      </c>
      <c r="D784" s="19" t="s">
        <v>41</v>
      </c>
      <c r="E784" s="19" t="s">
        <v>22</v>
      </c>
      <c r="F784" s="19" t="s">
        <v>16</v>
      </c>
      <c r="G784" s="19" t="s">
        <v>112</v>
      </c>
      <c r="H784" s="19" t="s">
        <v>39</v>
      </c>
      <c r="I784" s="19">
        <v>1</v>
      </c>
      <c r="J784" s="21">
        <v>65</v>
      </c>
      <c r="K784" s="22">
        <v>0</v>
      </c>
      <c r="L784" s="21">
        <v>65</v>
      </c>
    </row>
    <row r="785" spans="1:12">
      <c r="A785" s="19" t="s">
        <v>855</v>
      </c>
      <c r="B785" s="20">
        <v>46179</v>
      </c>
      <c r="C785" s="19" t="s">
        <v>13</v>
      </c>
      <c r="D785" s="19" t="s">
        <v>14</v>
      </c>
      <c r="E785" s="19" t="s">
        <v>15</v>
      </c>
      <c r="F785" s="19" t="s">
        <v>16</v>
      </c>
      <c r="G785" s="19" t="s">
        <v>57</v>
      </c>
      <c r="H785" s="19" t="s">
        <v>29</v>
      </c>
      <c r="I785" s="19">
        <v>7</v>
      </c>
      <c r="J785" s="21">
        <v>40.28</v>
      </c>
      <c r="K785" s="22">
        <v>0.05</v>
      </c>
      <c r="L785" s="21">
        <v>267.86200000000002</v>
      </c>
    </row>
    <row r="786" spans="1:12">
      <c r="A786" s="19" t="s">
        <v>856</v>
      </c>
      <c r="B786" s="20">
        <v>46065</v>
      </c>
      <c r="C786" s="19" t="s">
        <v>86</v>
      </c>
      <c r="D786" s="19" t="s">
        <v>14</v>
      </c>
      <c r="E786" s="19" t="s">
        <v>22</v>
      </c>
      <c r="F786" s="19" t="s">
        <v>60</v>
      </c>
      <c r="G786" s="19" t="s">
        <v>76</v>
      </c>
      <c r="H786" s="19" t="s">
        <v>93</v>
      </c>
      <c r="I786" s="19">
        <v>3</v>
      </c>
      <c r="J786" s="21">
        <v>700</v>
      </c>
      <c r="K786" s="22">
        <v>0.1</v>
      </c>
      <c r="L786" s="21">
        <v>1890</v>
      </c>
    </row>
    <row r="787" spans="1:12">
      <c r="A787" s="19" t="s">
        <v>857</v>
      </c>
      <c r="B787" s="20">
        <v>46309</v>
      </c>
      <c r="C787" s="19" t="s">
        <v>47</v>
      </c>
      <c r="D787" s="19" t="s">
        <v>35</v>
      </c>
      <c r="E787" s="19" t="s">
        <v>22</v>
      </c>
      <c r="F787" s="19" t="s">
        <v>60</v>
      </c>
      <c r="G787" s="19" t="s">
        <v>61</v>
      </c>
      <c r="H787" s="19" t="s">
        <v>83</v>
      </c>
      <c r="I787" s="19">
        <v>1</v>
      </c>
      <c r="J787" s="21">
        <v>850</v>
      </c>
      <c r="K787" s="22">
        <v>0.08</v>
      </c>
      <c r="L787" s="21">
        <v>782</v>
      </c>
    </row>
    <row r="788" spans="1:12">
      <c r="A788" s="19" t="s">
        <v>858</v>
      </c>
      <c r="B788" s="20">
        <v>46130</v>
      </c>
      <c r="C788" s="19" t="s">
        <v>20</v>
      </c>
      <c r="D788" s="19" t="s">
        <v>14</v>
      </c>
      <c r="E788" s="19" t="s">
        <v>15</v>
      </c>
      <c r="F788" s="19" t="s">
        <v>60</v>
      </c>
      <c r="G788" s="19" t="s">
        <v>61</v>
      </c>
      <c r="H788" s="19" t="s">
        <v>58</v>
      </c>
      <c r="I788" s="19">
        <v>1</v>
      </c>
      <c r="J788" s="21">
        <v>850</v>
      </c>
      <c r="K788" s="22">
        <v>0.1</v>
      </c>
      <c r="L788" s="21">
        <v>765</v>
      </c>
    </row>
    <row r="789" spans="1:12">
      <c r="A789" s="19" t="s">
        <v>859</v>
      </c>
      <c r="B789" s="20">
        <v>46311</v>
      </c>
      <c r="C789" s="19" t="s">
        <v>86</v>
      </c>
      <c r="D789" s="19" t="s">
        <v>21</v>
      </c>
      <c r="E789" s="19" t="s">
        <v>22</v>
      </c>
      <c r="F789" s="19" t="s">
        <v>73</v>
      </c>
      <c r="G789" s="19" t="s">
        <v>145</v>
      </c>
      <c r="H789" s="19" t="s">
        <v>93</v>
      </c>
      <c r="I789" s="19">
        <v>2</v>
      </c>
      <c r="J789" s="21">
        <v>19.079999999999998</v>
      </c>
      <c r="K789" s="22">
        <v>0.2</v>
      </c>
      <c r="L789" s="21">
        <v>30.527999999999999</v>
      </c>
    </row>
    <row r="790" spans="1:12">
      <c r="A790" s="19" t="s">
        <v>860</v>
      </c>
      <c r="B790" s="20">
        <v>46175</v>
      </c>
      <c r="C790" s="19" t="s">
        <v>47</v>
      </c>
      <c r="D790" s="19" t="s">
        <v>14</v>
      </c>
      <c r="E790" s="19" t="s">
        <v>22</v>
      </c>
      <c r="F790" s="19" t="s">
        <v>16</v>
      </c>
      <c r="G790" s="19" t="s">
        <v>69</v>
      </c>
      <c r="H790" s="19" t="s">
        <v>83</v>
      </c>
      <c r="I790" s="19">
        <v>4</v>
      </c>
      <c r="J790" s="21">
        <v>55</v>
      </c>
      <c r="K790" s="22">
        <v>0.15</v>
      </c>
      <c r="L790" s="21">
        <v>187</v>
      </c>
    </row>
    <row r="791" spans="1:12">
      <c r="A791" s="19" t="s">
        <v>861</v>
      </c>
      <c r="B791" s="20">
        <v>46219</v>
      </c>
      <c r="C791" s="19" t="s">
        <v>13</v>
      </c>
      <c r="D791" s="19" t="s">
        <v>14</v>
      </c>
      <c r="E791" s="19" t="s">
        <v>15</v>
      </c>
      <c r="F791" s="19" t="s">
        <v>48</v>
      </c>
      <c r="G791" s="19" t="s">
        <v>49</v>
      </c>
      <c r="H791" s="19" t="s">
        <v>29</v>
      </c>
      <c r="I791" s="19">
        <v>1</v>
      </c>
      <c r="J791" s="21">
        <v>4200</v>
      </c>
      <c r="K791" s="22">
        <v>0</v>
      </c>
      <c r="L791" s="21">
        <v>4200</v>
      </c>
    </row>
    <row r="792" spans="1:12">
      <c r="A792" s="19" t="s">
        <v>862</v>
      </c>
      <c r="B792" s="20">
        <v>46287</v>
      </c>
      <c r="C792" s="19" t="s">
        <v>31</v>
      </c>
      <c r="D792" s="19" t="s">
        <v>35</v>
      </c>
      <c r="E792" s="19" t="s">
        <v>15</v>
      </c>
      <c r="F792" s="19" t="s">
        <v>60</v>
      </c>
      <c r="G792" s="19" t="s">
        <v>61</v>
      </c>
      <c r="H792" s="19" t="s">
        <v>39</v>
      </c>
      <c r="I792" s="19">
        <v>1</v>
      </c>
      <c r="J792" s="21">
        <v>850</v>
      </c>
      <c r="K792" s="22">
        <v>0.08</v>
      </c>
      <c r="L792" s="21">
        <v>782</v>
      </c>
    </row>
    <row r="793" spans="1:12">
      <c r="A793" s="19" t="s">
        <v>863</v>
      </c>
      <c r="B793" s="20">
        <v>46327</v>
      </c>
      <c r="C793" s="19" t="s">
        <v>31</v>
      </c>
      <c r="D793" s="19" t="s">
        <v>14</v>
      </c>
      <c r="E793" s="19" t="s">
        <v>22</v>
      </c>
      <c r="F793" s="19" t="s">
        <v>48</v>
      </c>
      <c r="G793" s="19" t="s">
        <v>99</v>
      </c>
      <c r="H793" s="19" t="s">
        <v>33</v>
      </c>
      <c r="I793" s="19">
        <v>1</v>
      </c>
      <c r="J793" s="21">
        <v>2910</v>
      </c>
      <c r="K793" s="22">
        <v>0.05</v>
      </c>
      <c r="L793" s="21">
        <v>2764.5</v>
      </c>
    </row>
    <row r="794" spans="1:12">
      <c r="A794" s="19" t="s">
        <v>864</v>
      </c>
      <c r="B794" s="20">
        <v>46095</v>
      </c>
      <c r="C794" s="19" t="s">
        <v>86</v>
      </c>
      <c r="D794" s="19" t="s">
        <v>14</v>
      </c>
      <c r="E794" s="19" t="s">
        <v>22</v>
      </c>
      <c r="F794" s="19" t="s">
        <v>23</v>
      </c>
      <c r="G794" s="19" t="s">
        <v>24</v>
      </c>
      <c r="H794" s="19" t="s">
        <v>87</v>
      </c>
      <c r="I794" s="19">
        <v>4</v>
      </c>
      <c r="J794" s="21">
        <v>90</v>
      </c>
      <c r="K794" s="22">
        <v>0.1</v>
      </c>
      <c r="L794" s="21">
        <v>324</v>
      </c>
    </row>
    <row r="795" spans="1:12">
      <c r="A795" s="19" t="s">
        <v>865</v>
      </c>
      <c r="B795" s="20">
        <v>46330</v>
      </c>
      <c r="C795" s="19" t="s">
        <v>13</v>
      </c>
      <c r="D795" s="19" t="s">
        <v>35</v>
      </c>
      <c r="E795" s="19" t="s">
        <v>15</v>
      </c>
      <c r="F795" s="19" t="s">
        <v>48</v>
      </c>
      <c r="G795" s="19" t="s">
        <v>96</v>
      </c>
      <c r="H795" s="19" t="s">
        <v>18</v>
      </c>
      <c r="I795" s="19">
        <v>1</v>
      </c>
      <c r="J795" s="21">
        <v>2600</v>
      </c>
      <c r="K795" s="22">
        <v>0</v>
      </c>
      <c r="L795" s="21">
        <v>2600</v>
      </c>
    </row>
    <row r="796" spans="1:12">
      <c r="A796" s="19" t="s">
        <v>866</v>
      </c>
      <c r="B796" s="20">
        <v>46327</v>
      </c>
      <c r="C796" s="19" t="s">
        <v>31</v>
      </c>
      <c r="D796" s="19" t="s">
        <v>35</v>
      </c>
      <c r="E796" s="19" t="s">
        <v>22</v>
      </c>
      <c r="F796" s="19" t="s">
        <v>60</v>
      </c>
      <c r="G796" s="19" t="s">
        <v>67</v>
      </c>
      <c r="H796" s="19" t="s">
        <v>39</v>
      </c>
      <c r="I796" s="19">
        <v>1</v>
      </c>
      <c r="J796" s="21">
        <v>1560</v>
      </c>
      <c r="K796" s="22">
        <v>0.08</v>
      </c>
      <c r="L796" s="21">
        <v>1435.2</v>
      </c>
    </row>
    <row r="797" spans="1:12">
      <c r="A797" s="19" t="s">
        <v>867</v>
      </c>
      <c r="B797" s="20">
        <v>46069</v>
      </c>
      <c r="C797" s="19" t="s">
        <v>31</v>
      </c>
      <c r="D797" s="19" t="s">
        <v>41</v>
      </c>
      <c r="E797" s="19" t="s">
        <v>22</v>
      </c>
      <c r="F797" s="19" t="s">
        <v>73</v>
      </c>
      <c r="G797" s="19" t="s">
        <v>81</v>
      </c>
      <c r="H797" s="19" t="s">
        <v>79</v>
      </c>
      <c r="I797" s="19">
        <v>1</v>
      </c>
      <c r="J797" s="21">
        <v>12</v>
      </c>
      <c r="K797" s="22">
        <v>0.03</v>
      </c>
      <c r="L797" s="21">
        <v>11.64</v>
      </c>
    </row>
    <row r="798" spans="1:12">
      <c r="A798" s="19" t="s">
        <v>868</v>
      </c>
      <c r="B798" s="20">
        <v>46141</v>
      </c>
      <c r="C798" s="19" t="s">
        <v>47</v>
      </c>
      <c r="D798" s="19" t="s">
        <v>21</v>
      </c>
      <c r="E798" s="19" t="s">
        <v>22</v>
      </c>
      <c r="F798" s="19" t="s">
        <v>16</v>
      </c>
      <c r="G798" s="19" t="s">
        <v>17</v>
      </c>
      <c r="H798" s="19" t="s">
        <v>50</v>
      </c>
      <c r="I798" s="19">
        <v>1</v>
      </c>
      <c r="J798" s="21">
        <v>15</v>
      </c>
      <c r="K798" s="22">
        <v>0</v>
      </c>
      <c r="L798" s="21">
        <v>15</v>
      </c>
    </row>
    <row r="799" spans="1:12">
      <c r="A799" s="19" t="s">
        <v>869</v>
      </c>
      <c r="B799" s="20">
        <v>46123</v>
      </c>
      <c r="C799" s="19" t="s">
        <v>31</v>
      </c>
      <c r="D799" s="19" t="s">
        <v>14</v>
      </c>
      <c r="E799" s="19" t="s">
        <v>22</v>
      </c>
      <c r="F799" s="19" t="s">
        <v>23</v>
      </c>
      <c r="G799" s="19" t="s">
        <v>52</v>
      </c>
      <c r="H799" s="19" t="s">
        <v>39</v>
      </c>
      <c r="I799" s="19">
        <v>2</v>
      </c>
      <c r="J799" s="21">
        <v>427.5</v>
      </c>
      <c r="K799" s="22">
        <v>0.2</v>
      </c>
      <c r="L799" s="21">
        <v>684</v>
      </c>
    </row>
    <row r="800" spans="1:12">
      <c r="A800" s="19" t="s">
        <v>870</v>
      </c>
      <c r="B800" s="20">
        <v>46236</v>
      </c>
      <c r="C800" s="19" t="s">
        <v>31</v>
      </c>
      <c r="D800" s="19" t="s">
        <v>21</v>
      </c>
      <c r="E800" s="19" t="s">
        <v>15</v>
      </c>
      <c r="F800" s="19" t="s">
        <v>23</v>
      </c>
      <c r="G800" s="19" t="s">
        <v>138</v>
      </c>
      <c r="H800" s="19" t="s">
        <v>33</v>
      </c>
      <c r="I800" s="19">
        <v>2</v>
      </c>
      <c r="J800" s="21">
        <v>63.6</v>
      </c>
      <c r="K800" s="22">
        <v>0.03</v>
      </c>
      <c r="L800" s="21">
        <v>123.384</v>
      </c>
    </row>
    <row r="801" spans="1:12">
      <c r="A801" s="19" t="s">
        <v>871</v>
      </c>
      <c r="B801" s="20">
        <v>46164</v>
      </c>
      <c r="C801" s="19" t="s">
        <v>47</v>
      </c>
      <c r="D801" s="19" t="s">
        <v>41</v>
      </c>
      <c r="E801" s="19" t="s">
        <v>22</v>
      </c>
      <c r="F801" s="19" t="s">
        <v>27</v>
      </c>
      <c r="G801" s="19" t="s">
        <v>155</v>
      </c>
      <c r="H801" s="19" t="s">
        <v>83</v>
      </c>
      <c r="I801" s="19">
        <v>3</v>
      </c>
      <c r="J801" s="21">
        <v>187.2</v>
      </c>
      <c r="K801" s="22">
        <v>0.2</v>
      </c>
      <c r="L801" s="21">
        <v>449.28</v>
      </c>
    </row>
    <row r="802" spans="1:12">
      <c r="A802" s="19" t="s">
        <v>872</v>
      </c>
      <c r="B802" s="20">
        <v>46327</v>
      </c>
      <c r="C802" s="19" t="s">
        <v>20</v>
      </c>
      <c r="D802" s="19" t="s">
        <v>35</v>
      </c>
      <c r="E802" s="19" t="s">
        <v>22</v>
      </c>
      <c r="F802" s="19" t="s">
        <v>27</v>
      </c>
      <c r="G802" s="19" t="s">
        <v>36</v>
      </c>
      <c r="H802" s="19" t="s">
        <v>63</v>
      </c>
      <c r="I802" s="19">
        <v>8</v>
      </c>
      <c r="J802" s="21">
        <v>712.5</v>
      </c>
      <c r="K802" s="22">
        <v>0.15</v>
      </c>
      <c r="L802" s="21">
        <v>4845</v>
      </c>
    </row>
    <row r="803" spans="1:12">
      <c r="A803" s="19" t="s">
        <v>873</v>
      </c>
      <c r="B803" s="20">
        <v>46381</v>
      </c>
      <c r="C803" s="19" t="s">
        <v>47</v>
      </c>
      <c r="D803" s="19" t="s">
        <v>14</v>
      </c>
      <c r="E803" s="19" t="s">
        <v>22</v>
      </c>
      <c r="F803" s="19" t="s">
        <v>23</v>
      </c>
      <c r="G803" s="19" t="s">
        <v>24</v>
      </c>
      <c r="H803" s="19" t="s">
        <v>55</v>
      </c>
      <c r="I803" s="19">
        <v>3</v>
      </c>
      <c r="J803" s="21">
        <v>93.6</v>
      </c>
      <c r="K803" s="22">
        <v>0</v>
      </c>
      <c r="L803" s="21">
        <v>280.79999999999995</v>
      </c>
    </row>
    <row r="804" spans="1:12">
      <c r="A804" s="19" t="s">
        <v>874</v>
      </c>
      <c r="B804" s="20">
        <v>46383</v>
      </c>
      <c r="C804" s="19" t="s">
        <v>86</v>
      </c>
      <c r="D804" s="19" t="s">
        <v>21</v>
      </c>
      <c r="E804" s="19" t="s">
        <v>22</v>
      </c>
      <c r="F804" s="19" t="s">
        <v>27</v>
      </c>
      <c r="G804" s="19" t="s">
        <v>28</v>
      </c>
      <c r="H804" s="19" t="s">
        <v>87</v>
      </c>
      <c r="I804" s="19">
        <v>1</v>
      </c>
      <c r="J804" s="21">
        <v>21.2</v>
      </c>
      <c r="K804" s="22">
        <v>0.08</v>
      </c>
      <c r="L804" s="21">
        <v>19.504000000000001</v>
      </c>
    </row>
    <row r="805" spans="1:12">
      <c r="A805" s="19" t="s">
        <v>875</v>
      </c>
      <c r="B805" s="20">
        <v>46237</v>
      </c>
      <c r="C805" s="19" t="s">
        <v>86</v>
      </c>
      <c r="D805" s="19" t="s">
        <v>41</v>
      </c>
      <c r="E805" s="19" t="s">
        <v>22</v>
      </c>
      <c r="F805" s="19" t="s">
        <v>60</v>
      </c>
      <c r="G805" s="19" t="s">
        <v>91</v>
      </c>
      <c r="H805" s="19" t="s">
        <v>93</v>
      </c>
      <c r="I805" s="19">
        <v>1</v>
      </c>
      <c r="J805" s="21">
        <v>603.20000000000005</v>
      </c>
      <c r="K805" s="22">
        <v>0.03</v>
      </c>
      <c r="L805" s="21">
        <v>585.10400000000004</v>
      </c>
    </row>
    <row r="806" spans="1:12">
      <c r="A806" s="19" t="s">
        <v>876</v>
      </c>
      <c r="B806" s="20">
        <v>46355</v>
      </c>
      <c r="C806" s="19" t="s">
        <v>20</v>
      </c>
      <c r="D806" s="19" t="s">
        <v>41</v>
      </c>
      <c r="E806" s="19" t="s">
        <v>22</v>
      </c>
      <c r="F806" s="19" t="s">
        <v>16</v>
      </c>
      <c r="G806" s="19" t="s">
        <v>42</v>
      </c>
      <c r="H806" s="19" t="s">
        <v>63</v>
      </c>
      <c r="I806" s="19">
        <v>5</v>
      </c>
      <c r="J806" s="21">
        <v>45</v>
      </c>
      <c r="K806" s="22">
        <v>0.2</v>
      </c>
      <c r="L806" s="21">
        <v>180</v>
      </c>
    </row>
    <row r="807" spans="1:12">
      <c r="A807" s="19" t="s">
        <v>877</v>
      </c>
      <c r="B807" s="20">
        <v>46096</v>
      </c>
      <c r="C807" s="19" t="s">
        <v>47</v>
      </c>
      <c r="D807" s="19" t="s">
        <v>21</v>
      </c>
      <c r="E807" s="19" t="s">
        <v>22</v>
      </c>
      <c r="F807" s="19" t="s">
        <v>48</v>
      </c>
      <c r="G807" s="19" t="s">
        <v>96</v>
      </c>
      <c r="H807" s="19" t="s">
        <v>50</v>
      </c>
      <c r="I807" s="19">
        <v>1</v>
      </c>
      <c r="J807" s="21">
        <v>2425</v>
      </c>
      <c r="K807" s="22">
        <v>0.2</v>
      </c>
      <c r="L807" s="21">
        <v>1940</v>
      </c>
    </row>
    <row r="808" spans="1:12">
      <c r="A808" s="19" t="s">
        <v>878</v>
      </c>
      <c r="B808" s="20">
        <v>46111</v>
      </c>
      <c r="C808" s="19" t="s">
        <v>86</v>
      </c>
      <c r="D808" s="19" t="s">
        <v>21</v>
      </c>
      <c r="E808" s="19" t="s">
        <v>15</v>
      </c>
      <c r="F808" s="19" t="s">
        <v>23</v>
      </c>
      <c r="G808" s="19" t="s">
        <v>24</v>
      </c>
      <c r="H808" s="19" t="s">
        <v>87</v>
      </c>
      <c r="I808" s="19">
        <v>3</v>
      </c>
      <c r="J808" s="21">
        <v>87.3</v>
      </c>
      <c r="K808" s="22">
        <v>0.15</v>
      </c>
      <c r="L808" s="21">
        <v>222.61499999999998</v>
      </c>
    </row>
    <row r="809" spans="1:12">
      <c r="A809" s="19" t="s">
        <v>879</v>
      </c>
      <c r="B809" s="20">
        <v>46298</v>
      </c>
      <c r="C809" s="19" t="s">
        <v>47</v>
      </c>
      <c r="D809" s="19" t="s">
        <v>14</v>
      </c>
      <c r="E809" s="19" t="s">
        <v>15</v>
      </c>
      <c r="F809" s="19" t="s">
        <v>60</v>
      </c>
      <c r="G809" s="19" t="s">
        <v>91</v>
      </c>
      <c r="H809" s="19" t="s">
        <v>55</v>
      </c>
      <c r="I809" s="19">
        <v>1</v>
      </c>
      <c r="J809" s="21">
        <v>591.6</v>
      </c>
      <c r="K809" s="22">
        <v>0.08</v>
      </c>
      <c r="L809" s="21">
        <v>544.27200000000005</v>
      </c>
    </row>
    <row r="810" spans="1:12">
      <c r="A810" s="19" t="s">
        <v>880</v>
      </c>
      <c r="B810" s="20">
        <v>46316</v>
      </c>
      <c r="C810" s="19" t="s">
        <v>13</v>
      </c>
      <c r="D810" s="19" t="s">
        <v>21</v>
      </c>
      <c r="E810" s="19" t="s">
        <v>22</v>
      </c>
      <c r="F810" s="19" t="s">
        <v>73</v>
      </c>
      <c r="G810" s="19" t="s">
        <v>81</v>
      </c>
      <c r="H810" s="19" t="s">
        <v>18</v>
      </c>
      <c r="I810" s="19">
        <v>1</v>
      </c>
      <c r="J810" s="21">
        <v>12</v>
      </c>
      <c r="K810" s="22">
        <v>0</v>
      </c>
      <c r="L810" s="21">
        <v>12</v>
      </c>
    </row>
    <row r="811" spans="1:12">
      <c r="A811" s="19" t="s">
        <v>881</v>
      </c>
      <c r="B811" s="20">
        <v>46161</v>
      </c>
      <c r="C811" s="19" t="s">
        <v>47</v>
      </c>
      <c r="D811" s="19" t="s">
        <v>35</v>
      </c>
      <c r="E811" s="19" t="s">
        <v>15</v>
      </c>
      <c r="F811" s="19" t="s">
        <v>48</v>
      </c>
      <c r="G811" s="19" t="s">
        <v>54</v>
      </c>
      <c r="H811" s="19" t="s">
        <v>50</v>
      </c>
      <c r="I811" s="19">
        <v>1</v>
      </c>
      <c r="J811" s="21">
        <v>1872</v>
      </c>
      <c r="K811" s="22">
        <v>0</v>
      </c>
      <c r="L811" s="21">
        <v>1872</v>
      </c>
    </row>
    <row r="812" spans="1:12">
      <c r="A812" s="19" t="s">
        <v>882</v>
      </c>
      <c r="B812" s="20">
        <v>46241</v>
      </c>
      <c r="C812" s="19" t="s">
        <v>47</v>
      </c>
      <c r="D812" s="19" t="s">
        <v>41</v>
      </c>
      <c r="E812" s="19" t="s">
        <v>15</v>
      </c>
      <c r="F812" s="19" t="s">
        <v>48</v>
      </c>
      <c r="G812" s="19" t="s">
        <v>96</v>
      </c>
      <c r="H812" s="19" t="s">
        <v>83</v>
      </c>
      <c r="I812" s="19">
        <v>1</v>
      </c>
      <c r="J812" s="21">
        <v>2500</v>
      </c>
      <c r="K812" s="22">
        <v>0</v>
      </c>
      <c r="L812" s="21">
        <v>2500</v>
      </c>
    </row>
    <row r="813" spans="1:12">
      <c r="A813" s="19" t="s">
        <v>883</v>
      </c>
      <c r="B813" s="20">
        <v>46169</v>
      </c>
      <c r="C813" s="19" t="s">
        <v>47</v>
      </c>
      <c r="D813" s="19" t="s">
        <v>41</v>
      </c>
      <c r="E813" s="19" t="s">
        <v>22</v>
      </c>
      <c r="F813" s="19" t="s">
        <v>60</v>
      </c>
      <c r="G813" s="19" t="s">
        <v>67</v>
      </c>
      <c r="H813" s="19" t="s">
        <v>55</v>
      </c>
      <c r="I813" s="19">
        <v>2</v>
      </c>
      <c r="J813" s="21">
        <v>1500</v>
      </c>
      <c r="K813" s="22">
        <v>0.15</v>
      </c>
      <c r="L813" s="21">
        <v>2550</v>
      </c>
    </row>
    <row r="814" spans="1:12">
      <c r="A814" s="19" t="s">
        <v>884</v>
      </c>
      <c r="B814" s="20">
        <v>46033</v>
      </c>
      <c r="C814" s="19" t="s">
        <v>86</v>
      </c>
      <c r="D814" s="19" t="s">
        <v>41</v>
      </c>
      <c r="E814" s="19" t="s">
        <v>15</v>
      </c>
      <c r="F814" s="19" t="s">
        <v>27</v>
      </c>
      <c r="G814" s="19" t="s">
        <v>155</v>
      </c>
      <c r="H814" s="19" t="s">
        <v>102</v>
      </c>
      <c r="I814" s="19">
        <v>3</v>
      </c>
      <c r="J814" s="21">
        <v>180</v>
      </c>
      <c r="K814" s="22">
        <v>0.1</v>
      </c>
      <c r="L814" s="21">
        <v>486</v>
      </c>
    </row>
    <row r="815" spans="1:12">
      <c r="A815" s="19" t="s">
        <v>885</v>
      </c>
      <c r="B815" s="20">
        <v>46048</v>
      </c>
      <c r="C815" s="19" t="s">
        <v>86</v>
      </c>
      <c r="D815" s="19" t="s">
        <v>41</v>
      </c>
      <c r="E815" s="19" t="s">
        <v>15</v>
      </c>
      <c r="F815" s="19" t="s">
        <v>23</v>
      </c>
      <c r="G815" s="19" t="s">
        <v>38</v>
      </c>
      <c r="H815" s="19" t="s">
        <v>102</v>
      </c>
      <c r="I815" s="19">
        <v>6</v>
      </c>
      <c r="J815" s="21">
        <v>304</v>
      </c>
      <c r="K815" s="22">
        <v>0.1</v>
      </c>
      <c r="L815" s="21">
        <v>1641.6000000000001</v>
      </c>
    </row>
    <row r="816" spans="1:12">
      <c r="A816" s="19" t="s">
        <v>886</v>
      </c>
      <c r="B816" s="20">
        <v>46305</v>
      </c>
      <c r="C816" s="19" t="s">
        <v>47</v>
      </c>
      <c r="D816" s="19" t="s">
        <v>35</v>
      </c>
      <c r="E816" s="19" t="s">
        <v>22</v>
      </c>
      <c r="F816" s="19" t="s">
        <v>27</v>
      </c>
      <c r="G816" s="19" t="s">
        <v>155</v>
      </c>
      <c r="H816" s="19" t="s">
        <v>83</v>
      </c>
      <c r="I816" s="19">
        <v>6</v>
      </c>
      <c r="J816" s="21">
        <v>183.6</v>
      </c>
      <c r="K816" s="22">
        <v>0.08</v>
      </c>
      <c r="L816" s="21">
        <v>1013.472</v>
      </c>
    </row>
    <row r="817" spans="1:12">
      <c r="A817" s="19" t="s">
        <v>887</v>
      </c>
      <c r="B817" s="20">
        <v>46308</v>
      </c>
      <c r="C817" s="19" t="s">
        <v>31</v>
      </c>
      <c r="D817" s="19" t="s">
        <v>35</v>
      </c>
      <c r="E817" s="19" t="s">
        <v>15</v>
      </c>
      <c r="F817" s="19" t="s">
        <v>27</v>
      </c>
      <c r="G817" s="19" t="s">
        <v>155</v>
      </c>
      <c r="H817" s="19" t="s">
        <v>39</v>
      </c>
      <c r="I817" s="19">
        <v>3</v>
      </c>
      <c r="J817" s="21">
        <v>174.6</v>
      </c>
      <c r="K817" s="22">
        <v>0.1</v>
      </c>
      <c r="L817" s="21">
        <v>471.41999999999996</v>
      </c>
    </row>
    <row r="818" spans="1:12">
      <c r="A818" s="19" t="s">
        <v>888</v>
      </c>
      <c r="B818" s="20">
        <v>46328</v>
      </c>
      <c r="C818" s="19" t="s">
        <v>47</v>
      </c>
      <c r="D818" s="19" t="s">
        <v>35</v>
      </c>
      <c r="E818" s="19" t="s">
        <v>22</v>
      </c>
      <c r="F818" s="19" t="s">
        <v>48</v>
      </c>
      <c r="G818" s="19" t="s">
        <v>96</v>
      </c>
      <c r="H818" s="19" t="s">
        <v>50</v>
      </c>
      <c r="I818" s="19">
        <v>1</v>
      </c>
      <c r="J818" s="21">
        <v>2650</v>
      </c>
      <c r="K818" s="22">
        <v>0.05</v>
      </c>
      <c r="L818" s="21">
        <v>2517.5</v>
      </c>
    </row>
    <row r="819" spans="1:12">
      <c r="A819" s="19" t="s">
        <v>889</v>
      </c>
      <c r="B819" s="20">
        <v>46107</v>
      </c>
      <c r="C819" s="19" t="s">
        <v>13</v>
      </c>
      <c r="D819" s="19" t="s">
        <v>35</v>
      </c>
      <c r="E819" s="19" t="s">
        <v>15</v>
      </c>
      <c r="F819" s="19" t="s">
        <v>23</v>
      </c>
      <c r="G819" s="19" t="s">
        <v>52</v>
      </c>
      <c r="H819" s="19" t="s">
        <v>43</v>
      </c>
      <c r="I819" s="19">
        <v>6</v>
      </c>
      <c r="J819" s="21">
        <v>450</v>
      </c>
      <c r="K819" s="22">
        <v>0.2</v>
      </c>
      <c r="L819" s="21">
        <v>2160</v>
      </c>
    </row>
    <row r="820" spans="1:12">
      <c r="A820" s="19" t="s">
        <v>890</v>
      </c>
      <c r="B820" s="20">
        <v>46356</v>
      </c>
      <c r="C820" s="19" t="s">
        <v>31</v>
      </c>
      <c r="D820" s="19" t="s">
        <v>14</v>
      </c>
      <c r="E820" s="19" t="s">
        <v>22</v>
      </c>
      <c r="F820" s="19" t="s">
        <v>27</v>
      </c>
      <c r="G820" s="19" t="s">
        <v>32</v>
      </c>
      <c r="H820" s="19" t="s">
        <v>39</v>
      </c>
      <c r="I820" s="19">
        <v>3</v>
      </c>
      <c r="J820" s="21">
        <v>285.60000000000002</v>
      </c>
      <c r="K820" s="22">
        <v>0.2</v>
      </c>
      <c r="L820" s="21">
        <v>685.44</v>
      </c>
    </row>
    <row r="821" spans="1:12">
      <c r="A821" s="19" t="s">
        <v>891</v>
      </c>
      <c r="B821" s="20">
        <v>46303</v>
      </c>
      <c r="C821" s="19" t="s">
        <v>31</v>
      </c>
      <c r="D821" s="19" t="s">
        <v>14</v>
      </c>
      <c r="E821" s="19" t="s">
        <v>22</v>
      </c>
      <c r="F821" s="19" t="s">
        <v>23</v>
      </c>
      <c r="G821" s="19" t="s">
        <v>38</v>
      </c>
      <c r="H821" s="19" t="s">
        <v>39</v>
      </c>
      <c r="I821" s="19">
        <v>4</v>
      </c>
      <c r="J821" s="21">
        <v>332.8</v>
      </c>
      <c r="K821" s="22">
        <v>0.2</v>
      </c>
      <c r="L821" s="21">
        <v>1064.96</v>
      </c>
    </row>
    <row r="822" spans="1:12">
      <c r="A822" s="19" t="s">
        <v>892</v>
      </c>
      <c r="B822" s="20">
        <v>46290</v>
      </c>
      <c r="C822" s="19" t="s">
        <v>20</v>
      </c>
      <c r="D822" s="19" t="s">
        <v>41</v>
      </c>
      <c r="E822" s="19" t="s">
        <v>22</v>
      </c>
      <c r="F822" s="19" t="s">
        <v>23</v>
      </c>
      <c r="G822" s="19" t="s">
        <v>24</v>
      </c>
      <c r="H822" s="19" t="s">
        <v>25</v>
      </c>
      <c r="I822" s="19">
        <v>1</v>
      </c>
      <c r="J822" s="21">
        <v>91.8</v>
      </c>
      <c r="K822" s="22">
        <v>0</v>
      </c>
      <c r="L822" s="21">
        <v>91.8</v>
      </c>
    </row>
    <row r="823" spans="1:12">
      <c r="A823" s="19" t="s">
        <v>893</v>
      </c>
      <c r="B823" s="20">
        <v>46225</v>
      </c>
      <c r="C823" s="19" t="s">
        <v>47</v>
      </c>
      <c r="D823" s="19" t="s">
        <v>14</v>
      </c>
      <c r="E823" s="19" t="s">
        <v>22</v>
      </c>
      <c r="F823" s="19" t="s">
        <v>27</v>
      </c>
      <c r="G823" s="19" t="s">
        <v>155</v>
      </c>
      <c r="H823" s="19" t="s">
        <v>55</v>
      </c>
      <c r="I823" s="19">
        <v>4</v>
      </c>
      <c r="J823" s="21">
        <v>180</v>
      </c>
      <c r="K823" s="22">
        <v>0</v>
      </c>
      <c r="L823" s="21">
        <v>720</v>
      </c>
    </row>
    <row r="824" spans="1:12">
      <c r="A824" s="19" t="s">
        <v>894</v>
      </c>
      <c r="B824" s="20">
        <v>46097</v>
      </c>
      <c r="C824" s="19" t="s">
        <v>47</v>
      </c>
      <c r="D824" s="19" t="s">
        <v>35</v>
      </c>
      <c r="E824" s="19" t="s">
        <v>15</v>
      </c>
      <c r="F824" s="19" t="s">
        <v>48</v>
      </c>
      <c r="G824" s="19" t="s">
        <v>54</v>
      </c>
      <c r="H824" s="19" t="s">
        <v>55</v>
      </c>
      <c r="I824" s="19">
        <v>1</v>
      </c>
      <c r="J824" s="21">
        <v>1746</v>
      </c>
      <c r="K824" s="22">
        <v>0.15</v>
      </c>
      <c r="L824" s="21">
        <v>1484.1</v>
      </c>
    </row>
    <row r="825" spans="1:12">
      <c r="A825" s="19" t="s">
        <v>895</v>
      </c>
      <c r="B825" s="20">
        <v>46108</v>
      </c>
      <c r="C825" s="19" t="s">
        <v>13</v>
      </c>
      <c r="D825" s="19" t="s">
        <v>21</v>
      </c>
      <c r="E825" s="19" t="s">
        <v>22</v>
      </c>
      <c r="F825" s="19" t="s">
        <v>73</v>
      </c>
      <c r="G825" s="19" t="s">
        <v>74</v>
      </c>
      <c r="H825" s="19" t="s">
        <v>43</v>
      </c>
      <c r="I825" s="19">
        <v>1</v>
      </c>
      <c r="J825" s="21">
        <v>8.48</v>
      </c>
      <c r="K825" s="22">
        <v>0.1</v>
      </c>
      <c r="L825" s="21">
        <v>7.6320000000000006</v>
      </c>
    </row>
    <row r="826" spans="1:12">
      <c r="A826" s="19" t="s">
        <v>896</v>
      </c>
      <c r="B826" s="20">
        <v>46291</v>
      </c>
      <c r="C826" s="19" t="s">
        <v>13</v>
      </c>
      <c r="D826" s="19" t="s">
        <v>35</v>
      </c>
      <c r="E826" s="19" t="s">
        <v>15</v>
      </c>
      <c r="F826" s="19" t="s">
        <v>23</v>
      </c>
      <c r="G826" s="19" t="s">
        <v>52</v>
      </c>
      <c r="H826" s="19" t="s">
        <v>18</v>
      </c>
      <c r="I826" s="19">
        <v>11</v>
      </c>
      <c r="J826" s="21">
        <v>450</v>
      </c>
      <c r="K826" s="22">
        <v>0.1</v>
      </c>
      <c r="L826" s="21">
        <v>4455</v>
      </c>
    </row>
    <row r="827" spans="1:12">
      <c r="A827" s="19" t="s">
        <v>897</v>
      </c>
      <c r="B827" s="20">
        <v>46229</v>
      </c>
      <c r="C827" s="19" t="s">
        <v>86</v>
      </c>
      <c r="D827" s="19" t="s">
        <v>14</v>
      </c>
      <c r="E827" s="19" t="s">
        <v>22</v>
      </c>
      <c r="F827" s="19" t="s">
        <v>23</v>
      </c>
      <c r="G827" s="19" t="s">
        <v>52</v>
      </c>
      <c r="H827" s="19" t="s">
        <v>93</v>
      </c>
      <c r="I827" s="19">
        <v>5</v>
      </c>
      <c r="J827" s="21">
        <v>450</v>
      </c>
      <c r="K827" s="22">
        <v>0</v>
      </c>
      <c r="L827" s="21">
        <v>2250</v>
      </c>
    </row>
    <row r="828" spans="1:12">
      <c r="A828" s="19" t="s">
        <v>898</v>
      </c>
      <c r="B828" s="20">
        <v>46215</v>
      </c>
      <c r="C828" s="19" t="s">
        <v>47</v>
      </c>
      <c r="D828" s="19" t="s">
        <v>14</v>
      </c>
      <c r="E828" s="19" t="s">
        <v>22</v>
      </c>
      <c r="F828" s="19" t="s">
        <v>23</v>
      </c>
      <c r="G828" s="19" t="s">
        <v>38</v>
      </c>
      <c r="H828" s="19" t="s">
        <v>83</v>
      </c>
      <c r="I828" s="19">
        <v>1</v>
      </c>
      <c r="J828" s="21">
        <v>320</v>
      </c>
      <c r="K828" s="22">
        <v>0.15</v>
      </c>
      <c r="L828" s="21">
        <v>272</v>
      </c>
    </row>
    <row r="829" spans="1:12">
      <c r="A829" s="19" t="s">
        <v>899</v>
      </c>
      <c r="B829" s="20">
        <v>46280</v>
      </c>
      <c r="C829" s="19" t="s">
        <v>31</v>
      </c>
      <c r="D829" s="19" t="s">
        <v>21</v>
      </c>
      <c r="E829" s="19" t="s">
        <v>15</v>
      </c>
      <c r="F829" s="19" t="s">
        <v>73</v>
      </c>
      <c r="G829" s="19" t="s">
        <v>129</v>
      </c>
      <c r="H829" s="19" t="s">
        <v>79</v>
      </c>
      <c r="I829" s="19">
        <v>4</v>
      </c>
      <c r="J829" s="21">
        <v>35</v>
      </c>
      <c r="K829" s="22">
        <v>0.08</v>
      </c>
      <c r="L829" s="21">
        <v>128.80000000000001</v>
      </c>
    </row>
    <row r="830" spans="1:12">
      <c r="A830" s="19" t="s">
        <v>900</v>
      </c>
      <c r="B830" s="20">
        <v>46119</v>
      </c>
      <c r="C830" s="19" t="s">
        <v>31</v>
      </c>
      <c r="D830" s="19" t="s">
        <v>41</v>
      </c>
      <c r="E830" s="19" t="s">
        <v>15</v>
      </c>
      <c r="F830" s="19" t="s">
        <v>16</v>
      </c>
      <c r="G830" s="19" t="s">
        <v>65</v>
      </c>
      <c r="H830" s="19" t="s">
        <v>39</v>
      </c>
      <c r="I830" s="19">
        <v>3</v>
      </c>
      <c r="J830" s="21">
        <v>80</v>
      </c>
      <c r="K830" s="22">
        <v>0.05</v>
      </c>
      <c r="L830" s="21">
        <v>228</v>
      </c>
    </row>
    <row r="831" spans="1:12">
      <c r="A831" s="19" t="s">
        <v>901</v>
      </c>
      <c r="B831" s="20">
        <v>46237</v>
      </c>
      <c r="C831" s="19" t="s">
        <v>20</v>
      </c>
      <c r="D831" s="19" t="s">
        <v>14</v>
      </c>
      <c r="E831" s="19" t="s">
        <v>22</v>
      </c>
      <c r="F831" s="19" t="s">
        <v>16</v>
      </c>
      <c r="G831" s="19" t="s">
        <v>69</v>
      </c>
      <c r="H831" s="19" t="s">
        <v>58</v>
      </c>
      <c r="I831" s="19">
        <v>7</v>
      </c>
      <c r="J831" s="21">
        <v>53.35</v>
      </c>
      <c r="K831" s="22">
        <v>0.08</v>
      </c>
      <c r="L831" s="21">
        <v>343.57400000000001</v>
      </c>
    </row>
    <row r="832" spans="1:12">
      <c r="A832" s="19" t="s">
        <v>902</v>
      </c>
      <c r="B832" s="20">
        <v>46088</v>
      </c>
      <c r="C832" s="19" t="s">
        <v>31</v>
      </c>
      <c r="D832" s="19" t="s">
        <v>35</v>
      </c>
      <c r="E832" s="19" t="s">
        <v>22</v>
      </c>
      <c r="F832" s="19" t="s">
        <v>23</v>
      </c>
      <c r="G832" s="19" t="s">
        <v>38</v>
      </c>
      <c r="H832" s="19" t="s">
        <v>39</v>
      </c>
      <c r="I832" s="19">
        <v>7</v>
      </c>
      <c r="J832" s="21">
        <v>326.39999999999998</v>
      </c>
      <c r="K832" s="22">
        <v>0.1</v>
      </c>
      <c r="L832" s="21">
        <v>2056.3199999999997</v>
      </c>
    </row>
    <row r="833" spans="1:12">
      <c r="A833" s="19" t="s">
        <v>903</v>
      </c>
      <c r="B833" s="20">
        <v>46248</v>
      </c>
      <c r="C833" s="19" t="s">
        <v>47</v>
      </c>
      <c r="D833" s="19" t="s">
        <v>14</v>
      </c>
      <c r="E833" s="19" t="s">
        <v>22</v>
      </c>
      <c r="F833" s="19" t="s">
        <v>48</v>
      </c>
      <c r="G833" s="19" t="s">
        <v>99</v>
      </c>
      <c r="H833" s="19" t="s">
        <v>50</v>
      </c>
      <c r="I833" s="19">
        <v>1</v>
      </c>
      <c r="J833" s="21">
        <v>3000</v>
      </c>
      <c r="K833" s="22">
        <v>0</v>
      </c>
      <c r="L833" s="21">
        <v>3000</v>
      </c>
    </row>
    <row r="834" spans="1:12">
      <c r="A834" s="19" t="s">
        <v>904</v>
      </c>
      <c r="B834" s="20">
        <v>46279</v>
      </c>
      <c r="C834" s="19" t="s">
        <v>31</v>
      </c>
      <c r="D834" s="19" t="s">
        <v>35</v>
      </c>
      <c r="E834" s="19" t="s">
        <v>22</v>
      </c>
      <c r="F834" s="19" t="s">
        <v>48</v>
      </c>
      <c r="G834" s="19" t="s">
        <v>54</v>
      </c>
      <c r="H834" s="19" t="s">
        <v>79</v>
      </c>
      <c r="I834" s="19">
        <v>2</v>
      </c>
      <c r="J834" s="21">
        <v>1800</v>
      </c>
      <c r="K834" s="22">
        <v>0.03</v>
      </c>
      <c r="L834" s="21">
        <v>3492</v>
      </c>
    </row>
    <row r="835" spans="1:12">
      <c r="A835" s="19" t="s">
        <v>905</v>
      </c>
      <c r="B835" s="20">
        <v>46061</v>
      </c>
      <c r="C835" s="19" t="s">
        <v>86</v>
      </c>
      <c r="D835" s="19" t="s">
        <v>14</v>
      </c>
      <c r="E835" s="19" t="s">
        <v>22</v>
      </c>
      <c r="F835" s="19" t="s">
        <v>16</v>
      </c>
      <c r="G835" s="19" t="s">
        <v>17</v>
      </c>
      <c r="H835" s="19" t="s">
        <v>93</v>
      </c>
      <c r="I835" s="19">
        <v>3</v>
      </c>
      <c r="J835" s="21">
        <v>15</v>
      </c>
      <c r="K835" s="22">
        <v>0.1</v>
      </c>
      <c r="L835" s="21">
        <v>40.5</v>
      </c>
    </row>
    <row r="836" spans="1:12">
      <c r="A836" s="19" t="s">
        <v>906</v>
      </c>
      <c r="B836" s="20">
        <v>46226</v>
      </c>
      <c r="C836" s="19" t="s">
        <v>20</v>
      </c>
      <c r="D836" s="19" t="s">
        <v>14</v>
      </c>
      <c r="E836" s="19" t="s">
        <v>15</v>
      </c>
      <c r="F836" s="19" t="s">
        <v>16</v>
      </c>
      <c r="G836" s="19" t="s">
        <v>42</v>
      </c>
      <c r="H836" s="19" t="s">
        <v>25</v>
      </c>
      <c r="I836" s="19">
        <v>2</v>
      </c>
      <c r="J836" s="21">
        <v>45</v>
      </c>
      <c r="K836" s="22">
        <v>0.08</v>
      </c>
      <c r="L836" s="21">
        <v>82.8</v>
      </c>
    </row>
    <row r="837" spans="1:12">
      <c r="A837" s="19" t="s">
        <v>907</v>
      </c>
      <c r="B837" s="20">
        <v>46166</v>
      </c>
      <c r="C837" s="19" t="s">
        <v>13</v>
      </c>
      <c r="D837" s="19" t="s">
        <v>35</v>
      </c>
      <c r="E837" s="19" t="s">
        <v>22</v>
      </c>
      <c r="F837" s="19" t="s">
        <v>27</v>
      </c>
      <c r="G837" s="19" t="s">
        <v>155</v>
      </c>
      <c r="H837" s="19" t="s">
        <v>43</v>
      </c>
      <c r="I837" s="19">
        <v>8</v>
      </c>
      <c r="J837" s="21">
        <v>190.8</v>
      </c>
      <c r="K837" s="22">
        <v>0.05</v>
      </c>
      <c r="L837" s="21">
        <v>1450.08</v>
      </c>
    </row>
    <row r="838" spans="1:12">
      <c r="A838" s="19" t="s">
        <v>908</v>
      </c>
      <c r="B838" s="20">
        <v>46208</v>
      </c>
      <c r="C838" s="19" t="s">
        <v>13</v>
      </c>
      <c r="D838" s="19" t="s">
        <v>14</v>
      </c>
      <c r="E838" s="19" t="s">
        <v>22</v>
      </c>
      <c r="F838" s="19" t="s">
        <v>16</v>
      </c>
      <c r="G838" s="19" t="s">
        <v>17</v>
      </c>
      <c r="H838" s="19" t="s">
        <v>43</v>
      </c>
      <c r="I838" s="19">
        <v>4</v>
      </c>
      <c r="J838" s="21">
        <v>15.3</v>
      </c>
      <c r="K838" s="22">
        <v>0.03</v>
      </c>
      <c r="L838" s="21">
        <v>59.364000000000004</v>
      </c>
    </row>
    <row r="839" spans="1:12">
      <c r="A839" s="19" t="s">
        <v>909</v>
      </c>
      <c r="B839" s="20">
        <v>46188</v>
      </c>
      <c r="C839" s="19" t="s">
        <v>31</v>
      </c>
      <c r="D839" s="19" t="s">
        <v>41</v>
      </c>
      <c r="E839" s="19" t="s">
        <v>22</v>
      </c>
      <c r="F839" s="19" t="s">
        <v>60</v>
      </c>
      <c r="G839" s="19" t="s">
        <v>67</v>
      </c>
      <c r="H839" s="19" t="s">
        <v>79</v>
      </c>
      <c r="I839" s="19">
        <v>2</v>
      </c>
      <c r="J839" s="21">
        <v>1560</v>
      </c>
      <c r="K839" s="22">
        <v>0.1</v>
      </c>
      <c r="L839" s="21">
        <v>2808</v>
      </c>
    </row>
    <row r="840" spans="1:12">
      <c r="A840" s="19" t="s">
        <v>910</v>
      </c>
      <c r="B840" s="20">
        <v>46140</v>
      </c>
      <c r="C840" s="19" t="s">
        <v>31</v>
      </c>
      <c r="D840" s="19" t="s">
        <v>14</v>
      </c>
      <c r="E840" s="19" t="s">
        <v>22</v>
      </c>
      <c r="F840" s="19" t="s">
        <v>73</v>
      </c>
      <c r="G840" s="19" t="s">
        <v>127</v>
      </c>
      <c r="H840" s="19" t="s">
        <v>79</v>
      </c>
      <c r="I840" s="19">
        <v>4</v>
      </c>
      <c r="J840" s="21">
        <v>24.25</v>
      </c>
      <c r="K840" s="22">
        <v>0.15</v>
      </c>
      <c r="L840" s="21">
        <v>82.45</v>
      </c>
    </row>
    <row r="841" spans="1:12">
      <c r="A841" s="19" t="s">
        <v>911</v>
      </c>
      <c r="B841" s="20">
        <v>46237</v>
      </c>
      <c r="C841" s="19" t="s">
        <v>13</v>
      </c>
      <c r="D841" s="19" t="s">
        <v>21</v>
      </c>
      <c r="E841" s="19" t="s">
        <v>22</v>
      </c>
      <c r="F841" s="19" t="s">
        <v>73</v>
      </c>
      <c r="G841" s="19" t="s">
        <v>145</v>
      </c>
      <c r="H841" s="19" t="s">
        <v>43</v>
      </c>
      <c r="I841" s="19">
        <v>2</v>
      </c>
      <c r="J841" s="21">
        <v>18</v>
      </c>
      <c r="K841" s="22">
        <v>0.05</v>
      </c>
      <c r="L841" s="21">
        <v>34.199999999999996</v>
      </c>
    </row>
    <row r="842" spans="1:12">
      <c r="A842" s="19" t="s">
        <v>912</v>
      </c>
      <c r="B842" s="20">
        <v>46349</v>
      </c>
      <c r="C842" s="19" t="s">
        <v>31</v>
      </c>
      <c r="D842" s="19" t="s">
        <v>14</v>
      </c>
      <c r="E842" s="19" t="s">
        <v>15</v>
      </c>
      <c r="F842" s="19" t="s">
        <v>73</v>
      </c>
      <c r="G842" s="19" t="s">
        <v>127</v>
      </c>
      <c r="H842" s="19" t="s">
        <v>79</v>
      </c>
      <c r="I842" s="19">
        <v>4</v>
      </c>
      <c r="J842" s="21">
        <v>26</v>
      </c>
      <c r="K842" s="22">
        <v>0.15</v>
      </c>
      <c r="L842" s="21">
        <v>88.399999999999991</v>
      </c>
    </row>
    <row r="843" spans="1:12">
      <c r="A843" s="19" t="s">
        <v>913</v>
      </c>
      <c r="B843" s="20">
        <v>46378</v>
      </c>
      <c r="C843" s="19" t="s">
        <v>47</v>
      </c>
      <c r="D843" s="19" t="s">
        <v>41</v>
      </c>
      <c r="E843" s="19" t="s">
        <v>22</v>
      </c>
      <c r="F843" s="19" t="s">
        <v>60</v>
      </c>
      <c r="G843" s="19" t="s">
        <v>91</v>
      </c>
      <c r="H843" s="19" t="s">
        <v>55</v>
      </c>
      <c r="I843" s="19">
        <v>4</v>
      </c>
      <c r="J843" s="21">
        <v>614.79999999999995</v>
      </c>
      <c r="K843" s="22">
        <v>0.1</v>
      </c>
      <c r="L843" s="21">
        <v>2213.2799999999997</v>
      </c>
    </row>
    <row r="844" spans="1:12">
      <c r="A844" s="19" t="s">
        <v>914</v>
      </c>
      <c r="B844" s="20">
        <v>46332</v>
      </c>
      <c r="C844" s="19" t="s">
        <v>31</v>
      </c>
      <c r="D844" s="19" t="s">
        <v>41</v>
      </c>
      <c r="E844" s="19" t="s">
        <v>22</v>
      </c>
      <c r="F844" s="19" t="s">
        <v>27</v>
      </c>
      <c r="G844" s="19" t="s">
        <v>155</v>
      </c>
      <c r="H844" s="19" t="s">
        <v>79</v>
      </c>
      <c r="I844" s="19">
        <v>2</v>
      </c>
      <c r="J844" s="21">
        <v>190.8</v>
      </c>
      <c r="K844" s="22">
        <v>0.08</v>
      </c>
      <c r="L844" s="21">
        <v>351.07200000000006</v>
      </c>
    </row>
    <row r="845" spans="1:12">
      <c r="A845" s="19" t="s">
        <v>915</v>
      </c>
      <c r="B845" s="20">
        <v>46164</v>
      </c>
      <c r="C845" s="19" t="s">
        <v>86</v>
      </c>
      <c r="D845" s="19" t="s">
        <v>21</v>
      </c>
      <c r="E845" s="19" t="s">
        <v>22</v>
      </c>
      <c r="F845" s="19" t="s">
        <v>16</v>
      </c>
      <c r="G845" s="19" t="s">
        <v>57</v>
      </c>
      <c r="H845" s="19" t="s">
        <v>87</v>
      </c>
      <c r="I845" s="19">
        <v>2</v>
      </c>
      <c r="J845" s="21">
        <v>40.28</v>
      </c>
      <c r="K845" s="22">
        <v>0.03</v>
      </c>
      <c r="L845" s="21">
        <v>78.143199999999993</v>
      </c>
    </row>
    <row r="846" spans="1:12">
      <c r="A846" s="19" t="s">
        <v>916</v>
      </c>
      <c r="B846" s="20">
        <v>46278</v>
      </c>
      <c r="C846" s="19" t="s">
        <v>31</v>
      </c>
      <c r="D846" s="19" t="s">
        <v>14</v>
      </c>
      <c r="E846" s="19" t="s">
        <v>22</v>
      </c>
      <c r="F846" s="19" t="s">
        <v>23</v>
      </c>
      <c r="G846" s="19" t="s">
        <v>52</v>
      </c>
      <c r="H846" s="19" t="s">
        <v>79</v>
      </c>
      <c r="I846" s="19">
        <v>6</v>
      </c>
      <c r="J846" s="21">
        <v>477</v>
      </c>
      <c r="K846" s="22">
        <v>0.1</v>
      </c>
      <c r="L846" s="21">
        <v>2575.8000000000002</v>
      </c>
    </row>
    <row r="847" spans="1:12">
      <c r="A847" s="19" t="s">
        <v>917</v>
      </c>
      <c r="B847" s="20">
        <v>46162</v>
      </c>
      <c r="C847" s="19" t="s">
        <v>20</v>
      </c>
      <c r="D847" s="19" t="s">
        <v>14</v>
      </c>
      <c r="E847" s="19" t="s">
        <v>15</v>
      </c>
      <c r="F847" s="19" t="s">
        <v>48</v>
      </c>
      <c r="G847" s="19" t="s">
        <v>96</v>
      </c>
      <c r="H847" s="19" t="s">
        <v>63</v>
      </c>
      <c r="I847" s="19">
        <v>1</v>
      </c>
      <c r="J847" s="21">
        <v>2600</v>
      </c>
      <c r="K847" s="22">
        <v>0</v>
      </c>
      <c r="L847" s="21">
        <v>2600</v>
      </c>
    </row>
    <row r="848" spans="1:12">
      <c r="A848" s="19" t="s">
        <v>918</v>
      </c>
      <c r="B848" s="20">
        <v>46098</v>
      </c>
      <c r="C848" s="19" t="s">
        <v>20</v>
      </c>
      <c r="D848" s="19" t="s">
        <v>14</v>
      </c>
      <c r="E848" s="19" t="s">
        <v>15</v>
      </c>
      <c r="F848" s="19" t="s">
        <v>60</v>
      </c>
      <c r="G848" s="19" t="s">
        <v>61</v>
      </c>
      <c r="H848" s="19" t="s">
        <v>63</v>
      </c>
      <c r="I848" s="19">
        <v>1</v>
      </c>
      <c r="J848" s="21">
        <v>850</v>
      </c>
      <c r="K848" s="22">
        <v>0.03</v>
      </c>
      <c r="L848" s="21">
        <v>824.5</v>
      </c>
    </row>
    <row r="849" spans="1:12">
      <c r="A849" s="19" t="s">
        <v>919</v>
      </c>
      <c r="B849" s="20">
        <v>46171</v>
      </c>
      <c r="C849" s="19" t="s">
        <v>31</v>
      </c>
      <c r="D849" s="19" t="s">
        <v>41</v>
      </c>
      <c r="E849" s="19" t="s">
        <v>15</v>
      </c>
      <c r="F849" s="19" t="s">
        <v>48</v>
      </c>
      <c r="G849" s="19" t="s">
        <v>49</v>
      </c>
      <c r="H849" s="19" t="s">
        <v>79</v>
      </c>
      <c r="I849" s="19">
        <v>1</v>
      </c>
      <c r="J849" s="21">
        <v>4200</v>
      </c>
      <c r="K849" s="22">
        <v>0.1</v>
      </c>
      <c r="L849" s="21">
        <v>3780</v>
      </c>
    </row>
    <row r="850" spans="1:12">
      <c r="A850" s="19" t="s">
        <v>920</v>
      </c>
      <c r="B850" s="20">
        <v>46170</v>
      </c>
      <c r="C850" s="19" t="s">
        <v>13</v>
      </c>
      <c r="D850" s="19" t="s">
        <v>14</v>
      </c>
      <c r="E850" s="19" t="s">
        <v>15</v>
      </c>
      <c r="F850" s="19" t="s">
        <v>16</v>
      </c>
      <c r="G850" s="19" t="s">
        <v>69</v>
      </c>
      <c r="H850" s="19" t="s">
        <v>18</v>
      </c>
      <c r="I850" s="19">
        <v>6</v>
      </c>
      <c r="J850" s="21">
        <v>56.1</v>
      </c>
      <c r="K850" s="22">
        <v>0</v>
      </c>
      <c r="L850" s="21">
        <v>336.6</v>
      </c>
    </row>
    <row r="851" spans="1:12">
      <c r="A851" s="19" t="s">
        <v>921</v>
      </c>
      <c r="B851" s="20">
        <v>46387</v>
      </c>
      <c r="C851" s="19" t="s">
        <v>13</v>
      </c>
      <c r="D851" s="19" t="s">
        <v>14</v>
      </c>
      <c r="E851" s="19" t="s">
        <v>22</v>
      </c>
      <c r="F851" s="19" t="s">
        <v>60</v>
      </c>
      <c r="G851" s="19" t="s">
        <v>61</v>
      </c>
      <c r="H851" s="19" t="s">
        <v>29</v>
      </c>
      <c r="I851" s="19">
        <v>2</v>
      </c>
      <c r="J851" s="21">
        <v>867</v>
      </c>
      <c r="K851" s="22">
        <v>0.15</v>
      </c>
      <c r="L851" s="21">
        <v>1473.8999999999999</v>
      </c>
    </row>
    <row r="852" spans="1:12">
      <c r="A852" s="19" t="s">
        <v>922</v>
      </c>
      <c r="B852" s="20">
        <v>46233</v>
      </c>
      <c r="C852" s="19" t="s">
        <v>13</v>
      </c>
      <c r="D852" s="19" t="s">
        <v>41</v>
      </c>
      <c r="E852" s="19" t="s">
        <v>15</v>
      </c>
      <c r="F852" s="19" t="s">
        <v>27</v>
      </c>
      <c r="G852" s="19" t="s">
        <v>32</v>
      </c>
      <c r="H852" s="19" t="s">
        <v>43</v>
      </c>
      <c r="I852" s="19">
        <v>1</v>
      </c>
      <c r="J852" s="21">
        <v>280</v>
      </c>
      <c r="K852" s="22">
        <v>0.08</v>
      </c>
      <c r="L852" s="21">
        <v>257.60000000000002</v>
      </c>
    </row>
    <row r="853" spans="1:12">
      <c r="A853" s="19" t="s">
        <v>923</v>
      </c>
      <c r="B853" s="20">
        <v>46134</v>
      </c>
      <c r="C853" s="19" t="s">
        <v>47</v>
      </c>
      <c r="D853" s="19" t="s">
        <v>21</v>
      </c>
      <c r="E853" s="19" t="s">
        <v>22</v>
      </c>
      <c r="F853" s="19" t="s">
        <v>16</v>
      </c>
      <c r="G853" s="19" t="s">
        <v>69</v>
      </c>
      <c r="H853" s="19" t="s">
        <v>83</v>
      </c>
      <c r="I853" s="19">
        <v>2</v>
      </c>
      <c r="J853" s="21">
        <v>55</v>
      </c>
      <c r="K853" s="22">
        <v>0</v>
      </c>
      <c r="L853" s="21">
        <v>110</v>
      </c>
    </row>
    <row r="854" spans="1:12">
      <c r="A854" s="19" t="s">
        <v>924</v>
      </c>
      <c r="B854" s="20">
        <v>46117</v>
      </c>
      <c r="C854" s="19" t="s">
        <v>13</v>
      </c>
      <c r="D854" s="19" t="s">
        <v>14</v>
      </c>
      <c r="E854" s="19" t="s">
        <v>15</v>
      </c>
      <c r="F854" s="19" t="s">
        <v>16</v>
      </c>
      <c r="G854" s="19" t="s">
        <v>57</v>
      </c>
      <c r="H854" s="19" t="s">
        <v>29</v>
      </c>
      <c r="I854" s="19">
        <v>3</v>
      </c>
      <c r="J854" s="21">
        <v>38</v>
      </c>
      <c r="K854" s="22">
        <v>0.03</v>
      </c>
      <c r="L854" s="21">
        <v>110.58</v>
      </c>
    </row>
    <row r="855" spans="1:12">
      <c r="A855" s="19" t="s">
        <v>925</v>
      </c>
      <c r="B855" s="20">
        <v>46291</v>
      </c>
      <c r="C855" s="19" t="s">
        <v>31</v>
      </c>
      <c r="D855" s="19" t="s">
        <v>35</v>
      </c>
      <c r="E855" s="19" t="s">
        <v>22</v>
      </c>
      <c r="F855" s="19" t="s">
        <v>48</v>
      </c>
      <c r="G855" s="19" t="s">
        <v>99</v>
      </c>
      <c r="H855" s="19" t="s">
        <v>79</v>
      </c>
      <c r="I855" s="19">
        <v>1</v>
      </c>
      <c r="J855" s="21">
        <v>3000</v>
      </c>
      <c r="K855" s="22">
        <v>0.03</v>
      </c>
      <c r="L855" s="21">
        <v>2910</v>
      </c>
    </row>
    <row r="856" spans="1:12">
      <c r="A856" s="19" t="s">
        <v>926</v>
      </c>
      <c r="B856" s="20">
        <v>46119</v>
      </c>
      <c r="C856" s="19" t="s">
        <v>47</v>
      </c>
      <c r="D856" s="19" t="s">
        <v>21</v>
      </c>
      <c r="E856" s="19" t="s">
        <v>22</v>
      </c>
      <c r="F856" s="19" t="s">
        <v>16</v>
      </c>
      <c r="G856" s="19" t="s">
        <v>42</v>
      </c>
      <c r="H856" s="19" t="s">
        <v>55</v>
      </c>
      <c r="I856" s="19">
        <v>2</v>
      </c>
      <c r="J856" s="21">
        <v>46.8</v>
      </c>
      <c r="K856" s="22">
        <v>0.03</v>
      </c>
      <c r="L856" s="21">
        <v>90.791999999999987</v>
      </c>
    </row>
    <row r="857" spans="1:12">
      <c r="A857" s="19" t="s">
        <v>927</v>
      </c>
      <c r="B857" s="20">
        <v>46364</v>
      </c>
      <c r="C857" s="19" t="s">
        <v>86</v>
      </c>
      <c r="D857" s="19" t="s">
        <v>21</v>
      </c>
      <c r="E857" s="19" t="s">
        <v>22</v>
      </c>
      <c r="F857" s="19" t="s">
        <v>23</v>
      </c>
      <c r="G857" s="19" t="s">
        <v>138</v>
      </c>
      <c r="H857" s="19" t="s">
        <v>102</v>
      </c>
      <c r="I857" s="19">
        <v>2</v>
      </c>
      <c r="J857" s="21">
        <v>58.2</v>
      </c>
      <c r="K857" s="22">
        <v>0.05</v>
      </c>
      <c r="L857" s="21">
        <v>110.58</v>
      </c>
    </row>
    <row r="858" spans="1:12">
      <c r="A858" s="19" t="s">
        <v>928</v>
      </c>
      <c r="B858" s="20">
        <v>46273</v>
      </c>
      <c r="C858" s="19" t="s">
        <v>86</v>
      </c>
      <c r="D858" s="19" t="s">
        <v>14</v>
      </c>
      <c r="E858" s="19" t="s">
        <v>15</v>
      </c>
      <c r="F858" s="19" t="s">
        <v>16</v>
      </c>
      <c r="G858" s="19" t="s">
        <v>17</v>
      </c>
      <c r="H858" s="19" t="s">
        <v>87</v>
      </c>
      <c r="I858" s="19">
        <v>1</v>
      </c>
      <c r="J858" s="21">
        <v>15.3</v>
      </c>
      <c r="K858" s="22">
        <v>0.05</v>
      </c>
      <c r="L858" s="21">
        <v>14.535</v>
      </c>
    </row>
    <row r="859" spans="1:12">
      <c r="A859" s="19" t="s">
        <v>929</v>
      </c>
      <c r="B859" s="20">
        <v>46059</v>
      </c>
      <c r="C859" s="19" t="s">
        <v>86</v>
      </c>
      <c r="D859" s="19" t="s">
        <v>21</v>
      </c>
      <c r="E859" s="19" t="s">
        <v>15</v>
      </c>
      <c r="F859" s="19" t="s">
        <v>16</v>
      </c>
      <c r="G859" s="19" t="s">
        <v>17</v>
      </c>
      <c r="H859" s="19" t="s">
        <v>93</v>
      </c>
      <c r="I859" s="19">
        <v>4</v>
      </c>
      <c r="J859" s="21">
        <v>14.25</v>
      </c>
      <c r="K859" s="22">
        <v>0.08</v>
      </c>
      <c r="L859" s="21">
        <v>52.440000000000005</v>
      </c>
    </row>
    <row r="860" spans="1:12">
      <c r="A860" s="19" t="s">
        <v>930</v>
      </c>
      <c r="B860" s="20">
        <v>46166</v>
      </c>
      <c r="C860" s="19" t="s">
        <v>47</v>
      </c>
      <c r="D860" s="19" t="s">
        <v>35</v>
      </c>
      <c r="E860" s="19" t="s">
        <v>22</v>
      </c>
      <c r="F860" s="19" t="s">
        <v>60</v>
      </c>
      <c r="G860" s="19" t="s">
        <v>61</v>
      </c>
      <c r="H860" s="19" t="s">
        <v>50</v>
      </c>
      <c r="I860" s="19">
        <v>1</v>
      </c>
      <c r="J860" s="21">
        <v>850</v>
      </c>
      <c r="K860" s="22">
        <v>0.05</v>
      </c>
      <c r="L860" s="21">
        <v>807.5</v>
      </c>
    </row>
    <row r="861" spans="1:12">
      <c r="A861" s="19" t="s">
        <v>931</v>
      </c>
      <c r="B861" s="20">
        <v>46077</v>
      </c>
      <c r="C861" s="19" t="s">
        <v>20</v>
      </c>
      <c r="D861" s="19" t="s">
        <v>14</v>
      </c>
      <c r="E861" s="19" t="s">
        <v>22</v>
      </c>
      <c r="F861" s="19" t="s">
        <v>73</v>
      </c>
      <c r="G861" s="19" t="s">
        <v>81</v>
      </c>
      <c r="H861" s="19" t="s">
        <v>25</v>
      </c>
      <c r="I861" s="19">
        <v>4</v>
      </c>
      <c r="J861" s="21">
        <v>12</v>
      </c>
      <c r="K861" s="22">
        <v>0.15</v>
      </c>
      <c r="L861" s="21">
        <v>40.799999999999997</v>
      </c>
    </row>
    <row r="862" spans="1:12">
      <c r="A862" s="19" t="s">
        <v>932</v>
      </c>
      <c r="B862" s="20">
        <v>46376</v>
      </c>
      <c r="C862" s="19" t="s">
        <v>86</v>
      </c>
      <c r="D862" s="19" t="s">
        <v>35</v>
      </c>
      <c r="E862" s="19" t="s">
        <v>22</v>
      </c>
      <c r="F862" s="19" t="s">
        <v>48</v>
      </c>
      <c r="G862" s="19" t="s">
        <v>96</v>
      </c>
      <c r="H862" s="19" t="s">
        <v>87</v>
      </c>
      <c r="I862" s="19">
        <v>1</v>
      </c>
      <c r="J862" s="21">
        <v>2375</v>
      </c>
      <c r="K862" s="22">
        <v>0.08</v>
      </c>
      <c r="L862" s="21">
        <v>2185</v>
      </c>
    </row>
    <row r="863" spans="1:12">
      <c r="A863" s="19" t="s">
        <v>933</v>
      </c>
      <c r="B863" s="20">
        <v>46141</v>
      </c>
      <c r="C863" s="19" t="s">
        <v>13</v>
      </c>
      <c r="D863" s="19" t="s">
        <v>41</v>
      </c>
      <c r="E863" s="19" t="s">
        <v>22</v>
      </c>
      <c r="F863" s="19" t="s">
        <v>16</v>
      </c>
      <c r="G863" s="19" t="s">
        <v>57</v>
      </c>
      <c r="H863" s="19" t="s">
        <v>29</v>
      </c>
      <c r="I863" s="19">
        <v>3</v>
      </c>
      <c r="J863" s="21">
        <v>40.28</v>
      </c>
      <c r="K863" s="22">
        <v>0</v>
      </c>
      <c r="L863" s="21">
        <v>120.84</v>
      </c>
    </row>
    <row r="864" spans="1:12">
      <c r="A864" s="19" t="s">
        <v>934</v>
      </c>
      <c r="B864" s="20">
        <v>46036</v>
      </c>
      <c r="C864" s="19" t="s">
        <v>20</v>
      </c>
      <c r="D864" s="19" t="s">
        <v>41</v>
      </c>
      <c r="E864" s="19" t="s">
        <v>22</v>
      </c>
      <c r="F864" s="19" t="s">
        <v>16</v>
      </c>
      <c r="G864" s="19" t="s">
        <v>57</v>
      </c>
      <c r="H864" s="19" t="s">
        <v>25</v>
      </c>
      <c r="I864" s="19">
        <v>2</v>
      </c>
      <c r="J864" s="21">
        <v>38</v>
      </c>
      <c r="K864" s="22">
        <v>0.2</v>
      </c>
      <c r="L864" s="21">
        <v>60.800000000000004</v>
      </c>
    </row>
    <row r="865" spans="1:12">
      <c r="A865" s="19" t="s">
        <v>935</v>
      </c>
      <c r="B865" s="20">
        <v>46318</v>
      </c>
      <c r="C865" s="19" t="s">
        <v>31</v>
      </c>
      <c r="D865" s="19" t="s">
        <v>41</v>
      </c>
      <c r="E865" s="19" t="s">
        <v>22</v>
      </c>
      <c r="F865" s="19" t="s">
        <v>60</v>
      </c>
      <c r="G865" s="19" t="s">
        <v>91</v>
      </c>
      <c r="H865" s="19" t="s">
        <v>39</v>
      </c>
      <c r="I865" s="19">
        <v>1</v>
      </c>
      <c r="J865" s="21">
        <v>580</v>
      </c>
      <c r="K865" s="22">
        <v>0.08</v>
      </c>
      <c r="L865" s="21">
        <v>533.6</v>
      </c>
    </row>
    <row r="866" spans="1:12">
      <c r="A866" s="19" t="s">
        <v>936</v>
      </c>
      <c r="B866" s="20">
        <v>46308</v>
      </c>
      <c r="C866" s="19" t="s">
        <v>20</v>
      </c>
      <c r="D866" s="19" t="s">
        <v>14</v>
      </c>
      <c r="E866" s="19" t="s">
        <v>15</v>
      </c>
      <c r="F866" s="19" t="s">
        <v>60</v>
      </c>
      <c r="G866" s="19" t="s">
        <v>91</v>
      </c>
      <c r="H866" s="19" t="s">
        <v>63</v>
      </c>
      <c r="I866" s="19">
        <v>2</v>
      </c>
      <c r="J866" s="21">
        <v>614.79999999999995</v>
      </c>
      <c r="K866" s="22">
        <v>0.08</v>
      </c>
      <c r="L866" s="21">
        <v>1131.232</v>
      </c>
    </row>
    <row r="867" spans="1:12">
      <c r="A867" s="19" t="s">
        <v>937</v>
      </c>
      <c r="B867" s="20">
        <v>46120</v>
      </c>
      <c r="C867" s="19" t="s">
        <v>86</v>
      </c>
      <c r="D867" s="19" t="s">
        <v>14</v>
      </c>
      <c r="E867" s="19" t="s">
        <v>15</v>
      </c>
      <c r="F867" s="19" t="s">
        <v>16</v>
      </c>
      <c r="G867" s="19" t="s">
        <v>65</v>
      </c>
      <c r="H867" s="19" t="s">
        <v>102</v>
      </c>
      <c r="I867" s="19">
        <v>2</v>
      </c>
      <c r="J867" s="21">
        <v>80</v>
      </c>
      <c r="K867" s="22">
        <v>0.05</v>
      </c>
      <c r="L867" s="21">
        <v>152</v>
      </c>
    </row>
    <row r="868" spans="1:12">
      <c r="A868" s="19" t="s">
        <v>938</v>
      </c>
      <c r="B868" s="20">
        <v>46365</v>
      </c>
      <c r="C868" s="19" t="s">
        <v>47</v>
      </c>
      <c r="D868" s="19" t="s">
        <v>14</v>
      </c>
      <c r="E868" s="19" t="s">
        <v>22</v>
      </c>
      <c r="F868" s="19" t="s">
        <v>27</v>
      </c>
      <c r="G868" s="19" t="s">
        <v>36</v>
      </c>
      <c r="H868" s="19" t="s">
        <v>55</v>
      </c>
      <c r="I868" s="19">
        <v>1</v>
      </c>
      <c r="J868" s="21">
        <v>727.5</v>
      </c>
      <c r="K868" s="22">
        <v>0.05</v>
      </c>
      <c r="L868" s="21">
        <v>691.125</v>
      </c>
    </row>
    <row r="869" spans="1:12">
      <c r="A869" s="19" t="s">
        <v>939</v>
      </c>
      <c r="B869" s="20">
        <v>46367</v>
      </c>
      <c r="C869" s="19" t="s">
        <v>31</v>
      </c>
      <c r="D869" s="19" t="s">
        <v>35</v>
      </c>
      <c r="E869" s="19" t="s">
        <v>22</v>
      </c>
      <c r="F869" s="19" t="s">
        <v>23</v>
      </c>
      <c r="G869" s="19" t="s">
        <v>24</v>
      </c>
      <c r="H869" s="19" t="s">
        <v>79</v>
      </c>
      <c r="I869" s="19">
        <v>5</v>
      </c>
      <c r="J869" s="21">
        <v>90</v>
      </c>
      <c r="K869" s="22">
        <v>0</v>
      </c>
      <c r="L869" s="21">
        <v>450</v>
      </c>
    </row>
    <row r="870" spans="1:12">
      <c r="A870" s="19" t="s">
        <v>940</v>
      </c>
      <c r="B870" s="20">
        <v>46334</v>
      </c>
      <c r="C870" s="19" t="s">
        <v>13</v>
      </c>
      <c r="D870" s="19" t="s">
        <v>14</v>
      </c>
      <c r="E870" s="19" t="s">
        <v>15</v>
      </c>
      <c r="F870" s="19" t="s">
        <v>16</v>
      </c>
      <c r="G870" s="19" t="s">
        <v>17</v>
      </c>
      <c r="H870" s="19" t="s">
        <v>43</v>
      </c>
      <c r="I870" s="19">
        <v>4</v>
      </c>
      <c r="J870" s="21">
        <v>14.55</v>
      </c>
      <c r="K870" s="22">
        <v>0.1</v>
      </c>
      <c r="L870" s="21">
        <v>52.38</v>
      </c>
    </row>
    <row r="871" spans="1:12">
      <c r="A871" s="19" t="s">
        <v>941</v>
      </c>
      <c r="B871" s="20">
        <v>46133</v>
      </c>
      <c r="C871" s="19" t="s">
        <v>13</v>
      </c>
      <c r="D871" s="19" t="s">
        <v>21</v>
      </c>
      <c r="E871" s="19" t="s">
        <v>22</v>
      </c>
      <c r="F871" s="19" t="s">
        <v>48</v>
      </c>
      <c r="G871" s="19" t="s">
        <v>54</v>
      </c>
      <c r="H871" s="19" t="s">
        <v>29</v>
      </c>
      <c r="I871" s="19">
        <v>1</v>
      </c>
      <c r="J871" s="21">
        <v>1800</v>
      </c>
      <c r="K871" s="22">
        <v>0.1</v>
      </c>
      <c r="L871" s="21">
        <v>1620</v>
      </c>
    </row>
    <row r="872" spans="1:12">
      <c r="A872" s="19" t="s">
        <v>942</v>
      </c>
      <c r="B872" s="20">
        <v>46089</v>
      </c>
      <c r="C872" s="19" t="s">
        <v>13</v>
      </c>
      <c r="D872" s="19" t="s">
        <v>21</v>
      </c>
      <c r="E872" s="19" t="s">
        <v>15</v>
      </c>
      <c r="F872" s="19" t="s">
        <v>60</v>
      </c>
      <c r="G872" s="19" t="s">
        <v>76</v>
      </c>
      <c r="H872" s="19" t="s">
        <v>18</v>
      </c>
      <c r="I872" s="19">
        <v>1</v>
      </c>
      <c r="J872" s="21">
        <v>700</v>
      </c>
      <c r="K872" s="22">
        <v>0.1</v>
      </c>
      <c r="L872" s="21">
        <v>630</v>
      </c>
    </row>
    <row r="873" spans="1:12">
      <c r="A873" s="19" t="s">
        <v>943</v>
      </c>
      <c r="B873" s="20">
        <v>46097</v>
      </c>
      <c r="C873" s="19" t="s">
        <v>47</v>
      </c>
      <c r="D873" s="19" t="s">
        <v>14</v>
      </c>
      <c r="E873" s="19" t="s">
        <v>15</v>
      </c>
      <c r="F873" s="19" t="s">
        <v>48</v>
      </c>
      <c r="G873" s="19" t="s">
        <v>96</v>
      </c>
      <c r="H873" s="19" t="s">
        <v>50</v>
      </c>
      <c r="I873" s="19">
        <v>1</v>
      </c>
      <c r="J873" s="21">
        <v>2600</v>
      </c>
      <c r="K873" s="22">
        <v>0</v>
      </c>
      <c r="L873" s="21">
        <v>2600</v>
      </c>
    </row>
    <row r="874" spans="1:12">
      <c r="A874" s="19" t="s">
        <v>944</v>
      </c>
      <c r="B874" s="20">
        <v>46030</v>
      </c>
      <c r="C874" s="19" t="s">
        <v>20</v>
      </c>
      <c r="D874" s="19" t="s">
        <v>35</v>
      </c>
      <c r="E874" s="19" t="s">
        <v>22</v>
      </c>
      <c r="F874" s="19" t="s">
        <v>23</v>
      </c>
      <c r="G874" s="19" t="s">
        <v>38</v>
      </c>
      <c r="H874" s="19" t="s">
        <v>25</v>
      </c>
      <c r="I874" s="19">
        <v>8</v>
      </c>
      <c r="J874" s="21">
        <v>304</v>
      </c>
      <c r="K874" s="22">
        <v>0.05</v>
      </c>
      <c r="L874" s="21">
        <v>2310.4</v>
      </c>
    </row>
    <row r="875" spans="1:12">
      <c r="A875" s="19" t="s">
        <v>945</v>
      </c>
      <c r="B875" s="20">
        <v>46054</v>
      </c>
      <c r="C875" s="19" t="s">
        <v>13</v>
      </c>
      <c r="D875" s="19" t="s">
        <v>35</v>
      </c>
      <c r="E875" s="19" t="s">
        <v>15</v>
      </c>
      <c r="F875" s="19" t="s">
        <v>48</v>
      </c>
      <c r="G875" s="19" t="s">
        <v>71</v>
      </c>
      <c r="H875" s="19" t="s">
        <v>18</v>
      </c>
      <c r="I875" s="19">
        <v>1</v>
      </c>
      <c r="J875" s="21">
        <v>3200</v>
      </c>
      <c r="K875" s="22">
        <v>0.08</v>
      </c>
      <c r="L875" s="21">
        <v>2944</v>
      </c>
    </row>
    <row r="876" spans="1:12">
      <c r="A876" s="19" t="s">
        <v>946</v>
      </c>
      <c r="B876" s="20">
        <v>46296</v>
      </c>
      <c r="C876" s="19" t="s">
        <v>47</v>
      </c>
      <c r="D876" s="19" t="s">
        <v>14</v>
      </c>
      <c r="E876" s="19" t="s">
        <v>22</v>
      </c>
      <c r="F876" s="19" t="s">
        <v>48</v>
      </c>
      <c r="G876" s="19" t="s">
        <v>71</v>
      </c>
      <c r="H876" s="19" t="s">
        <v>83</v>
      </c>
      <c r="I876" s="19">
        <v>1</v>
      </c>
      <c r="J876" s="21">
        <v>3200</v>
      </c>
      <c r="K876" s="22">
        <v>0.1</v>
      </c>
      <c r="L876" s="21">
        <v>2880</v>
      </c>
    </row>
    <row r="877" spans="1:12">
      <c r="A877" s="19" t="s">
        <v>947</v>
      </c>
      <c r="B877" s="20">
        <v>46336</v>
      </c>
      <c r="C877" s="19" t="s">
        <v>86</v>
      </c>
      <c r="D877" s="19" t="s">
        <v>14</v>
      </c>
      <c r="E877" s="19" t="s">
        <v>15</v>
      </c>
      <c r="F877" s="19" t="s">
        <v>23</v>
      </c>
      <c r="G877" s="19" t="s">
        <v>52</v>
      </c>
      <c r="H877" s="19" t="s">
        <v>102</v>
      </c>
      <c r="I877" s="19">
        <v>5</v>
      </c>
      <c r="J877" s="21">
        <v>427.5</v>
      </c>
      <c r="K877" s="22">
        <v>0.03</v>
      </c>
      <c r="L877" s="21">
        <v>2073.375</v>
      </c>
    </row>
    <row r="878" spans="1:12">
      <c r="A878" s="19" t="s">
        <v>948</v>
      </c>
      <c r="B878" s="20">
        <v>46080</v>
      </c>
      <c r="C878" s="19" t="s">
        <v>86</v>
      </c>
      <c r="D878" s="19" t="s">
        <v>14</v>
      </c>
      <c r="E878" s="19" t="s">
        <v>15</v>
      </c>
      <c r="F878" s="19" t="s">
        <v>16</v>
      </c>
      <c r="G878" s="19" t="s">
        <v>69</v>
      </c>
      <c r="H878" s="19" t="s">
        <v>87</v>
      </c>
      <c r="I878" s="19">
        <v>2</v>
      </c>
      <c r="J878" s="21">
        <v>55</v>
      </c>
      <c r="K878" s="22">
        <v>0.03</v>
      </c>
      <c r="L878" s="21">
        <v>106.7</v>
      </c>
    </row>
    <row r="879" spans="1:12">
      <c r="A879" s="19" t="s">
        <v>949</v>
      </c>
      <c r="B879" s="20">
        <v>46202</v>
      </c>
      <c r="C879" s="19" t="s">
        <v>13</v>
      </c>
      <c r="D879" s="19" t="s">
        <v>41</v>
      </c>
      <c r="E879" s="19" t="s">
        <v>22</v>
      </c>
      <c r="F879" s="19" t="s">
        <v>27</v>
      </c>
      <c r="G879" s="19" t="s">
        <v>36</v>
      </c>
      <c r="H879" s="19" t="s">
        <v>18</v>
      </c>
      <c r="I879" s="19">
        <v>7</v>
      </c>
      <c r="J879" s="21">
        <v>727.5</v>
      </c>
      <c r="K879" s="22">
        <v>0.05</v>
      </c>
      <c r="L879" s="21">
        <v>4837.875</v>
      </c>
    </row>
    <row r="880" spans="1:12">
      <c r="A880" s="19" t="s">
        <v>950</v>
      </c>
      <c r="B880" s="20">
        <v>46238</v>
      </c>
      <c r="C880" s="19" t="s">
        <v>86</v>
      </c>
      <c r="D880" s="19" t="s">
        <v>41</v>
      </c>
      <c r="E880" s="19" t="s">
        <v>15</v>
      </c>
      <c r="F880" s="19" t="s">
        <v>16</v>
      </c>
      <c r="G880" s="19" t="s">
        <v>112</v>
      </c>
      <c r="H880" s="19" t="s">
        <v>93</v>
      </c>
      <c r="I880" s="19">
        <v>2</v>
      </c>
      <c r="J880" s="21">
        <v>65</v>
      </c>
      <c r="K880" s="22">
        <v>0.05</v>
      </c>
      <c r="L880" s="21">
        <v>123.5</v>
      </c>
    </row>
    <row r="881" spans="1:12">
      <c r="A881" s="19" t="s">
        <v>951</v>
      </c>
      <c r="B881" s="20">
        <v>46270</v>
      </c>
      <c r="C881" s="19" t="s">
        <v>47</v>
      </c>
      <c r="D881" s="19" t="s">
        <v>35</v>
      </c>
      <c r="E881" s="19" t="s">
        <v>22</v>
      </c>
      <c r="F881" s="19" t="s">
        <v>48</v>
      </c>
      <c r="G881" s="19" t="s">
        <v>71</v>
      </c>
      <c r="H881" s="19" t="s">
        <v>83</v>
      </c>
      <c r="I881" s="19">
        <v>3</v>
      </c>
      <c r="J881" s="21">
        <v>3200</v>
      </c>
      <c r="K881" s="22">
        <v>0.1</v>
      </c>
      <c r="L881" s="21">
        <v>8640</v>
      </c>
    </row>
    <row r="882" spans="1:12">
      <c r="A882" s="19" t="s">
        <v>952</v>
      </c>
      <c r="B882" s="20">
        <v>46349</v>
      </c>
      <c r="C882" s="19" t="s">
        <v>47</v>
      </c>
      <c r="D882" s="19" t="s">
        <v>35</v>
      </c>
      <c r="E882" s="19" t="s">
        <v>22</v>
      </c>
      <c r="F882" s="19" t="s">
        <v>27</v>
      </c>
      <c r="G882" s="19" t="s">
        <v>36</v>
      </c>
      <c r="H882" s="19" t="s">
        <v>83</v>
      </c>
      <c r="I882" s="19">
        <v>4</v>
      </c>
      <c r="J882" s="21">
        <v>765</v>
      </c>
      <c r="K882" s="22">
        <v>0.08</v>
      </c>
      <c r="L882" s="21">
        <v>2815.2000000000003</v>
      </c>
    </row>
    <row r="883" spans="1:12">
      <c r="A883" s="19" t="s">
        <v>953</v>
      </c>
      <c r="B883" s="20">
        <v>46330</v>
      </c>
      <c r="C883" s="19" t="s">
        <v>20</v>
      </c>
      <c r="D883" s="19" t="s">
        <v>41</v>
      </c>
      <c r="E883" s="19" t="s">
        <v>15</v>
      </c>
      <c r="F883" s="19" t="s">
        <v>16</v>
      </c>
      <c r="G883" s="19" t="s">
        <v>112</v>
      </c>
      <c r="H883" s="19" t="s">
        <v>63</v>
      </c>
      <c r="I883" s="19">
        <v>4</v>
      </c>
      <c r="J883" s="21">
        <v>65</v>
      </c>
      <c r="K883" s="22">
        <v>0.05</v>
      </c>
      <c r="L883" s="21">
        <v>247</v>
      </c>
    </row>
    <row r="884" spans="1:12">
      <c r="A884" s="19" t="s">
        <v>954</v>
      </c>
      <c r="B884" s="20">
        <v>46196</v>
      </c>
      <c r="C884" s="19" t="s">
        <v>47</v>
      </c>
      <c r="D884" s="19" t="s">
        <v>21</v>
      </c>
      <c r="E884" s="19" t="s">
        <v>22</v>
      </c>
      <c r="F884" s="19" t="s">
        <v>16</v>
      </c>
      <c r="G884" s="19" t="s">
        <v>17</v>
      </c>
      <c r="H884" s="19" t="s">
        <v>55</v>
      </c>
      <c r="I884" s="19">
        <v>2</v>
      </c>
      <c r="J884" s="21">
        <v>15</v>
      </c>
      <c r="K884" s="22">
        <v>0.08</v>
      </c>
      <c r="L884" s="21">
        <v>27.6</v>
      </c>
    </row>
    <row r="885" spans="1:12">
      <c r="A885" s="19" t="s">
        <v>955</v>
      </c>
      <c r="B885" s="20">
        <v>46221</v>
      </c>
      <c r="C885" s="19" t="s">
        <v>20</v>
      </c>
      <c r="D885" s="19" t="s">
        <v>14</v>
      </c>
      <c r="E885" s="19" t="s">
        <v>15</v>
      </c>
      <c r="F885" s="19" t="s">
        <v>23</v>
      </c>
      <c r="G885" s="19" t="s">
        <v>38</v>
      </c>
      <c r="H885" s="19" t="s">
        <v>25</v>
      </c>
      <c r="I885" s="19">
        <v>1</v>
      </c>
      <c r="J885" s="21">
        <v>310.39999999999998</v>
      </c>
      <c r="K885" s="22">
        <v>0</v>
      </c>
      <c r="L885" s="21">
        <v>310.39999999999998</v>
      </c>
    </row>
    <row r="886" spans="1:12">
      <c r="A886" s="19" t="s">
        <v>956</v>
      </c>
      <c r="B886" s="20">
        <v>46158</v>
      </c>
      <c r="C886" s="19" t="s">
        <v>47</v>
      </c>
      <c r="D886" s="19" t="s">
        <v>41</v>
      </c>
      <c r="E886" s="19" t="s">
        <v>15</v>
      </c>
      <c r="F886" s="19" t="s">
        <v>16</v>
      </c>
      <c r="G886" s="19" t="s">
        <v>112</v>
      </c>
      <c r="H886" s="19" t="s">
        <v>55</v>
      </c>
      <c r="I886" s="19">
        <v>2</v>
      </c>
      <c r="J886" s="21">
        <v>65</v>
      </c>
      <c r="K886" s="22">
        <v>0.15</v>
      </c>
      <c r="L886" s="21">
        <v>110.5</v>
      </c>
    </row>
    <row r="887" spans="1:12">
      <c r="A887" s="19" t="s">
        <v>957</v>
      </c>
      <c r="B887" s="20">
        <v>46386</v>
      </c>
      <c r="C887" s="19" t="s">
        <v>20</v>
      </c>
      <c r="D887" s="19" t="s">
        <v>14</v>
      </c>
      <c r="E887" s="19" t="s">
        <v>15</v>
      </c>
      <c r="F887" s="19" t="s">
        <v>23</v>
      </c>
      <c r="G887" s="19" t="s">
        <v>52</v>
      </c>
      <c r="H887" s="19" t="s">
        <v>63</v>
      </c>
      <c r="I887" s="19">
        <v>2</v>
      </c>
      <c r="J887" s="21">
        <v>450</v>
      </c>
      <c r="K887" s="22">
        <v>0</v>
      </c>
      <c r="L887" s="21">
        <v>900</v>
      </c>
    </row>
    <row r="888" spans="1:12">
      <c r="A888" s="19" t="s">
        <v>958</v>
      </c>
      <c r="B888" s="20">
        <v>46165</v>
      </c>
      <c r="C888" s="19" t="s">
        <v>31</v>
      </c>
      <c r="D888" s="19" t="s">
        <v>21</v>
      </c>
      <c r="E888" s="19" t="s">
        <v>22</v>
      </c>
      <c r="F888" s="19" t="s">
        <v>60</v>
      </c>
      <c r="G888" s="19" t="s">
        <v>61</v>
      </c>
      <c r="H888" s="19" t="s">
        <v>79</v>
      </c>
      <c r="I888" s="19">
        <v>1</v>
      </c>
      <c r="J888" s="21">
        <v>807.5</v>
      </c>
      <c r="K888" s="22">
        <v>0</v>
      </c>
      <c r="L888" s="21">
        <v>807.5</v>
      </c>
    </row>
    <row r="889" spans="1:12">
      <c r="A889" s="19" t="s">
        <v>959</v>
      </c>
      <c r="B889" s="20">
        <v>46072</v>
      </c>
      <c r="C889" s="19" t="s">
        <v>47</v>
      </c>
      <c r="D889" s="19" t="s">
        <v>21</v>
      </c>
      <c r="E889" s="19" t="s">
        <v>22</v>
      </c>
      <c r="F889" s="19" t="s">
        <v>60</v>
      </c>
      <c r="G889" s="19" t="s">
        <v>61</v>
      </c>
      <c r="H889" s="19" t="s">
        <v>83</v>
      </c>
      <c r="I889" s="19">
        <v>1</v>
      </c>
      <c r="J889" s="21">
        <v>850</v>
      </c>
      <c r="K889" s="22">
        <v>0.08</v>
      </c>
      <c r="L889" s="21">
        <v>782</v>
      </c>
    </row>
    <row r="890" spans="1:12">
      <c r="A890" s="19" t="s">
        <v>960</v>
      </c>
      <c r="B890" s="20">
        <v>46318</v>
      </c>
      <c r="C890" s="19" t="s">
        <v>31</v>
      </c>
      <c r="D890" s="19" t="s">
        <v>14</v>
      </c>
      <c r="E890" s="19" t="s">
        <v>15</v>
      </c>
      <c r="F890" s="19" t="s">
        <v>23</v>
      </c>
      <c r="G890" s="19" t="s">
        <v>38</v>
      </c>
      <c r="H890" s="19" t="s">
        <v>39</v>
      </c>
      <c r="I890" s="19">
        <v>1</v>
      </c>
      <c r="J890" s="21">
        <v>320</v>
      </c>
      <c r="K890" s="22">
        <v>0.1</v>
      </c>
      <c r="L890" s="21">
        <v>288</v>
      </c>
    </row>
    <row r="891" spans="1:12">
      <c r="A891" s="19" t="s">
        <v>961</v>
      </c>
      <c r="B891" s="20">
        <v>46371</v>
      </c>
      <c r="C891" s="19" t="s">
        <v>20</v>
      </c>
      <c r="D891" s="19" t="s">
        <v>41</v>
      </c>
      <c r="E891" s="19" t="s">
        <v>22</v>
      </c>
      <c r="F891" s="19" t="s">
        <v>60</v>
      </c>
      <c r="G891" s="19" t="s">
        <v>61</v>
      </c>
      <c r="H891" s="19" t="s">
        <v>25</v>
      </c>
      <c r="I891" s="19">
        <v>4</v>
      </c>
      <c r="J891" s="21">
        <v>884</v>
      </c>
      <c r="K891" s="22">
        <v>0.05</v>
      </c>
      <c r="L891" s="21">
        <v>3359.2</v>
      </c>
    </row>
    <row r="892" spans="1:12">
      <c r="A892" s="19" t="s">
        <v>962</v>
      </c>
      <c r="B892" s="20">
        <v>46234</v>
      </c>
      <c r="C892" s="19" t="s">
        <v>31</v>
      </c>
      <c r="D892" s="19" t="s">
        <v>14</v>
      </c>
      <c r="E892" s="19" t="s">
        <v>22</v>
      </c>
      <c r="F892" s="19" t="s">
        <v>16</v>
      </c>
      <c r="G892" s="19" t="s">
        <v>112</v>
      </c>
      <c r="H892" s="19" t="s">
        <v>33</v>
      </c>
      <c r="I892" s="19">
        <v>5</v>
      </c>
      <c r="J892" s="21">
        <v>63.05</v>
      </c>
      <c r="K892" s="22">
        <v>0.05</v>
      </c>
      <c r="L892" s="21">
        <v>299.48750000000001</v>
      </c>
    </row>
    <row r="893" spans="1:12">
      <c r="A893" s="19" t="s">
        <v>963</v>
      </c>
      <c r="B893" s="20">
        <v>46278</v>
      </c>
      <c r="C893" s="19" t="s">
        <v>47</v>
      </c>
      <c r="D893" s="19" t="s">
        <v>14</v>
      </c>
      <c r="E893" s="19" t="s">
        <v>22</v>
      </c>
      <c r="F893" s="19" t="s">
        <v>23</v>
      </c>
      <c r="G893" s="19" t="s">
        <v>38</v>
      </c>
      <c r="H893" s="19" t="s">
        <v>55</v>
      </c>
      <c r="I893" s="19">
        <v>1</v>
      </c>
      <c r="J893" s="21">
        <v>320</v>
      </c>
      <c r="K893" s="22">
        <v>0</v>
      </c>
      <c r="L893" s="21">
        <v>320</v>
      </c>
    </row>
    <row r="894" spans="1:12">
      <c r="A894" s="19" t="s">
        <v>964</v>
      </c>
      <c r="B894" s="20">
        <v>46306</v>
      </c>
      <c r="C894" s="19" t="s">
        <v>31</v>
      </c>
      <c r="D894" s="19" t="s">
        <v>14</v>
      </c>
      <c r="E894" s="19" t="s">
        <v>22</v>
      </c>
      <c r="F894" s="19" t="s">
        <v>16</v>
      </c>
      <c r="G894" s="19" t="s">
        <v>65</v>
      </c>
      <c r="H894" s="19" t="s">
        <v>39</v>
      </c>
      <c r="I894" s="19">
        <v>4</v>
      </c>
      <c r="J894" s="21">
        <v>76</v>
      </c>
      <c r="K894" s="22">
        <v>0.03</v>
      </c>
      <c r="L894" s="21">
        <v>294.88</v>
      </c>
    </row>
    <row r="895" spans="1:12">
      <c r="A895" s="19" t="s">
        <v>965</v>
      </c>
      <c r="B895" s="20">
        <v>46111</v>
      </c>
      <c r="C895" s="19" t="s">
        <v>31</v>
      </c>
      <c r="D895" s="19" t="s">
        <v>14</v>
      </c>
      <c r="E895" s="19" t="s">
        <v>22</v>
      </c>
      <c r="F895" s="19" t="s">
        <v>60</v>
      </c>
      <c r="G895" s="19" t="s">
        <v>76</v>
      </c>
      <c r="H895" s="19" t="s">
        <v>33</v>
      </c>
      <c r="I895" s="19">
        <v>1</v>
      </c>
      <c r="J895" s="21">
        <v>665</v>
      </c>
      <c r="K895" s="22">
        <v>0</v>
      </c>
      <c r="L895" s="21">
        <v>665</v>
      </c>
    </row>
    <row r="896" spans="1:12">
      <c r="A896" s="19" t="s">
        <v>966</v>
      </c>
      <c r="B896" s="20">
        <v>46034</v>
      </c>
      <c r="C896" s="19" t="s">
        <v>13</v>
      </c>
      <c r="D896" s="19" t="s">
        <v>41</v>
      </c>
      <c r="E896" s="19" t="s">
        <v>22</v>
      </c>
      <c r="F896" s="19" t="s">
        <v>16</v>
      </c>
      <c r="G896" s="19" t="s">
        <v>69</v>
      </c>
      <c r="H896" s="19" t="s">
        <v>18</v>
      </c>
      <c r="I896" s="19">
        <v>7</v>
      </c>
      <c r="J896" s="21">
        <v>56.1</v>
      </c>
      <c r="K896" s="22">
        <v>0.1</v>
      </c>
      <c r="L896" s="21">
        <v>353.43</v>
      </c>
    </row>
    <row r="897" spans="1:12">
      <c r="A897" s="19" t="s">
        <v>967</v>
      </c>
      <c r="B897" s="20">
        <v>46171</v>
      </c>
      <c r="C897" s="19" t="s">
        <v>13</v>
      </c>
      <c r="D897" s="19" t="s">
        <v>14</v>
      </c>
      <c r="E897" s="19" t="s">
        <v>22</v>
      </c>
      <c r="F897" s="19" t="s">
        <v>16</v>
      </c>
      <c r="G897" s="19" t="s">
        <v>65</v>
      </c>
      <c r="H897" s="19" t="s">
        <v>18</v>
      </c>
      <c r="I897" s="19">
        <v>2</v>
      </c>
      <c r="J897" s="21">
        <v>83.2</v>
      </c>
      <c r="K897" s="22">
        <v>0.15</v>
      </c>
      <c r="L897" s="21">
        <v>141.44</v>
      </c>
    </row>
    <row r="898" spans="1:12">
      <c r="A898" s="19" t="s">
        <v>968</v>
      </c>
      <c r="B898" s="20">
        <v>46117</v>
      </c>
      <c r="C898" s="19" t="s">
        <v>13</v>
      </c>
      <c r="D898" s="19" t="s">
        <v>14</v>
      </c>
      <c r="E898" s="19" t="s">
        <v>22</v>
      </c>
      <c r="F898" s="19" t="s">
        <v>27</v>
      </c>
      <c r="G898" s="19" t="s">
        <v>36</v>
      </c>
      <c r="H898" s="19" t="s">
        <v>43</v>
      </c>
      <c r="I898" s="19">
        <v>5</v>
      </c>
      <c r="J898" s="21">
        <v>750</v>
      </c>
      <c r="K898" s="22">
        <v>0.08</v>
      </c>
      <c r="L898" s="21">
        <v>3450</v>
      </c>
    </row>
    <row r="899" spans="1:12">
      <c r="A899" s="19" t="s">
        <v>969</v>
      </c>
      <c r="B899" s="20">
        <v>46112</v>
      </c>
      <c r="C899" s="19" t="s">
        <v>20</v>
      </c>
      <c r="D899" s="19" t="s">
        <v>41</v>
      </c>
      <c r="E899" s="19" t="s">
        <v>22</v>
      </c>
      <c r="F899" s="19" t="s">
        <v>60</v>
      </c>
      <c r="G899" s="19" t="s">
        <v>67</v>
      </c>
      <c r="H899" s="19" t="s">
        <v>63</v>
      </c>
      <c r="I899" s="19">
        <v>3</v>
      </c>
      <c r="J899" s="21">
        <v>1590</v>
      </c>
      <c r="K899" s="22">
        <v>0.05</v>
      </c>
      <c r="L899" s="21">
        <v>4531.5</v>
      </c>
    </row>
    <row r="900" spans="1:12">
      <c r="A900" s="19" t="s">
        <v>970</v>
      </c>
      <c r="B900" s="20">
        <v>46265</v>
      </c>
      <c r="C900" s="19" t="s">
        <v>20</v>
      </c>
      <c r="D900" s="19" t="s">
        <v>41</v>
      </c>
      <c r="E900" s="19" t="s">
        <v>22</v>
      </c>
      <c r="F900" s="19" t="s">
        <v>48</v>
      </c>
      <c r="G900" s="19" t="s">
        <v>96</v>
      </c>
      <c r="H900" s="19" t="s">
        <v>63</v>
      </c>
      <c r="I900" s="19">
        <v>3</v>
      </c>
      <c r="J900" s="21">
        <v>2425</v>
      </c>
      <c r="K900" s="22">
        <v>0.08</v>
      </c>
      <c r="L900" s="21">
        <v>6693</v>
      </c>
    </row>
    <row r="901" spans="1:12">
      <c r="A901" s="19" t="s">
        <v>971</v>
      </c>
      <c r="B901" s="20">
        <v>46054</v>
      </c>
      <c r="C901" s="19" t="s">
        <v>31</v>
      </c>
      <c r="D901" s="19" t="s">
        <v>41</v>
      </c>
      <c r="E901" s="19" t="s">
        <v>22</v>
      </c>
      <c r="F901" s="19" t="s">
        <v>27</v>
      </c>
      <c r="G901" s="19" t="s">
        <v>32</v>
      </c>
      <c r="H901" s="19" t="s">
        <v>33</v>
      </c>
      <c r="I901" s="19">
        <v>1</v>
      </c>
      <c r="J901" s="21">
        <v>296.8</v>
      </c>
      <c r="K901" s="22">
        <v>0.05</v>
      </c>
      <c r="L901" s="21">
        <v>281.95999999999998</v>
      </c>
    </row>
    <row r="902" spans="1:12">
      <c r="A902" s="19" t="s">
        <v>972</v>
      </c>
      <c r="B902" s="20">
        <v>46090</v>
      </c>
      <c r="C902" s="19" t="s">
        <v>20</v>
      </c>
      <c r="D902" s="19" t="s">
        <v>14</v>
      </c>
      <c r="E902" s="19" t="s">
        <v>15</v>
      </c>
      <c r="F902" s="19" t="s">
        <v>23</v>
      </c>
      <c r="G902" s="19" t="s">
        <v>24</v>
      </c>
      <c r="H902" s="19" t="s">
        <v>63</v>
      </c>
      <c r="I902" s="19">
        <v>8</v>
      </c>
      <c r="J902" s="21">
        <v>90</v>
      </c>
      <c r="K902" s="22">
        <v>0.2</v>
      </c>
      <c r="L902" s="21">
        <v>576</v>
      </c>
    </row>
    <row r="903" spans="1:12">
      <c r="A903" s="19" t="s">
        <v>973</v>
      </c>
      <c r="B903" s="20">
        <v>46270</v>
      </c>
      <c r="C903" s="19" t="s">
        <v>47</v>
      </c>
      <c r="D903" s="19" t="s">
        <v>41</v>
      </c>
      <c r="E903" s="19" t="s">
        <v>22</v>
      </c>
      <c r="F903" s="19" t="s">
        <v>48</v>
      </c>
      <c r="G903" s="19" t="s">
        <v>54</v>
      </c>
      <c r="H903" s="19" t="s">
        <v>55</v>
      </c>
      <c r="I903" s="19">
        <v>1</v>
      </c>
      <c r="J903" s="21">
        <v>1872</v>
      </c>
      <c r="K903" s="22">
        <v>0.08</v>
      </c>
      <c r="L903" s="21">
        <v>1722.24</v>
      </c>
    </row>
    <row r="904" spans="1:12">
      <c r="A904" s="19" t="s">
        <v>974</v>
      </c>
      <c r="B904" s="20">
        <v>46065</v>
      </c>
      <c r="C904" s="19" t="s">
        <v>20</v>
      </c>
      <c r="D904" s="19" t="s">
        <v>21</v>
      </c>
      <c r="E904" s="19" t="s">
        <v>15</v>
      </c>
      <c r="F904" s="19" t="s">
        <v>16</v>
      </c>
      <c r="G904" s="19" t="s">
        <v>69</v>
      </c>
      <c r="H904" s="19" t="s">
        <v>58</v>
      </c>
      <c r="I904" s="19">
        <v>2</v>
      </c>
      <c r="J904" s="21">
        <v>58.3</v>
      </c>
      <c r="K904" s="22">
        <v>0.1</v>
      </c>
      <c r="L904" s="21">
        <v>104.94</v>
      </c>
    </row>
    <row r="905" spans="1:12">
      <c r="A905" s="19" t="s">
        <v>975</v>
      </c>
      <c r="B905" s="20">
        <v>46043</v>
      </c>
      <c r="C905" s="19" t="s">
        <v>31</v>
      </c>
      <c r="D905" s="19" t="s">
        <v>35</v>
      </c>
      <c r="E905" s="19" t="s">
        <v>22</v>
      </c>
      <c r="F905" s="19" t="s">
        <v>60</v>
      </c>
      <c r="G905" s="19" t="s">
        <v>61</v>
      </c>
      <c r="H905" s="19" t="s">
        <v>33</v>
      </c>
      <c r="I905" s="19">
        <v>1</v>
      </c>
      <c r="J905" s="21">
        <v>824.5</v>
      </c>
      <c r="K905" s="22">
        <v>0.03</v>
      </c>
      <c r="L905" s="21">
        <v>799.76499999999999</v>
      </c>
    </row>
    <row r="906" spans="1:12">
      <c r="A906" s="19" t="s">
        <v>976</v>
      </c>
      <c r="B906" s="20">
        <v>46334</v>
      </c>
      <c r="C906" s="19" t="s">
        <v>86</v>
      </c>
      <c r="D906" s="19" t="s">
        <v>21</v>
      </c>
      <c r="E906" s="19" t="s">
        <v>15</v>
      </c>
      <c r="F906" s="19" t="s">
        <v>60</v>
      </c>
      <c r="G906" s="19" t="s">
        <v>76</v>
      </c>
      <c r="H906" s="19" t="s">
        <v>102</v>
      </c>
      <c r="I906" s="19">
        <v>1</v>
      </c>
      <c r="J906" s="21">
        <v>679</v>
      </c>
      <c r="K906" s="22">
        <v>0.1</v>
      </c>
      <c r="L906" s="21">
        <v>611.1</v>
      </c>
    </row>
    <row r="907" spans="1:12">
      <c r="A907" s="19" t="s">
        <v>977</v>
      </c>
      <c r="B907" s="20">
        <v>46302</v>
      </c>
      <c r="C907" s="19" t="s">
        <v>86</v>
      </c>
      <c r="D907" s="19" t="s">
        <v>14</v>
      </c>
      <c r="E907" s="19" t="s">
        <v>15</v>
      </c>
      <c r="F907" s="19" t="s">
        <v>23</v>
      </c>
      <c r="G907" s="19" t="s">
        <v>38</v>
      </c>
      <c r="H907" s="19" t="s">
        <v>87</v>
      </c>
      <c r="I907" s="19">
        <v>1</v>
      </c>
      <c r="J907" s="21">
        <v>339.2</v>
      </c>
      <c r="K907" s="22">
        <v>0.05</v>
      </c>
      <c r="L907" s="21">
        <v>322.23999999999995</v>
      </c>
    </row>
    <row r="908" spans="1:12">
      <c r="A908" s="19" t="s">
        <v>978</v>
      </c>
      <c r="B908" s="20">
        <v>46097</v>
      </c>
      <c r="C908" s="19" t="s">
        <v>31</v>
      </c>
      <c r="D908" s="19" t="s">
        <v>14</v>
      </c>
      <c r="E908" s="19" t="s">
        <v>22</v>
      </c>
      <c r="F908" s="19" t="s">
        <v>27</v>
      </c>
      <c r="G908" s="19" t="s">
        <v>155</v>
      </c>
      <c r="H908" s="19" t="s">
        <v>33</v>
      </c>
      <c r="I908" s="19">
        <v>6</v>
      </c>
      <c r="J908" s="21">
        <v>171</v>
      </c>
      <c r="K908" s="22">
        <v>0.05</v>
      </c>
      <c r="L908" s="21">
        <v>974.69999999999993</v>
      </c>
    </row>
    <row r="909" spans="1:12">
      <c r="A909" s="19" t="s">
        <v>979</v>
      </c>
      <c r="B909" s="20">
        <v>46363</v>
      </c>
      <c r="C909" s="19" t="s">
        <v>31</v>
      </c>
      <c r="D909" s="19" t="s">
        <v>41</v>
      </c>
      <c r="E909" s="19" t="s">
        <v>22</v>
      </c>
      <c r="F909" s="19" t="s">
        <v>23</v>
      </c>
      <c r="G909" s="19" t="s">
        <v>138</v>
      </c>
      <c r="H909" s="19" t="s">
        <v>79</v>
      </c>
      <c r="I909" s="19">
        <v>3</v>
      </c>
      <c r="J909" s="21">
        <v>60</v>
      </c>
      <c r="K909" s="22">
        <v>0.03</v>
      </c>
      <c r="L909" s="21">
        <v>174.6</v>
      </c>
    </row>
    <row r="910" spans="1:12">
      <c r="A910" s="19" t="s">
        <v>980</v>
      </c>
      <c r="B910" s="20">
        <v>46115</v>
      </c>
      <c r="C910" s="19" t="s">
        <v>86</v>
      </c>
      <c r="D910" s="19" t="s">
        <v>35</v>
      </c>
      <c r="E910" s="19" t="s">
        <v>22</v>
      </c>
      <c r="F910" s="19" t="s">
        <v>60</v>
      </c>
      <c r="G910" s="19" t="s">
        <v>67</v>
      </c>
      <c r="H910" s="19" t="s">
        <v>102</v>
      </c>
      <c r="I910" s="19">
        <v>3</v>
      </c>
      <c r="J910" s="21">
        <v>1500</v>
      </c>
      <c r="K910" s="22">
        <v>0</v>
      </c>
      <c r="L910" s="21">
        <v>4500</v>
      </c>
    </row>
    <row r="911" spans="1:12">
      <c r="A911" s="19" t="s">
        <v>981</v>
      </c>
      <c r="B911" s="20">
        <v>46167</v>
      </c>
      <c r="C911" s="19" t="s">
        <v>86</v>
      </c>
      <c r="D911" s="19" t="s">
        <v>14</v>
      </c>
      <c r="E911" s="19" t="s">
        <v>22</v>
      </c>
      <c r="F911" s="19" t="s">
        <v>60</v>
      </c>
      <c r="G911" s="19" t="s">
        <v>61</v>
      </c>
      <c r="H911" s="19" t="s">
        <v>102</v>
      </c>
      <c r="I911" s="19">
        <v>1</v>
      </c>
      <c r="J911" s="21">
        <v>884</v>
      </c>
      <c r="K911" s="22">
        <v>0.08</v>
      </c>
      <c r="L911" s="21">
        <v>813.28000000000009</v>
      </c>
    </row>
    <row r="912" spans="1:12">
      <c r="A912" s="19" t="s">
        <v>982</v>
      </c>
      <c r="B912" s="20">
        <v>46344</v>
      </c>
      <c r="C912" s="19" t="s">
        <v>47</v>
      </c>
      <c r="D912" s="19" t="s">
        <v>21</v>
      </c>
      <c r="E912" s="19" t="s">
        <v>15</v>
      </c>
      <c r="F912" s="19" t="s">
        <v>23</v>
      </c>
      <c r="G912" s="19" t="s">
        <v>38</v>
      </c>
      <c r="H912" s="19" t="s">
        <v>55</v>
      </c>
      <c r="I912" s="19">
        <v>3</v>
      </c>
      <c r="J912" s="21">
        <v>326.39999999999998</v>
      </c>
      <c r="K912" s="22">
        <v>0.15</v>
      </c>
      <c r="L912" s="21">
        <v>832.31999999999994</v>
      </c>
    </row>
    <row r="913" spans="1:12">
      <c r="A913" s="19" t="s">
        <v>983</v>
      </c>
      <c r="B913" s="20">
        <v>46319</v>
      </c>
      <c r="C913" s="19" t="s">
        <v>13</v>
      </c>
      <c r="D913" s="19" t="s">
        <v>14</v>
      </c>
      <c r="E913" s="19" t="s">
        <v>22</v>
      </c>
      <c r="F913" s="19" t="s">
        <v>27</v>
      </c>
      <c r="G913" s="19" t="s">
        <v>155</v>
      </c>
      <c r="H913" s="19" t="s">
        <v>29</v>
      </c>
      <c r="I913" s="19">
        <v>1</v>
      </c>
      <c r="J913" s="21">
        <v>183.6</v>
      </c>
      <c r="K913" s="22">
        <v>0.2</v>
      </c>
      <c r="L913" s="21">
        <v>146.88</v>
      </c>
    </row>
    <row r="914" spans="1:12">
      <c r="A914" s="19" t="s">
        <v>984</v>
      </c>
      <c r="B914" s="20">
        <v>46136</v>
      </c>
      <c r="C914" s="19" t="s">
        <v>31</v>
      </c>
      <c r="D914" s="19" t="s">
        <v>21</v>
      </c>
      <c r="E914" s="19" t="s">
        <v>22</v>
      </c>
      <c r="F914" s="19" t="s">
        <v>16</v>
      </c>
      <c r="G914" s="19" t="s">
        <v>69</v>
      </c>
      <c r="H914" s="19" t="s">
        <v>79</v>
      </c>
      <c r="I914" s="19">
        <v>1</v>
      </c>
      <c r="J914" s="21">
        <v>53.35</v>
      </c>
      <c r="K914" s="22">
        <v>0.1</v>
      </c>
      <c r="L914" s="21">
        <v>48.015000000000001</v>
      </c>
    </row>
    <row r="915" spans="1:12">
      <c r="A915" s="19" t="s">
        <v>985</v>
      </c>
      <c r="B915" s="20">
        <v>46191</v>
      </c>
      <c r="C915" s="19" t="s">
        <v>13</v>
      </c>
      <c r="D915" s="19" t="s">
        <v>21</v>
      </c>
      <c r="E915" s="19" t="s">
        <v>15</v>
      </c>
      <c r="F915" s="19" t="s">
        <v>16</v>
      </c>
      <c r="G915" s="19" t="s">
        <v>112</v>
      </c>
      <c r="H915" s="19" t="s">
        <v>29</v>
      </c>
      <c r="I915" s="19">
        <v>2</v>
      </c>
      <c r="J915" s="21">
        <v>61.75</v>
      </c>
      <c r="K915" s="22">
        <v>0.08</v>
      </c>
      <c r="L915" s="21">
        <v>113.62</v>
      </c>
    </row>
    <row r="916" spans="1:12">
      <c r="A916" s="19" t="s">
        <v>986</v>
      </c>
      <c r="B916" s="20">
        <v>46343</v>
      </c>
      <c r="C916" s="19" t="s">
        <v>47</v>
      </c>
      <c r="D916" s="19" t="s">
        <v>14</v>
      </c>
      <c r="E916" s="19" t="s">
        <v>22</v>
      </c>
      <c r="F916" s="19" t="s">
        <v>27</v>
      </c>
      <c r="G916" s="19" t="s">
        <v>155</v>
      </c>
      <c r="H916" s="19" t="s">
        <v>83</v>
      </c>
      <c r="I916" s="19">
        <v>2</v>
      </c>
      <c r="J916" s="21">
        <v>187.2</v>
      </c>
      <c r="K916" s="22">
        <v>0.15</v>
      </c>
      <c r="L916" s="21">
        <v>318.23999999999995</v>
      </c>
    </row>
    <row r="917" spans="1:12">
      <c r="A917" s="19" t="s">
        <v>987</v>
      </c>
      <c r="B917" s="20">
        <v>46228</v>
      </c>
      <c r="C917" s="19" t="s">
        <v>86</v>
      </c>
      <c r="D917" s="19" t="s">
        <v>41</v>
      </c>
      <c r="E917" s="19" t="s">
        <v>22</v>
      </c>
      <c r="F917" s="19" t="s">
        <v>48</v>
      </c>
      <c r="G917" s="19" t="s">
        <v>99</v>
      </c>
      <c r="H917" s="19" t="s">
        <v>87</v>
      </c>
      <c r="I917" s="19">
        <v>1</v>
      </c>
      <c r="J917" s="21">
        <v>3000</v>
      </c>
      <c r="K917" s="22">
        <v>0.05</v>
      </c>
      <c r="L917" s="21">
        <v>2850</v>
      </c>
    </row>
    <row r="918" spans="1:12">
      <c r="A918" s="19" t="s">
        <v>988</v>
      </c>
      <c r="B918" s="20">
        <v>46279</v>
      </c>
      <c r="C918" s="19" t="s">
        <v>13</v>
      </c>
      <c r="D918" s="19" t="s">
        <v>35</v>
      </c>
      <c r="E918" s="19" t="s">
        <v>22</v>
      </c>
      <c r="F918" s="19" t="s">
        <v>27</v>
      </c>
      <c r="G918" s="19" t="s">
        <v>32</v>
      </c>
      <c r="H918" s="19" t="s">
        <v>43</v>
      </c>
      <c r="I918" s="19">
        <v>10</v>
      </c>
      <c r="J918" s="21">
        <v>271.60000000000002</v>
      </c>
      <c r="K918" s="22">
        <v>0</v>
      </c>
      <c r="L918" s="21">
        <v>2716</v>
      </c>
    </row>
    <row r="919" spans="1:12">
      <c r="A919" s="19" t="s">
        <v>989</v>
      </c>
      <c r="B919" s="20">
        <v>46052</v>
      </c>
      <c r="C919" s="19" t="s">
        <v>86</v>
      </c>
      <c r="D919" s="19" t="s">
        <v>21</v>
      </c>
      <c r="E919" s="19" t="s">
        <v>22</v>
      </c>
      <c r="F919" s="19" t="s">
        <v>27</v>
      </c>
      <c r="G919" s="19" t="s">
        <v>32</v>
      </c>
      <c r="H919" s="19" t="s">
        <v>87</v>
      </c>
      <c r="I919" s="19">
        <v>3</v>
      </c>
      <c r="J919" s="21">
        <v>296.8</v>
      </c>
      <c r="K919" s="22">
        <v>0.1</v>
      </c>
      <c r="L919" s="21">
        <v>801.36000000000013</v>
      </c>
    </row>
    <row r="920" spans="1:12">
      <c r="A920" s="19" t="s">
        <v>990</v>
      </c>
      <c r="B920" s="20">
        <v>46126</v>
      </c>
      <c r="C920" s="19" t="s">
        <v>31</v>
      </c>
      <c r="D920" s="19" t="s">
        <v>35</v>
      </c>
      <c r="E920" s="19" t="s">
        <v>22</v>
      </c>
      <c r="F920" s="19" t="s">
        <v>48</v>
      </c>
      <c r="G920" s="19" t="s">
        <v>49</v>
      </c>
      <c r="H920" s="19" t="s">
        <v>33</v>
      </c>
      <c r="I920" s="19">
        <v>1</v>
      </c>
      <c r="J920" s="21">
        <v>4074</v>
      </c>
      <c r="K920" s="22">
        <v>0.1</v>
      </c>
      <c r="L920" s="21">
        <v>3666.6</v>
      </c>
    </row>
    <row r="921" spans="1:12">
      <c r="A921" s="19" t="s">
        <v>991</v>
      </c>
      <c r="B921" s="20">
        <v>46200</v>
      </c>
      <c r="C921" s="19" t="s">
        <v>13</v>
      </c>
      <c r="D921" s="19" t="s">
        <v>35</v>
      </c>
      <c r="E921" s="19" t="s">
        <v>22</v>
      </c>
      <c r="F921" s="19" t="s">
        <v>27</v>
      </c>
      <c r="G921" s="19" t="s">
        <v>36</v>
      </c>
      <c r="H921" s="19" t="s">
        <v>29</v>
      </c>
      <c r="I921" s="19">
        <v>5</v>
      </c>
      <c r="J921" s="21">
        <v>750</v>
      </c>
      <c r="K921" s="22">
        <v>0.1</v>
      </c>
      <c r="L921" s="21">
        <v>3375</v>
      </c>
    </row>
    <row r="922" spans="1:12">
      <c r="A922" s="19" t="s">
        <v>992</v>
      </c>
      <c r="B922" s="20">
        <v>46352</v>
      </c>
      <c r="C922" s="19" t="s">
        <v>47</v>
      </c>
      <c r="D922" s="19" t="s">
        <v>35</v>
      </c>
      <c r="E922" s="19" t="s">
        <v>15</v>
      </c>
      <c r="F922" s="19" t="s">
        <v>27</v>
      </c>
      <c r="G922" s="19" t="s">
        <v>32</v>
      </c>
      <c r="H922" s="19" t="s">
        <v>55</v>
      </c>
      <c r="I922" s="19">
        <v>2</v>
      </c>
      <c r="J922" s="21">
        <v>266</v>
      </c>
      <c r="K922" s="22">
        <v>0.15</v>
      </c>
      <c r="L922" s="21">
        <v>452.2</v>
      </c>
    </row>
    <row r="923" spans="1:12">
      <c r="A923" s="19" t="s">
        <v>993</v>
      </c>
      <c r="B923" s="20">
        <v>46346</v>
      </c>
      <c r="C923" s="19" t="s">
        <v>86</v>
      </c>
      <c r="D923" s="19" t="s">
        <v>14</v>
      </c>
      <c r="E923" s="19" t="s">
        <v>22</v>
      </c>
      <c r="F923" s="19" t="s">
        <v>48</v>
      </c>
      <c r="G923" s="19" t="s">
        <v>99</v>
      </c>
      <c r="H923" s="19" t="s">
        <v>93</v>
      </c>
      <c r="I923" s="19">
        <v>1</v>
      </c>
      <c r="J923" s="21">
        <v>3120</v>
      </c>
      <c r="K923" s="22">
        <v>0.1</v>
      </c>
      <c r="L923" s="21">
        <v>2808</v>
      </c>
    </row>
    <row r="924" spans="1:12">
      <c r="A924" s="19" t="s">
        <v>994</v>
      </c>
      <c r="B924" s="20">
        <v>46345</v>
      </c>
      <c r="C924" s="19" t="s">
        <v>20</v>
      </c>
      <c r="D924" s="19" t="s">
        <v>41</v>
      </c>
      <c r="E924" s="19" t="s">
        <v>22</v>
      </c>
      <c r="F924" s="19" t="s">
        <v>23</v>
      </c>
      <c r="G924" s="19" t="s">
        <v>24</v>
      </c>
      <c r="H924" s="19" t="s">
        <v>25</v>
      </c>
      <c r="I924" s="19">
        <v>3</v>
      </c>
      <c r="J924" s="21">
        <v>91.8</v>
      </c>
      <c r="K924" s="22">
        <v>0.08</v>
      </c>
      <c r="L924" s="21">
        <v>253.36799999999999</v>
      </c>
    </row>
    <row r="925" spans="1:12">
      <c r="A925" s="19" t="s">
        <v>995</v>
      </c>
      <c r="B925" s="20">
        <v>46270</v>
      </c>
      <c r="C925" s="19" t="s">
        <v>20</v>
      </c>
      <c r="D925" s="19" t="s">
        <v>21</v>
      </c>
      <c r="E925" s="19" t="s">
        <v>22</v>
      </c>
      <c r="F925" s="19" t="s">
        <v>73</v>
      </c>
      <c r="G925" s="19" t="s">
        <v>129</v>
      </c>
      <c r="H925" s="19" t="s">
        <v>25</v>
      </c>
      <c r="I925" s="19">
        <v>7</v>
      </c>
      <c r="J925" s="21">
        <v>35</v>
      </c>
      <c r="K925" s="22">
        <v>0.03</v>
      </c>
      <c r="L925" s="21">
        <v>237.65</v>
      </c>
    </row>
    <row r="926" spans="1:12">
      <c r="A926" s="19" t="s">
        <v>996</v>
      </c>
      <c r="B926" s="20">
        <v>46023</v>
      </c>
      <c r="C926" s="19" t="s">
        <v>13</v>
      </c>
      <c r="D926" s="19" t="s">
        <v>21</v>
      </c>
      <c r="E926" s="19" t="s">
        <v>15</v>
      </c>
      <c r="F926" s="19" t="s">
        <v>23</v>
      </c>
      <c r="G926" s="19" t="s">
        <v>52</v>
      </c>
      <c r="H926" s="19" t="s">
        <v>29</v>
      </c>
      <c r="I926" s="19">
        <v>1</v>
      </c>
      <c r="J926" s="21">
        <v>468</v>
      </c>
      <c r="K926" s="22">
        <v>0.08</v>
      </c>
      <c r="L926" s="21">
        <v>430.56</v>
      </c>
    </row>
    <row r="927" spans="1:12">
      <c r="A927" s="19" t="s">
        <v>997</v>
      </c>
      <c r="B927" s="20">
        <v>46290</v>
      </c>
      <c r="C927" s="19" t="s">
        <v>86</v>
      </c>
      <c r="D927" s="19" t="s">
        <v>14</v>
      </c>
      <c r="E927" s="19" t="s">
        <v>22</v>
      </c>
      <c r="F927" s="19" t="s">
        <v>16</v>
      </c>
      <c r="G927" s="19" t="s">
        <v>65</v>
      </c>
      <c r="H927" s="19" t="s">
        <v>102</v>
      </c>
      <c r="I927" s="19">
        <v>4</v>
      </c>
      <c r="J927" s="21">
        <v>80</v>
      </c>
      <c r="K927" s="22">
        <v>0.1</v>
      </c>
      <c r="L927" s="21">
        <v>288</v>
      </c>
    </row>
    <row r="928" spans="1:12">
      <c r="A928" s="19" t="s">
        <v>998</v>
      </c>
      <c r="B928" s="20">
        <v>46317</v>
      </c>
      <c r="C928" s="19" t="s">
        <v>31</v>
      </c>
      <c r="D928" s="19" t="s">
        <v>14</v>
      </c>
      <c r="E928" s="19" t="s">
        <v>15</v>
      </c>
      <c r="F928" s="19" t="s">
        <v>16</v>
      </c>
      <c r="G928" s="19" t="s">
        <v>65</v>
      </c>
      <c r="H928" s="19" t="s">
        <v>79</v>
      </c>
      <c r="I928" s="19">
        <v>1</v>
      </c>
      <c r="J928" s="21">
        <v>77.599999999999994</v>
      </c>
      <c r="K928" s="22">
        <v>0.15</v>
      </c>
      <c r="L928" s="21">
        <v>65.959999999999994</v>
      </c>
    </row>
    <row r="929" spans="1:12">
      <c r="A929" s="19" t="s">
        <v>999</v>
      </c>
      <c r="B929" s="20">
        <v>46063</v>
      </c>
      <c r="C929" s="19" t="s">
        <v>86</v>
      </c>
      <c r="D929" s="19" t="s">
        <v>14</v>
      </c>
      <c r="E929" s="19" t="s">
        <v>15</v>
      </c>
      <c r="F929" s="19" t="s">
        <v>73</v>
      </c>
      <c r="G929" s="19" t="s">
        <v>81</v>
      </c>
      <c r="H929" s="19" t="s">
        <v>102</v>
      </c>
      <c r="I929" s="19">
        <v>1</v>
      </c>
      <c r="J929" s="21">
        <v>12.48</v>
      </c>
      <c r="K929" s="22">
        <v>0.08</v>
      </c>
      <c r="L929" s="21">
        <v>11.4816</v>
      </c>
    </row>
    <row r="930" spans="1:12">
      <c r="A930" s="19" t="s">
        <v>1000</v>
      </c>
      <c r="B930" s="20">
        <v>46053</v>
      </c>
      <c r="C930" s="19" t="s">
        <v>13</v>
      </c>
      <c r="D930" s="19" t="s">
        <v>14</v>
      </c>
      <c r="E930" s="19" t="s">
        <v>22</v>
      </c>
      <c r="F930" s="19" t="s">
        <v>73</v>
      </c>
      <c r="G930" s="19" t="s">
        <v>145</v>
      </c>
      <c r="H930" s="19" t="s">
        <v>18</v>
      </c>
      <c r="I930" s="19">
        <v>1</v>
      </c>
      <c r="J930" s="21">
        <v>18</v>
      </c>
      <c r="K930" s="22">
        <v>0</v>
      </c>
      <c r="L930" s="21">
        <v>18</v>
      </c>
    </row>
    <row r="931" spans="1:12">
      <c r="A931" s="19" t="s">
        <v>1001</v>
      </c>
      <c r="B931" s="20">
        <v>46286</v>
      </c>
      <c r="C931" s="19" t="s">
        <v>20</v>
      </c>
      <c r="D931" s="19" t="s">
        <v>14</v>
      </c>
      <c r="E931" s="19" t="s">
        <v>22</v>
      </c>
      <c r="F931" s="19" t="s">
        <v>27</v>
      </c>
      <c r="G931" s="19" t="s">
        <v>155</v>
      </c>
      <c r="H931" s="19" t="s">
        <v>25</v>
      </c>
      <c r="I931" s="19">
        <v>1</v>
      </c>
      <c r="J931" s="21">
        <v>171</v>
      </c>
      <c r="K931" s="22">
        <v>0.1</v>
      </c>
      <c r="L931" s="21">
        <v>153.9</v>
      </c>
    </row>
    <row r="932" spans="1:12">
      <c r="A932" s="19" t="s">
        <v>1002</v>
      </c>
      <c r="B932" s="20">
        <v>46082</v>
      </c>
      <c r="C932" s="19" t="s">
        <v>20</v>
      </c>
      <c r="D932" s="19" t="s">
        <v>21</v>
      </c>
      <c r="E932" s="19" t="s">
        <v>22</v>
      </c>
      <c r="F932" s="19" t="s">
        <v>16</v>
      </c>
      <c r="G932" s="19" t="s">
        <v>57</v>
      </c>
      <c r="H932" s="19" t="s">
        <v>25</v>
      </c>
      <c r="I932" s="19">
        <v>6</v>
      </c>
      <c r="J932" s="21">
        <v>36.86</v>
      </c>
      <c r="K932" s="22">
        <v>0</v>
      </c>
      <c r="L932" s="21">
        <v>221.16</v>
      </c>
    </row>
    <row r="933" spans="1:12">
      <c r="A933" s="19" t="s">
        <v>1003</v>
      </c>
      <c r="B933" s="20">
        <v>46105</v>
      </c>
      <c r="C933" s="19" t="s">
        <v>13</v>
      </c>
      <c r="D933" s="19" t="s">
        <v>14</v>
      </c>
      <c r="E933" s="19" t="s">
        <v>15</v>
      </c>
      <c r="F933" s="19" t="s">
        <v>16</v>
      </c>
      <c r="G933" s="19" t="s">
        <v>42</v>
      </c>
      <c r="H933" s="19" t="s">
        <v>29</v>
      </c>
      <c r="I933" s="19">
        <v>4</v>
      </c>
      <c r="J933" s="21">
        <v>45.9</v>
      </c>
      <c r="K933" s="22">
        <v>0.05</v>
      </c>
      <c r="L933" s="21">
        <v>174.42</v>
      </c>
    </row>
    <row r="934" spans="1:12">
      <c r="A934" s="19" t="s">
        <v>1004</v>
      </c>
      <c r="B934" s="20">
        <v>46311</v>
      </c>
      <c r="C934" s="19" t="s">
        <v>20</v>
      </c>
      <c r="D934" s="19" t="s">
        <v>41</v>
      </c>
      <c r="E934" s="19" t="s">
        <v>22</v>
      </c>
      <c r="F934" s="19" t="s">
        <v>16</v>
      </c>
      <c r="G934" s="19" t="s">
        <v>112</v>
      </c>
      <c r="H934" s="19" t="s">
        <v>58</v>
      </c>
      <c r="I934" s="19">
        <v>7</v>
      </c>
      <c r="J934" s="21">
        <v>65</v>
      </c>
      <c r="K934" s="22">
        <v>0</v>
      </c>
      <c r="L934" s="21">
        <v>455</v>
      </c>
    </row>
    <row r="935" spans="1:12">
      <c r="A935" s="19" t="s">
        <v>1005</v>
      </c>
      <c r="B935" s="20">
        <v>46168</v>
      </c>
      <c r="C935" s="19" t="s">
        <v>31</v>
      </c>
      <c r="D935" s="19" t="s">
        <v>35</v>
      </c>
      <c r="E935" s="19" t="s">
        <v>22</v>
      </c>
      <c r="F935" s="19" t="s">
        <v>60</v>
      </c>
      <c r="G935" s="19" t="s">
        <v>67</v>
      </c>
      <c r="H935" s="19" t="s">
        <v>33</v>
      </c>
      <c r="I935" s="19">
        <v>2</v>
      </c>
      <c r="J935" s="21">
        <v>1530</v>
      </c>
      <c r="K935" s="22">
        <v>0.08</v>
      </c>
      <c r="L935" s="21">
        <v>2815.2000000000003</v>
      </c>
    </row>
    <row r="936" spans="1:12">
      <c r="A936" s="19" t="s">
        <v>1006</v>
      </c>
      <c r="B936" s="20">
        <v>46093</v>
      </c>
      <c r="C936" s="19" t="s">
        <v>86</v>
      </c>
      <c r="D936" s="19" t="s">
        <v>21</v>
      </c>
      <c r="E936" s="19" t="s">
        <v>15</v>
      </c>
      <c r="F936" s="19" t="s">
        <v>16</v>
      </c>
      <c r="G936" s="19" t="s">
        <v>42</v>
      </c>
      <c r="H936" s="19" t="s">
        <v>87</v>
      </c>
      <c r="I936" s="19">
        <v>3</v>
      </c>
      <c r="J936" s="21">
        <v>45</v>
      </c>
      <c r="K936" s="22">
        <v>0.03</v>
      </c>
      <c r="L936" s="21">
        <v>130.94999999999999</v>
      </c>
    </row>
    <row r="937" spans="1:12">
      <c r="A937" s="19" t="s">
        <v>1007</v>
      </c>
      <c r="B937" s="20">
        <v>46373</v>
      </c>
      <c r="C937" s="19" t="s">
        <v>86</v>
      </c>
      <c r="D937" s="19" t="s">
        <v>14</v>
      </c>
      <c r="E937" s="19" t="s">
        <v>15</v>
      </c>
      <c r="F937" s="19" t="s">
        <v>48</v>
      </c>
      <c r="G937" s="19" t="s">
        <v>96</v>
      </c>
      <c r="H937" s="19" t="s">
        <v>102</v>
      </c>
      <c r="I937" s="19">
        <v>1</v>
      </c>
      <c r="J937" s="21">
        <v>2550</v>
      </c>
      <c r="K937" s="22">
        <v>0.05</v>
      </c>
      <c r="L937" s="21">
        <v>2422.5</v>
      </c>
    </row>
    <row r="938" spans="1:12">
      <c r="A938" s="19" t="s">
        <v>1008</v>
      </c>
      <c r="B938" s="20">
        <v>46167</v>
      </c>
      <c r="C938" s="19" t="s">
        <v>86</v>
      </c>
      <c r="D938" s="19" t="s">
        <v>14</v>
      </c>
      <c r="E938" s="19" t="s">
        <v>22</v>
      </c>
      <c r="F938" s="19" t="s">
        <v>23</v>
      </c>
      <c r="G938" s="19" t="s">
        <v>38</v>
      </c>
      <c r="H938" s="19" t="s">
        <v>93</v>
      </c>
      <c r="I938" s="19">
        <v>3</v>
      </c>
      <c r="J938" s="21">
        <v>339.2</v>
      </c>
      <c r="K938" s="22">
        <v>0.03</v>
      </c>
      <c r="L938" s="21">
        <v>987.07199999999989</v>
      </c>
    </row>
    <row r="939" spans="1:12">
      <c r="A939" s="19" t="s">
        <v>1009</v>
      </c>
      <c r="B939" s="20">
        <v>46247</v>
      </c>
      <c r="C939" s="19" t="s">
        <v>86</v>
      </c>
      <c r="D939" s="19" t="s">
        <v>14</v>
      </c>
      <c r="E939" s="19" t="s">
        <v>15</v>
      </c>
      <c r="F939" s="19" t="s">
        <v>60</v>
      </c>
      <c r="G939" s="19" t="s">
        <v>91</v>
      </c>
      <c r="H939" s="19" t="s">
        <v>102</v>
      </c>
      <c r="I939" s="19">
        <v>2</v>
      </c>
      <c r="J939" s="21">
        <v>603.20000000000005</v>
      </c>
      <c r="K939" s="22">
        <v>0.03</v>
      </c>
      <c r="L939" s="21">
        <v>1170.2080000000001</v>
      </c>
    </row>
    <row r="940" spans="1:12">
      <c r="A940" s="19" t="s">
        <v>1010</v>
      </c>
      <c r="B940" s="20">
        <v>46083</v>
      </c>
      <c r="C940" s="19" t="s">
        <v>47</v>
      </c>
      <c r="D940" s="19" t="s">
        <v>21</v>
      </c>
      <c r="E940" s="19" t="s">
        <v>22</v>
      </c>
      <c r="F940" s="19" t="s">
        <v>60</v>
      </c>
      <c r="G940" s="19" t="s">
        <v>91</v>
      </c>
      <c r="H940" s="19" t="s">
        <v>83</v>
      </c>
      <c r="I940" s="19">
        <v>1</v>
      </c>
      <c r="J940" s="21">
        <v>614.79999999999995</v>
      </c>
      <c r="K940" s="22">
        <v>0.03</v>
      </c>
      <c r="L940" s="21">
        <v>596.35599999999999</v>
      </c>
    </row>
    <row r="941" spans="1:12">
      <c r="A941" s="19" t="s">
        <v>1011</v>
      </c>
      <c r="B941" s="20">
        <v>46113</v>
      </c>
      <c r="C941" s="19" t="s">
        <v>86</v>
      </c>
      <c r="D941" s="19" t="s">
        <v>35</v>
      </c>
      <c r="E941" s="19" t="s">
        <v>22</v>
      </c>
      <c r="F941" s="19" t="s">
        <v>27</v>
      </c>
      <c r="G941" s="19" t="s">
        <v>155</v>
      </c>
      <c r="H941" s="19" t="s">
        <v>93</v>
      </c>
      <c r="I941" s="19">
        <v>3</v>
      </c>
      <c r="J941" s="21">
        <v>180</v>
      </c>
      <c r="K941" s="22">
        <v>0.2</v>
      </c>
      <c r="L941" s="21">
        <v>432</v>
      </c>
    </row>
    <row r="942" spans="1:12">
      <c r="A942" s="19" t="s">
        <v>1012</v>
      </c>
      <c r="B942" s="20">
        <v>46356</v>
      </c>
      <c r="C942" s="19" t="s">
        <v>20</v>
      </c>
      <c r="D942" s="19" t="s">
        <v>14</v>
      </c>
      <c r="E942" s="19" t="s">
        <v>15</v>
      </c>
      <c r="F942" s="19" t="s">
        <v>60</v>
      </c>
      <c r="G942" s="19" t="s">
        <v>76</v>
      </c>
      <c r="H942" s="19" t="s">
        <v>63</v>
      </c>
      <c r="I942" s="19">
        <v>1</v>
      </c>
      <c r="J942" s="21">
        <v>700</v>
      </c>
      <c r="K942" s="22">
        <v>0.15</v>
      </c>
      <c r="L942" s="21">
        <v>595</v>
      </c>
    </row>
    <row r="943" spans="1:12">
      <c r="A943" s="19" t="s">
        <v>1013</v>
      </c>
      <c r="B943" s="20">
        <v>46078</v>
      </c>
      <c r="C943" s="19" t="s">
        <v>86</v>
      </c>
      <c r="D943" s="19" t="s">
        <v>21</v>
      </c>
      <c r="E943" s="19" t="s">
        <v>22</v>
      </c>
      <c r="F943" s="19" t="s">
        <v>23</v>
      </c>
      <c r="G943" s="19" t="s">
        <v>24</v>
      </c>
      <c r="H943" s="19" t="s">
        <v>93</v>
      </c>
      <c r="I943" s="19">
        <v>5</v>
      </c>
      <c r="J943" s="21">
        <v>95.4</v>
      </c>
      <c r="K943" s="22">
        <v>0.2</v>
      </c>
      <c r="L943" s="21">
        <v>381.6</v>
      </c>
    </row>
    <row r="944" spans="1:12">
      <c r="A944" s="19" t="s">
        <v>1014</v>
      </c>
      <c r="B944" s="20">
        <v>46346</v>
      </c>
      <c r="C944" s="19" t="s">
        <v>31</v>
      </c>
      <c r="D944" s="19" t="s">
        <v>14</v>
      </c>
      <c r="E944" s="19" t="s">
        <v>22</v>
      </c>
      <c r="F944" s="19" t="s">
        <v>16</v>
      </c>
      <c r="G944" s="19" t="s">
        <v>57</v>
      </c>
      <c r="H944" s="19" t="s">
        <v>39</v>
      </c>
      <c r="I944" s="19">
        <v>1</v>
      </c>
      <c r="J944" s="21">
        <v>39.520000000000003</v>
      </c>
      <c r="K944" s="22">
        <v>0.03</v>
      </c>
      <c r="L944" s="21">
        <v>38.334400000000002</v>
      </c>
    </row>
    <row r="945" spans="1:12">
      <c r="A945" s="19" t="s">
        <v>1015</v>
      </c>
      <c r="B945" s="20">
        <v>46338</v>
      </c>
      <c r="C945" s="19" t="s">
        <v>47</v>
      </c>
      <c r="D945" s="19" t="s">
        <v>21</v>
      </c>
      <c r="E945" s="19" t="s">
        <v>15</v>
      </c>
      <c r="F945" s="19" t="s">
        <v>23</v>
      </c>
      <c r="G945" s="19" t="s">
        <v>52</v>
      </c>
      <c r="H945" s="19" t="s">
        <v>50</v>
      </c>
      <c r="I945" s="19">
        <v>6</v>
      </c>
      <c r="J945" s="21">
        <v>450</v>
      </c>
      <c r="K945" s="22">
        <v>0</v>
      </c>
      <c r="L945" s="21">
        <v>2700</v>
      </c>
    </row>
    <row r="946" spans="1:12">
      <c r="A946" s="19" t="s">
        <v>1016</v>
      </c>
      <c r="B946" s="20">
        <v>46359</v>
      </c>
      <c r="C946" s="19" t="s">
        <v>86</v>
      </c>
      <c r="D946" s="19" t="s">
        <v>35</v>
      </c>
      <c r="E946" s="19" t="s">
        <v>22</v>
      </c>
      <c r="F946" s="19" t="s">
        <v>48</v>
      </c>
      <c r="G946" s="19" t="s">
        <v>96</v>
      </c>
      <c r="H946" s="19" t="s">
        <v>102</v>
      </c>
      <c r="I946" s="19">
        <v>1</v>
      </c>
      <c r="J946" s="21">
        <v>2500</v>
      </c>
      <c r="K946" s="22">
        <v>0.03</v>
      </c>
      <c r="L946" s="21">
        <v>2425</v>
      </c>
    </row>
    <row r="947" spans="1:12">
      <c r="A947" s="19" t="s">
        <v>1017</v>
      </c>
      <c r="B947" s="20">
        <v>46351</v>
      </c>
      <c r="C947" s="19" t="s">
        <v>20</v>
      </c>
      <c r="D947" s="19" t="s">
        <v>41</v>
      </c>
      <c r="E947" s="19" t="s">
        <v>22</v>
      </c>
      <c r="F947" s="19" t="s">
        <v>23</v>
      </c>
      <c r="G947" s="19" t="s">
        <v>52</v>
      </c>
      <c r="H947" s="19" t="s">
        <v>63</v>
      </c>
      <c r="I947" s="19">
        <v>3</v>
      </c>
      <c r="J947" s="21">
        <v>450</v>
      </c>
      <c r="K947" s="22">
        <v>0.1</v>
      </c>
      <c r="L947" s="21">
        <v>1215</v>
      </c>
    </row>
    <row r="948" spans="1:12">
      <c r="A948" s="19" t="s">
        <v>1018</v>
      </c>
      <c r="B948" s="20">
        <v>46166</v>
      </c>
      <c r="C948" s="19" t="s">
        <v>20</v>
      </c>
      <c r="D948" s="19" t="s">
        <v>14</v>
      </c>
      <c r="E948" s="19" t="s">
        <v>22</v>
      </c>
      <c r="F948" s="19" t="s">
        <v>23</v>
      </c>
      <c r="G948" s="19" t="s">
        <v>138</v>
      </c>
      <c r="H948" s="19" t="s">
        <v>25</v>
      </c>
      <c r="I948" s="19">
        <v>3</v>
      </c>
      <c r="J948" s="21">
        <v>60</v>
      </c>
      <c r="K948" s="22">
        <v>0.1</v>
      </c>
      <c r="L948" s="21">
        <v>162</v>
      </c>
    </row>
    <row r="949" spans="1:12">
      <c r="A949" s="19" t="s">
        <v>1019</v>
      </c>
      <c r="B949" s="20">
        <v>46268</v>
      </c>
      <c r="C949" s="19" t="s">
        <v>47</v>
      </c>
      <c r="D949" s="19" t="s">
        <v>14</v>
      </c>
      <c r="E949" s="19" t="s">
        <v>15</v>
      </c>
      <c r="F949" s="19" t="s">
        <v>16</v>
      </c>
      <c r="G949" s="19" t="s">
        <v>69</v>
      </c>
      <c r="H949" s="19" t="s">
        <v>55</v>
      </c>
      <c r="I949" s="19">
        <v>2</v>
      </c>
      <c r="J949" s="21">
        <v>55</v>
      </c>
      <c r="K949" s="22">
        <v>0.03</v>
      </c>
      <c r="L949" s="21">
        <v>106.7</v>
      </c>
    </row>
    <row r="950" spans="1:12">
      <c r="A950" s="19" t="s">
        <v>1020</v>
      </c>
      <c r="B950" s="20">
        <v>46312</v>
      </c>
      <c r="C950" s="19" t="s">
        <v>47</v>
      </c>
      <c r="D950" s="19" t="s">
        <v>35</v>
      </c>
      <c r="E950" s="19" t="s">
        <v>15</v>
      </c>
      <c r="F950" s="19" t="s">
        <v>60</v>
      </c>
      <c r="G950" s="19" t="s">
        <v>61</v>
      </c>
      <c r="H950" s="19" t="s">
        <v>83</v>
      </c>
      <c r="I950" s="19">
        <v>4</v>
      </c>
      <c r="J950" s="21">
        <v>824.5</v>
      </c>
      <c r="K950" s="22">
        <v>0.03</v>
      </c>
      <c r="L950" s="21">
        <v>3199.06</v>
      </c>
    </row>
    <row r="951" spans="1:12">
      <c r="A951" s="19" t="s">
        <v>1021</v>
      </c>
      <c r="B951" s="20">
        <v>46188</v>
      </c>
      <c r="C951" s="19" t="s">
        <v>47</v>
      </c>
      <c r="D951" s="19" t="s">
        <v>21</v>
      </c>
      <c r="E951" s="19" t="s">
        <v>22</v>
      </c>
      <c r="F951" s="19" t="s">
        <v>16</v>
      </c>
      <c r="G951" s="19" t="s">
        <v>57</v>
      </c>
      <c r="H951" s="19" t="s">
        <v>55</v>
      </c>
      <c r="I951" s="19">
        <v>1</v>
      </c>
      <c r="J951" s="21">
        <v>39.520000000000003</v>
      </c>
      <c r="K951" s="22">
        <v>0.05</v>
      </c>
      <c r="L951" s="21">
        <v>37.544000000000004</v>
      </c>
    </row>
    <row r="952" spans="1:12">
      <c r="A952" s="19" t="s">
        <v>1022</v>
      </c>
      <c r="B952" s="20">
        <v>46270</v>
      </c>
      <c r="C952" s="19" t="s">
        <v>20</v>
      </c>
      <c r="D952" s="19" t="s">
        <v>14</v>
      </c>
      <c r="E952" s="19" t="s">
        <v>15</v>
      </c>
      <c r="F952" s="19" t="s">
        <v>16</v>
      </c>
      <c r="G952" s="19" t="s">
        <v>69</v>
      </c>
      <c r="H952" s="19" t="s">
        <v>58</v>
      </c>
      <c r="I952" s="19">
        <v>2</v>
      </c>
      <c r="J952" s="21">
        <v>55</v>
      </c>
      <c r="K952" s="22">
        <v>0.05</v>
      </c>
      <c r="L952" s="21">
        <v>104.5</v>
      </c>
    </row>
    <row r="953" spans="1:12">
      <c r="A953" s="19" t="s">
        <v>1023</v>
      </c>
      <c r="B953" s="20">
        <v>46182</v>
      </c>
      <c r="C953" s="19" t="s">
        <v>31</v>
      </c>
      <c r="D953" s="19" t="s">
        <v>21</v>
      </c>
      <c r="E953" s="19" t="s">
        <v>15</v>
      </c>
      <c r="F953" s="19" t="s">
        <v>16</v>
      </c>
      <c r="G953" s="19" t="s">
        <v>69</v>
      </c>
      <c r="H953" s="19" t="s">
        <v>33</v>
      </c>
      <c r="I953" s="19">
        <v>3</v>
      </c>
      <c r="J953" s="21">
        <v>57.2</v>
      </c>
      <c r="K953" s="22">
        <v>0</v>
      </c>
      <c r="L953" s="21">
        <v>171.60000000000002</v>
      </c>
    </row>
    <row r="954" spans="1:12">
      <c r="A954" s="19" t="s">
        <v>1024</v>
      </c>
      <c r="B954" s="20">
        <v>46144</v>
      </c>
      <c r="C954" s="19" t="s">
        <v>13</v>
      </c>
      <c r="D954" s="19" t="s">
        <v>35</v>
      </c>
      <c r="E954" s="19" t="s">
        <v>22</v>
      </c>
      <c r="F954" s="19" t="s">
        <v>48</v>
      </c>
      <c r="G954" s="19" t="s">
        <v>49</v>
      </c>
      <c r="H954" s="19" t="s">
        <v>29</v>
      </c>
      <c r="I954" s="19">
        <v>1</v>
      </c>
      <c r="J954" s="21">
        <v>4200</v>
      </c>
      <c r="K954" s="22">
        <v>0.08</v>
      </c>
      <c r="L954" s="21">
        <v>3864</v>
      </c>
    </row>
    <row r="955" spans="1:12">
      <c r="A955" s="19" t="s">
        <v>1025</v>
      </c>
      <c r="B955" s="20">
        <v>46207</v>
      </c>
      <c r="C955" s="19" t="s">
        <v>13</v>
      </c>
      <c r="D955" s="19" t="s">
        <v>35</v>
      </c>
      <c r="E955" s="19" t="s">
        <v>22</v>
      </c>
      <c r="F955" s="19" t="s">
        <v>48</v>
      </c>
      <c r="G955" s="19" t="s">
        <v>71</v>
      </c>
      <c r="H955" s="19" t="s">
        <v>43</v>
      </c>
      <c r="I955" s="19">
        <v>1</v>
      </c>
      <c r="J955" s="21">
        <v>3040</v>
      </c>
      <c r="K955" s="22">
        <v>0.03</v>
      </c>
      <c r="L955" s="21">
        <v>2948.7999999999997</v>
      </c>
    </row>
    <row r="956" spans="1:12">
      <c r="A956" s="19" t="s">
        <v>1026</v>
      </c>
      <c r="B956" s="20">
        <v>46061</v>
      </c>
      <c r="C956" s="19" t="s">
        <v>47</v>
      </c>
      <c r="D956" s="19" t="s">
        <v>35</v>
      </c>
      <c r="E956" s="19" t="s">
        <v>22</v>
      </c>
      <c r="F956" s="19" t="s">
        <v>60</v>
      </c>
      <c r="G956" s="19" t="s">
        <v>61</v>
      </c>
      <c r="H956" s="19" t="s">
        <v>50</v>
      </c>
      <c r="I956" s="19">
        <v>1</v>
      </c>
      <c r="J956" s="21">
        <v>850</v>
      </c>
      <c r="K956" s="22">
        <v>0.03</v>
      </c>
      <c r="L956" s="21">
        <v>824.5</v>
      </c>
    </row>
    <row r="957" spans="1:12">
      <c r="A957" s="19" t="s">
        <v>1027</v>
      </c>
      <c r="B957" s="20">
        <v>46152</v>
      </c>
      <c r="C957" s="19" t="s">
        <v>13</v>
      </c>
      <c r="D957" s="19" t="s">
        <v>14</v>
      </c>
      <c r="E957" s="19" t="s">
        <v>15</v>
      </c>
      <c r="F957" s="19" t="s">
        <v>16</v>
      </c>
      <c r="G957" s="19" t="s">
        <v>17</v>
      </c>
      <c r="H957" s="19" t="s">
        <v>43</v>
      </c>
      <c r="I957" s="19">
        <v>4</v>
      </c>
      <c r="J957" s="21">
        <v>15.9</v>
      </c>
      <c r="K957" s="22">
        <v>0.1</v>
      </c>
      <c r="L957" s="21">
        <v>57.24</v>
      </c>
    </row>
    <row r="958" spans="1:12">
      <c r="A958" s="19" t="s">
        <v>1028</v>
      </c>
      <c r="B958" s="20">
        <v>46123</v>
      </c>
      <c r="C958" s="19" t="s">
        <v>13</v>
      </c>
      <c r="D958" s="19" t="s">
        <v>14</v>
      </c>
      <c r="E958" s="19" t="s">
        <v>15</v>
      </c>
      <c r="F958" s="19" t="s">
        <v>60</v>
      </c>
      <c r="G958" s="19" t="s">
        <v>91</v>
      </c>
      <c r="H958" s="19" t="s">
        <v>29</v>
      </c>
      <c r="I958" s="19">
        <v>1</v>
      </c>
      <c r="J958" s="21">
        <v>614.79999999999995</v>
      </c>
      <c r="K958" s="22">
        <v>0</v>
      </c>
      <c r="L958" s="21">
        <v>614.79999999999995</v>
      </c>
    </row>
    <row r="959" spans="1:12">
      <c r="A959" s="19" t="s">
        <v>1029</v>
      </c>
      <c r="B959" s="20">
        <v>46332</v>
      </c>
      <c r="C959" s="19" t="s">
        <v>13</v>
      </c>
      <c r="D959" s="19" t="s">
        <v>41</v>
      </c>
      <c r="E959" s="19" t="s">
        <v>22</v>
      </c>
      <c r="F959" s="19" t="s">
        <v>27</v>
      </c>
      <c r="G959" s="19" t="s">
        <v>32</v>
      </c>
      <c r="H959" s="19" t="s">
        <v>18</v>
      </c>
      <c r="I959" s="19">
        <v>5</v>
      </c>
      <c r="J959" s="21">
        <v>296.8</v>
      </c>
      <c r="K959" s="22">
        <v>0.08</v>
      </c>
      <c r="L959" s="21">
        <v>1365.28</v>
      </c>
    </row>
    <row r="960" spans="1:12">
      <c r="A960" s="19" t="s">
        <v>1030</v>
      </c>
      <c r="B960" s="20">
        <v>46345</v>
      </c>
      <c r="C960" s="19" t="s">
        <v>13</v>
      </c>
      <c r="D960" s="19" t="s">
        <v>14</v>
      </c>
      <c r="E960" s="19" t="s">
        <v>15</v>
      </c>
      <c r="F960" s="19" t="s">
        <v>60</v>
      </c>
      <c r="G960" s="19" t="s">
        <v>61</v>
      </c>
      <c r="H960" s="19" t="s">
        <v>29</v>
      </c>
      <c r="I960" s="19">
        <v>1</v>
      </c>
      <c r="J960" s="21">
        <v>824.5</v>
      </c>
      <c r="K960" s="22">
        <v>0.15</v>
      </c>
      <c r="L960" s="21">
        <v>700.82499999999993</v>
      </c>
    </row>
    <row r="961" spans="1:12">
      <c r="A961" s="19" t="s">
        <v>1031</v>
      </c>
      <c r="B961" s="20">
        <v>46197</v>
      </c>
      <c r="C961" s="19" t="s">
        <v>86</v>
      </c>
      <c r="D961" s="19" t="s">
        <v>21</v>
      </c>
      <c r="E961" s="19" t="s">
        <v>22</v>
      </c>
      <c r="F961" s="19" t="s">
        <v>48</v>
      </c>
      <c r="G961" s="19" t="s">
        <v>49</v>
      </c>
      <c r="H961" s="19" t="s">
        <v>102</v>
      </c>
      <c r="I961" s="19">
        <v>2</v>
      </c>
      <c r="J961" s="21">
        <v>3990</v>
      </c>
      <c r="K961" s="22">
        <v>0.05</v>
      </c>
      <c r="L961" s="21">
        <v>7581</v>
      </c>
    </row>
    <row r="962" spans="1:12">
      <c r="A962" s="19" t="s">
        <v>1032</v>
      </c>
      <c r="B962" s="20">
        <v>46351</v>
      </c>
      <c r="C962" s="19" t="s">
        <v>13</v>
      </c>
      <c r="D962" s="19" t="s">
        <v>41</v>
      </c>
      <c r="E962" s="19" t="s">
        <v>22</v>
      </c>
      <c r="F962" s="19" t="s">
        <v>60</v>
      </c>
      <c r="G962" s="19" t="s">
        <v>67</v>
      </c>
      <c r="H962" s="19" t="s">
        <v>18</v>
      </c>
      <c r="I962" s="19">
        <v>1</v>
      </c>
      <c r="J962" s="21">
        <v>1425</v>
      </c>
      <c r="K962" s="22">
        <v>0.08</v>
      </c>
      <c r="L962" s="21">
        <v>1311</v>
      </c>
    </row>
    <row r="963" spans="1:12">
      <c r="A963" s="19" t="s">
        <v>1033</v>
      </c>
      <c r="B963" s="20">
        <v>46270</v>
      </c>
      <c r="C963" s="19" t="s">
        <v>86</v>
      </c>
      <c r="D963" s="19" t="s">
        <v>14</v>
      </c>
      <c r="E963" s="19" t="s">
        <v>22</v>
      </c>
      <c r="F963" s="19" t="s">
        <v>23</v>
      </c>
      <c r="G963" s="19" t="s">
        <v>24</v>
      </c>
      <c r="H963" s="19" t="s">
        <v>102</v>
      </c>
      <c r="I963" s="19">
        <v>1</v>
      </c>
      <c r="J963" s="21">
        <v>91.8</v>
      </c>
      <c r="K963" s="22">
        <v>0</v>
      </c>
      <c r="L963" s="21">
        <v>91.8</v>
      </c>
    </row>
    <row r="964" spans="1:12">
      <c r="A964" s="19" t="s">
        <v>1034</v>
      </c>
      <c r="B964" s="20">
        <v>46274</v>
      </c>
      <c r="C964" s="19" t="s">
        <v>47</v>
      </c>
      <c r="D964" s="19" t="s">
        <v>35</v>
      </c>
      <c r="E964" s="19" t="s">
        <v>22</v>
      </c>
      <c r="F964" s="19" t="s">
        <v>60</v>
      </c>
      <c r="G964" s="19" t="s">
        <v>61</v>
      </c>
      <c r="H964" s="19" t="s">
        <v>83</v>
      </c>
      <c r="I964" s="19">
        <v>4</v>
      </c>
      <c r="J964" s="21">
        <v>850</v>
      </c>
      <c r="K964" s="22">
        <v>0.05</v>
      </c>
      <c r="L964" s="21">
        <v>3230</v>
      </c>
    </row>
    <row r="965" spans="1:12">
      <c r="A965" s="19" t="s">
        <v>1035</v>
      </c>
      <c r="B965" s="20">
        <v>46187</v>
      </c>
      <c r="C965" s="19" t="s">
        <v>47</v>
      </c>
      <c r="D965" s="19" t="s">
        <v>14</v>
      </c>
      <c r="E965" s="19" t="s">
        <v>15</v>
      </c>
      <c r="F965" s="19" t="s">
        <v>60</v>
      </c>
      <c r="G965" s="19" t="s">
        <v>67</v>
      </c>
      <c r="H965" s="19" t="s">
        <v>83</v>
      </c>
      <c r="I965" s="19">
        <v>1</v>
      </c>
      <c r="J965" s="21">
        <v>1455</v>
      </c>
      <c r="K965" s="22">
        <v>0.08</v>
      </c>
      <c r="L965" s="21">
        <v>1338.6000000000001</v>
      </c>
    </row>
    <row r="966" spans="1:12">
      <c r="A966" s="19" t="s">
        <v>1036</v>
      </c>
      <c r="B966" s="20">
        <v>46113</v>
      </c>
      <c r="C966" s="19" t="s">
        <v>20</v>
      </c>
      <c r="D966" s="19" t="s">
        <v>35</v>
      </c>
      <c r="E966" s="19" t="s">
        <v>22</v>
      </c>
      <c r="F966" s="19" t="s">
        <v>48</v>
      </c>
      <c r="G966" s="19" t="s">
        <v>54</v>
      </c>
      <c r="H966" s="19" t="s">
        <v>63</v>
      </c>
      <c r="I966" s="19">
        <v>1</v>
      </c>
      <c r="J966" s="21">
        <v>1800</v>
      </c>
      <c r="K966" s="22">
        <v>0.05</v>
      </c>
      <c r="L966" s="21">
        <v>1710</v>
      </c>
    </row>
    <row r="967" spans="1:12">
      <c r="A967" s="19" t="s">
        <v>1037</v>
      </c>
      <c r="B967" s="20">
        <v>46024</v>
      </c>
      <c r="C967" s="19" t="s">
        <v>31</v>
      </c>
      <c r="D967" s="19" t="s">
        <v>41</v>
      </c>
      <c r="E967" s="19" t="s">
        <v>15</v>
      </c>
      <c r="F967" s="19" t="s">
        <v>60</v>
      </c>
      <c r="G967" s="19" t="s">
        <v>91</v>
      </c>
      <c r="H967" s="19" t="s">
        <v>79</v>
      </c>
      <c r="I967" s="19">
        <v>1</v>
      </c>
      <c r="J967" s="21">
        <v>603.20000000000005</v>
      </c>
      <c r="K967" s="22">
        <v>0.15</v>
      </c>
      <c r="L967" s="21">
        <v>512.72</v>
      </c>
    </row>
    <row r="968" spans="1:12">
      <c r="A968" s="19" t="s">
        <v>1038</v>
      </c>
      <c r="B968" s="20">
        <v>46124</v>
      </c>
      <c r="C968" s="19" t="s">
        <v>47</v>
      </c>
      <c r="D968" s="19" t="s">
        <v>35</v>
      </c>
      <c r="E968" s="19" t="s">
        <v>22</v>
      </c>
      <c r="F968" s="19" t="s">
        <v>27</v>
      </c>
      <c r="G968" s="19" t="s">
        <v>36</v>
      </c>
      <c r="H968" s="19" t="s">
        <v>55</v>
      </c>
      <c r="I968" s="19">
        <v>9</v>
      </c>
      <c r="J968" s="21">
        <v>727.5</v>
      </c>
      <c r="K968" s="22">
        <v>0.03</v>
      </c>
      <c r="L968" s="21">
        <v>6351.0749999999998</v>
      </c>
    </row>
    <row r="969" spans="1:12">
      <c r="A969" s="19" t="s">
        <v>1039</v>
      </c>
      <c r="B969" s="20">
        <v>46100</v>
      </c>
      <c r="C969" s="19" t="s">
        <v>47</v>
      </c>
      <c r="D969" s="19" t="s">
        <v>14</v>
      </c>
      <c r="E969" s="19" t="s">
        <v>15</v>
      </c>
      <c r="F969" s="19" t="s">
        <v>27</v>
      </c>
      <c r="G969" s="19" t="s">
        <v>36</v>
      </c>
      <c r="H969" s="19" t="s">
        <v>50</v>
      </c>
      <c r="I969" s="19">
        <v>2</v>
      </c>
      <c r="J969" s="21">
        <v>780</v>
      </c>
      <c r="K969" s="22">
        <v>0.15</v>
      </c>
      <c r="L969" s="21">
        <v>1326</v>
      </c>
    </row>
    <row r="970" spans="1:12">
      <c r="A970" s="19" t="s">
        <v>1040</v>
      </c>
      <c r="B970" s="20">
        <v>46356</v>
      </c>
      <c r="C970" s="19" t="s">
        <v>86</v>
      </c>
      <c r="D970" s="19" t="s">
        <v>14</v>
      </c>
      <c r="E970" s="19" t="s">
        <v>22</v>
      </c>
      <c r="F970" s="19" t="s">
        <v>23</v>
      </c>
      <c r="G970" s="19" t="s">
        <v>138</v>
      </c>
      <c r="H970" s="19" t="s">
        <v>93</v>
      </c>
      <c r="I970" s="19">
        <v>4</v>
      </c>
      <c r="J970" s="21">
        <v>60</v>
      </c>
      <c r="K970" s="22">
        <v>0.05</v>
      </c>
      <c r="L970" s="21">
        <v>228</v>
      </c>
    </row>
    <row r="971" spans="1:12">
      <c r="A971" s="19" t="s">
        <v>1041</v>
      </c>
      <c r="B971" s="20">
        <v>46180</v>
      </c>
      <c r="C971" s="19" t="s">
        <v>86</v>
      </c>
      <c r="D971" s="19" t="s">
        <v>14</v>
      </c>
      <c r="E971" s="19" t="s">
        <v>22</v>
      </c>
      <c r="F971" s="19" t="s">
        <v>23</v>
      </c>
      <c r="G971" s="19" t="s">
        <v>38</v>
      </c>
      <c r="H971" s="19" t="s">
        <v>93</v>
      </c>
      <c r="I971" s="19">
        <v>4</v>
      </c>
      <c r="J971" s="21">
        <v>332.8</v>
      </c>
      <c r="K971" s="22">
        <v>0.15</v>
      </c>
      <c r="L971" s="21">
        <v>1131.52</v>
      </c>
    </row>
    <row r="972" spans="1:12">
      <c r="A972" s="19" t="s">
        <v>1042</v>
      </c>
      <c r="B972" s="20">
        <v>46068</v>
      </c>
      <c r="C972" s="19" t="s">
        <v>13</v>
      </c>
      <c r="D972" s="19" t="s">
        <v>21</v>
      </c>
      <c r="E972" s="19" t="s">
        <v>22</v>
      </c>
      <c r="F972" s="19" t="s">
        <v>48</v>
      </c>
      <c r="G972" s="19" t="s">
        <v>54</v>
      </c>
      <c r="H972" s="19" t="s">
        <v>29</v>
      </c>
      <c r="I972" s="19">
        <v>1</v>
      </c>
      <c r="J972" s="21">
        <v>1872</v>
      </c>
      <c r="K972" s="22">
        <v>0.2</v>
      </c>
      <c r="L972" s="21">
        <v>1497.6000000000001</v>
      </c>
    </row>
    <row r="973" spans="1:12">
      <c r="A973" s="19" t="s">
        <v>1043</v>
      </c>
      <c r="B973" s="20">
        <v>46040</v>
      </c>
      <c r="C973" s="19" t="s">
        <v>31</v>
      </c>
      <c r="D973" s="19" t="s">
        <v>35</v>
      </c>
      <c r="E973" s="19" t="s">
        <v>15</v>
      </c>
      <c r="F973" s="19" t="s">
        <v>48</v>
      </c>
      <c r="G973" s="19" t="s">
        <v>54</v>
      </c>
      <c r="H973" s="19" t="s">
        <v>39</v>
      </c>
      <c r="I973" s="19">
        <v>1</v>
      </c>
      <c r="J973" s="21">
        <v>1800</v>
      </c>
      <c r="K973" s="22">
        <v>0.05</v>
      </c>
      <c r="L973" s="21">
        <v>1710</v>
      </c>
    </row>
    <row r="974" spans="1:12">
      <c r="A974" s="19" t="s">
        <v>1044</v>
      </c>
      <c r="B974" s="20">
        <v>46222</v>
      </c>
      <c r="C974" s="19" t="s">
        <v>47</v>
      </c>
      <c r="D974" s="19" t="s">
        <v>14</v>
      </c>
      <c r="E974" s="19" t="s">
        <v>22</v>
      </c>
      <c r="F974" s="19" t="s">
        <v>16</v>
      </c>
      <c r="G974" s="19" t="s">
        <v>17</v>
      </c>
      <c r="H974" s="19" t="s">
        <v>55</v>
      </c>
      <c r="I974" s="19">
        <v>2</v>
      </c>
      <c r="J974" s="21">
        <v>14.25</v>
      </c>
      <c r="K974" s="22">
        <v>0.1</v>
      </c>
      <c r="L974" s="21">
        <v>25.650000000000002</v>
      </c>
    </row>
    <row r="975" spans="1:12">
      <c r="A975" s="19" t="s">
        <v>1045</v>
      </c>
      <c r="B975" s="20">
        <v>46175</v>
      </c>
      <c r="C975" s="19" t="s">
        <v>31</v>
      </c>
      <c r="D975" s="19" t="s">
        <v>14</v>
      </c>
      <c r="E975" s="19" t="s">
        <v>22</v>
      </c>
      <c r="F975" s="19" t="s">
        <v>16</v>
      </c>
      <c r="G975" s="19" t="s">
        <v>65</v>
      </c>
      <c r="H975" s="19" t="s">
        <v>39</v>
      </c>
      <c r="I975" s="19">
        <v>5</v>
      </c>
      <c r="J975" s="21">
        <v>77.599999999999994</v>
      </c>
      <c r="K975" s="22">
        <v>0.1</v>
      </c>
      <c r="L975" s="21">
        <v>349.2</v>
      </c>
    </row>
    <row r="976" spans="1:12">
      <c r="A976" s="19" t="s">
        <v>1046</v>
      </c>
      <c r="B976" s="20">
        <v>46144</v>
      </c>
      <c r="C976" s="19" t="s">
        <v>31</v>
      </c>
      <c r="D976" s="19" t="s">
        <v>21</v>
      </c>
      <c r="E976" s="19" t="s">
        <v>22</v>
      </c>
      <c r="F976" s="19" t="s">
        <v>23</v>
      </c>
      <c r="G976" s="19" t="s">
        <v>38</v>
      </c>
      <c r="H976" s="19" t="s">
        <v>79</v>
      </c>
      <c r="I976" s="19">
        <v>3</v>
      </c>
      <c r="J976" s="21">
        <v>320</v>
      </c>
      <c r="K976" s="22">
        <v>0.2</v>
      </c>
      <c r="L976" s="21">
        <v>768</v>
      </c>
    </row>
    <row r="977" spans="1:12">
      <c r="A977" s="19" t="s">
        <v>1047</v>
      </c>
      <c r="B977" s="20">
        <v>46103</v>
      </c>
      <c r="C977" s="19" t="s">
        <v>13</v>
      </c>
      <c r="D977" s="19" t="s">
        <v>14</v>
      </c>
      <c r="E977" s="19" t="s">
        <v>22</v>
      </c>
      <c r="F977" s="19" t="s">
        <v>23</v>
      </c>
      <c r="G977" s="19" t="s">
        <v>52</v>
      </c>
      <c r="H977" s="19" t="s">
        <v>18</v>
      </c>
      <c r="I977" s="19">
        <v>3</v>
      </c>
      <c r="J977" s="21">
        <v>477</v>
      </c>
      <c r="K977" s="22">
        <v>0.03</v>
      </c>
      <c r="L977" s="21">
        <v>1388.07</v>
      </c>
    </row>
    <row r="978" spans="1:12">
      <c r="A978" s="19" t="s">
        <v>1048</v>
      </c>
      <c r="B978" s="20">
        <v>46042</v>
      </c>
      <c r="C978" s="19" t="s">
        <v>47</v>
      </c>
      <c r="D978" s="19" t="s">
        <v>21</v>
      </c>
      <c r="E978" s="19" t="s">
        <v>15</v>
      </c>
      <c r="F978" s="19" t="s">
        <v>16</v>
      </c>
      <c r="G978" s="19" t="s">
        <v>42</v>
      </c>
      <c r="H978" s="19" t="s">
        <v>83</v>
      </c>
      <c r="I978" s="19">
        <v>2</v>
      </c>
      <c r="J978" s="21">
        <v>47.7</v>
      </c>
      <c r="K978" s="22">
        <v>0.15</v>
      </c>
      <c r="L978" s="21">
        <v>81.09</v>
      </c>
    </row>
    <row r="979" spans="1:12">
      <c r="A979" s="19" t="s">
        <v>1049</v>
      </c>
      <c r="B979" s="20">
        <v>46179</v>
      </c>
      <c r="C979" s="19" t="s">
        <v>47</v>
      </c>
      <c r="D979" s="19" t="s">
        <v>41</v>
      </c>
      <c r="E979" s="19" t="s">
        <v>22</v>
      </c>
      <c r="F979" s="19" t="s">
        <v>73</v>
      </c>
      <c r="G979" s="19" t="s">
        <v>145</v>
      </c>
      <c r="H979" s="19" t="s">
        <v>50</v>
      </c>
      <c r="I979" s="19">
        <v>2</v>
      </c>
      <c r="J979" s="21">
        <v>17.46</v>
      </c>
      <c r="K979" s="22">
        <v>0.1</v>
      </c>
      <c r="L979" s="21">
        <v>31.428000000000001</v>
      </c>
    </row>
    <row r="980" spans="1:12">
      <c r="A980" s="19" t="s">
        <v>1050</v>
      </c>
      <c r="B980" s="20">
        <v>46105</v>
      </c>
      <c r="C980" s="19" t="s">
        <v>13</v>
      </c>
      <c r="D980" s="19" t="s">
        <v>14</v>
      </c>
      <c r="E980" s="19" t="s">
        <v>22</v>
      </c>
      <c r="F980" s="19" t="s">
        <v>60</v>
      </c>
      <c r="G980" s="19" t="s">
        <v>76</v>
      </c>
      <c r="H980" s="19" t="s">
        <v>43</v>
      </c>
      <c r="I980" s="19">
        <v>1</v>
      </c>
      <c r="J980" s="21">
        <v>742</v>
      </c>
      <c r="K980" s="22">
        <v>0.08</v>
      </c>
      <c r="L980" s="21">
        <v>682.64</v>
      </c>
    </row>
    <row r="981" spans="1:12">
      <c r="A981" s="19" t="s">
        <v>1051</v>
      </c>
      <c r="B981" s="20">
        <v>46225</v>
      </c>
      <c r="C981" s="19" t="s">
        <v>86</v>
      </c>
      <c r="D981" s="19" t="s">
        <v>21</v>
      </c>
      <c r="E981" s="19" t="s">
        <v>22</v>
      </c>
      <c r="F981" s="19" t="s">
        <v>60</v>
      </c>
      <c r="G981" s="19" t="s">
        <v>76</v>
      </c>
      <c r="H981" s="19" t="s">
        <v>87</v>
      </c>
      <c r="I981" s="19">
        <v>1</v>
      </c>
      <c r="J981" s="21">
        <v>700</v>
      </c>
      <c r="K981" s="22">
        <v>0.05</v>
      </c>
      <c r="L981" s="21">
        <v>665</v>
      </c>
    </row>
    <row r="982" spans="1:12">
      <c r="A982" s="19" t="s">
        <v>1052</v>
      </c>
      <c r="B982" s="20">
        <v>46192</v>
      </c>
      <c r="C982" s="19" t="s">
        <v>86</v>
      </c>
      <c r="D982" s="19" t="s">
        <v>35</v>
      </c>
      <c r="E982" s="19" t="s">
        <v>22</v>
      </c>
      <c r="F982" s="19" t="s">
        <v>60</v>
      </c>
      <c r="G982" s="19" t="s">
        <v>91</v>
      </c>
      <c r="H982" s="19" t="s">
        <v>87</v>
      </c>
      <c r="I982" s="19">
        <v>4</v>
      </c>
      <c r="J982" s="21">
        <v>591.6</v>
      </c>
      <c r="K982" s="22">
        <v>0.08</v>
      </c>
      <c r="L982" s="21">
        <v>2177.0880000000002</v>
      </c>
    </row>
    <row r="983" spans="1:12">
      <c r="A983" s="19" t="s">
        <v>1053</v>
      </c>
      <c r="B983" s="20">
        <v>46174</v>
      </c>
      <c r="C983" s="19" t="s">
        <v>47</v>
      </c>
      <c r="D983" s="19" t="s">
        <v>14</v>
      </c>
      <c r="E983" s="19" t="s">
        <v>22</v>
      </c>
      <c r="F983" s="19" t="s">
        <v>60</v>
      </c>
      <c r="G983" s="19" t="s">
        <v>67</v>
      </c>
      <c r="H983" s="19" t="s">
        <v>50</v>
      </c>
      <c r="I983" s="19">
        <v>2</v>
      </c>
      <c r="J983" s="21">
        <v>1560</v>
      </c>
      <c r="K983" s="22">
        <v>0.03</v>
      </c>
      <c r="L983" s="21">
        <v>3026.4</v>
      </c>
    </row>
    <row r="984" spans="1:12">
      <c r="A984" s="19" t="s">
        <v>1054</v>
      </c>
      <c r="B984" s="20">
        <v>46166</v>
      </c>
      <c r="C984" s="19" t="s">
        <v>20</v>
      </c>
      <c r="D984" s="19" t="s">
        <v>21</v>
      </c>
      <c r="E984" s="19" t="s">
        <v>22</v>
      </c>
      <c r="F984" s="19" t="s">
        <v>16</v>
      </c>
      <c r="G984" s="19" t="s">
        <v>17</v>
      </c>
      <c r="H984" s="19" t="s">
        <v>58</v>
      </c>
      <c r="I984" s="19">
        <v>6</v>
      </c>
      <c r="J984" s="21">
        <v>15</v>
      </c>
      <c r="K984" s="22">
        <v>0</v>
      </c>
      <c r="L984" s="21">
        <v>90</v>
      </c>
    </row>
    <row r="985" spans="1:12">
      <c r="A985" s="19" t="s">
        <v>1055</v>
      </c>
      <c r="B985" s="20">
        <v>46234</v>
      </c>
      <c r="C985" s="19" t="s">
        <v>20</v>
      </c>
      <c r="D985" s="19" t="s">
        <v>35</v>
      </c>
      <c r="E985" s="19" t="s">
        <v>22</v>
      </c>
      <c r="F985" s="19" t="s">
        <v>27</v>
      </c>
      <c r="G985" s="19" t="s">
        <v>28</v>
      </c>
      <c r="H985" s="19" t="s">
        <v>58</v>
      </c>
      <c r="I985" s="19">
        <v>9</v>
      </c>
      <c r="J985" s="21">
        <v>20</v>
      </c>
      <c r="K985" s="22">
        <v>0.08</v>
      </c>
      <c r="L985" s="21">
        <v>165.6</v>
      </c>
    </row>
    <row r="986" spans="1:12">
      <c r="A986" s="19" t="s">
        <v>1056</v>
      </c>
      <c r="B986" s="20">
        <v>46162</v>
      </c>
      <c r="C986" s="19" t="s">
        <v>47</v>
      </c>
      <c r="D986" s="19" t="s">
        <v>14</v>
      </c>
      <c r="E986" s="19" t="s">
        <v>15</v>
      </c>
      <c r="F986" s="19" t="s">
        <v>23</v>
      </c>
      <c r="G986" s="19" t="s">
        <v>38</v>
      </c>
      <c r="H986" s="19" t="s">
        <v>55</v>
      </c>
      <c r="I986" s="19">
        <v>3</v>
      </c>
      <c r="J986" s="21">
        <v>310.39999999999998</v>
      </c>
      <c r="K986" s="22">
        <v>0.05</v>
      </c>
      <c r="L986" s="21">
        <v>884.63999999999987</v>
      </c>
    </row>
    <row r="987" spans="1:12">
      <c r="A987" s="19" t="s">
        <v>1057</v>
      </c>
      <c r="B987" s="20">
        <v>46198</v>
      </c>
      <c r="C987" s="19" t="s">
        <v>31</v>
      </c>
      <c r="D987" s="19" t="s">
        <v>35</v>
      </c>
      <c r="E987" s="19" t="s">
        <v>22</v>
      </c>
      <c r="F987" s="19" t="s">
        <v>73</v>
      </c>
      <c r="G987" s="19" t="s">
        <v>127</v>
      </c>
      <c r="H987" s="19" t="s">
        <v>33</v>
      </c>
      <c r="I987" s="19">
        <v>9</v>
      </c>
      <c r="J987" s="21">
        <v>25</v>
      </c>
      <c r="K987" s="22">
        <v>0.08</v>
      </c>
      <c r="L987" s="21">
        <v>207</v>
      </c>
    </row>
    <row r="988" spans="1:12">
      <c r="A988" s="19" t="s">
        <v>1058</v>
      </c>
      <c r="B988" s="20">
        <v>46358</v>
      </c>
      <c r="C988" s="19" t="s">
        <v>20</v>
      </c>
      <c r="D988" s="19" t="s">
        <v>14</v>
      </c>
      <c r="E988" s="19" t="s">
        <v>22</v>
      </c>
      <c r="F988" s="19" t="s">
        <v>16</v>
      </c>
      <c r="G988" s="19" t="s">
        <v>57</v>
      </c>
      <c r="H988" s="19" t="s">
        <v>58</v>
      </c>
      <c r="I988" s="19">
        <v>6</v>
      </c>
      <c r="J988" s="21">
        <v>36.1</v>
      </c>
      <c r="K988" s="22">
        <v>0.05</v>
      </c>
      <c r="L988" s="21">
        <v>205.77</v>
      </c>
    </row>
    <row r="989" spans="1:12">
      <c r="A989" s="19" t="s">
        <v>1059</v>
      </c>
      <c r="B989" s="20">
        <v>46178</v>
      </c>
      <c r="C989" s="19" t="s">
        <v>47</v>
      </c>
      <c r="D989" s="19" t="s">
        <v>21</v>
      </c>
      <c r="E989" s="19" t="s">
        <v>15</v>
      </c>
      <c r="F989" s="19" t="s">
        <v>48</v>
      </c>
      <c r="G989" s="19" t="s">
        <v>49</v>
      </c>
      <c r="H989" s="19" t="s">
        <v>83</v>
      </c>
      <c r="I989" s="19">
        <v>1</v>
      </c>
      <c r="J989" s="21">
        <v>4200</v>
      </c>
      <c r="K989" s="22">
        <v>0.15</v>
      </c>
      <c r="L989" s="21">
        <v>3570</v>
      </c>
    </row>
    <row r="990" spans="1:12">
      <c r="A990" s="19" t="s">
        <v>1060</v>
      </c>
      <c r="B990" s="20">
        <v>46352</v>
      </c>
      <c r="C990" s="19" t="s">
        <v>47</v>
      </c>
      <c r="D990" s="19" t="s">
        <v>14</v>
      </c>
      <c r="E990" s="19" t="s">
        <v>15</v>
      </c>
      <c r="F990" s="19" t="s">
        <v>27</v>
      </c>
      <c r="G990" s="19" t="s">
        <v>32</v>
      </c>
      <c r="H990" s="19" t="s">
        <v>50</v>
      </c>
      <c r="I990" s="19">
        <v>1</v>
      </c>
      <c r="J990" s="21">
        <v>280</v>
      </c>
      <c r="K990" s="22">
        <v>0.03</v>
      </c>
      <c r="L990" s="21">
        <v>271.59999999999997</v>
      </c>
    </row>
    <row r="991" spans="1:12">
      <c r="A991" s="19" t="s">
        <v>1061</v>
      </c>
      <c r="B991" s="20">
        <v>46156</v>
      </c>
      <c r="C991" s="19" t="s">
        <v>20</v>
      </c>
      <c r="D991" s="19" t="s">
        <v>41</v>
      </c>
      <c r="E991" s="19" t="s">
        <v>15</v>
      </c>
      <c r="F991" s="19" t="s">
        <v>23</v>
      </c>
      <c r="G991" s="19" t="s">
        <v>24</v>
      </c>
      <c r="H991" s="19" t="s">
        <v>63</v>
      </c>
      <c r="I991" s="19">
        <v>5</v>
      </c>
      <c r="J991" s="21">
        <v>90</v>
      </c>
      <c r="K991" s="22">
        <v>0.08</v>
      </c>
      <c r="L991" s="21">
        <v>414</v>
      </c>
    </row>
    <row r="992" spans="1:12">
      <c r="A992" s="19" t="s">
        <v>1062</v>
      </c>
      <c r="B992" s="20">
        <v>46215</v>
      </c>
      <c r="C992" s="19" t="s">
        <v>20</v>
      </c>
      <c r="D992" s="19" t="s">
        <v>21</v>
      </c>
      <c r="E992" s="19" t="s">
        <v>15</v>
      </c>
      <c r="F992" s="19" t="s">
        <v>16</v>
      </c>
      <c r="G992" s="19" t="s">
        <v>69</v>
      </c>
      <c r="H992" s="19" t="s">
        <v>25</v>
      </c>
      <c r="I992" s="19">
        <v>5</v>
      </c>
      <c r="J992" s="21">
        <v>57.2</v>
      </c>
      <c r="K992" s="22">
        <v>0.05</v>
      </c>
      <c r="L992" s="21">
        <v>271.7</v>
      </c>
    </row>
    <row r="993" spans="1:12">
      <c r="A993" s="19" t="s">
        <v>1063</v>
      </c>
      <c r="B993" s="20">
        <v>46305</v>
      </c>
      <c r="C993" s="19" t="s">
        <v>31</v>
      </c>
      <c r="D993" s="19" t="s">
        <v>21</v>
      </c>
      <c r="E993" s="19" t="s">
        <v>15</v>
      </c>
      <c r="F993" s="19" t="s">
        <v>60</v>
      </c>
      <c r="G993" s="19" t="s">
        <v>91</v>
      </c>
      <c r="H993" s="19" t="s">
        <v>33</v>
      </c>
      <c r="I993" s="19">
        <v>3</v>
      </c>
      <c r="J993" s="21">
        <v>580</v>
      </c>
      <c r="K993" s="22">
        <v>0.03</v>
      </c>
      <c r="L993" s="21">
        <v>1687.8</v>
      </c>
    </row>
    <row r="994" spans="1:12">
      <c r="A994" s="19" t="s">
        <v>1064</v>
      </c>
      <c r="B994" s="20">
        <v>46185</v>
      </c>
      <c r="C994" s="19" t="s">
        <v>31</v>
      </c>
      <c r="D994" s="19" t="s">
        <v>41</v>
      </c>
      <c r="E994" s="19" t="s">
        <v>22</v>
      </c>
      <c r="F994" s="19" t="s">
        <v>16</v>
      </c>
      <c r="G994" s="19" t="s">
        <v>65</v>
      </c>
      <c r="H994" s="19" t="s">
        <v>39</v>
      </c>
      <c r="I994" s="19">
        <v>5</v>
      </c>
      <c r="J994" s="21">
        <v>80</v>
      </c>
      <c r="K994" s="22">
        <v>0.2</v>
      </c>
      <c r="L994" s="21">
        <v>320</v>
      </c>
    </row>
    <row r="995" spans="1:12">
      <c r="A995" s="19" t="s">
        <v>1065</v>
      </c>
      <c r="B995" s="20">
        <v>46162</v>
      </c>
      <c r="C995" s="19" t="s">
        <v>31</v>
      </c>
      <c r="D995" s="19" t="s">
        <v>35</v>
      </c>
      <c r="E995" s="19" t="s">
        <v>15</v>
      </c>
      <c r="F995" s="19" t="s">
        <v>60</v>
      </c>
      <c r="G995" s="19" t="s">
        <v>67</v>
      </c>
      <c r="H995" s="19" t="s">
        <v>79</v>
      </c>
      <c r="I995" s="19">
        <v>1</v>
      </c>
      <c r="J995" s="21">
        <v>1425</v>
      </c>
      <c r="K995" s="22">
        <v>0.05</v>
      </c>
      <c r="L995" s="21">
        <v>1353.75</v>
      </c>
    </row>
    <row r="996" spans="1:12">
      <c r="A996" s="19" t="s">
        <v>1066</v>
      </c>
      <c r="B996" s="20">
        <v>46167</v>
      </c>
      <c r="C996" s="19" t="s">
        <v>31</v>
      </c>
      <c r="D996" s="19" t="s">
        <v>14</v>
      </c>
      <c r="E996" s="19" t="s">
        <v>22</v>
      </c>
      <c r="F996" s="19" t="s">
        <v>48</v>
      </c>
      <c r="G996" s="19" t="s">
        <v>71</v>
      </c>
      <c r="H996" s="19" t="s">
        <v>39</v>
      </c>
      <c r="I996" s="19">
        <v>1</v>
      </c>
      <c r="J996" s="21">
        <v>3200</v>
      </c>
      <c r="K996" s="22">
        <v>0.1</v>
      </c>
      <c r="L996" s="21">
        <v>2880</v>
      </c>
    </row>
    <row r="997" spans="1:12">
      <c r="A997" s="19" t="s">
        <v>1067</v>
      </c>
      <c r="B997" s="20">
        <v>46349</v>
      </c>
      <c r="C997" s="19" t="s">
        <v>47</v>
      </c>
      <c r="D997" s="19" t="s">
        <v>41</v>
      </c>
      <c r="E997" s="19" t="s">
        <v>15</v>
      </c>
      <c r="F997" s="19" t="s">
        <v>16</v>
      </c>
      <c r="G997" s="19" t="s">
        <v>69</v>
      </c>
      <c r="H997" s="19" t="s">
        <v>50</v>
      </c>
      <c r="I997" s="19">
        <v>6</v>
      </c>
      <c r="J997" s="21">
        <v>53.35</v>
      </c>
      <c r="K997" s="22">
        <v>0.08</v>
      </c>
      <c r="L997" s="21">
        <v>294.49200000000002</v>
      </c>
    </row>
    <row r="998" spans="1:12">
      <c r="A998" s="19" t="s">
        <v>1068</v>
      </c>
      <c r="B998" s="20">
        <v>46114</v>
      </c>
      <c r="C998" s="19" t="s">
        <v>31</v>
      </c>
      <c r="D998" s="19" t="s">
        <v>21</v>
      </c>
      <c r="E998" s="19" t="s">
        <v>15</v>
      </c>
      <c r="F998" s="19" t="s">
        <v>48</v>
      </c>
      <c r="G998" s="19" t="s">
        <v>49</v>
      </c>
      <c r="H998" s="19" t="s">
        <v>79</v>
      </c>
      <c r="I998" s="19">
        <v>2</v>
      </c>
      <c r="J998" s="21">
        <v>4200</v>
      </c>
      <c r="K998" s="22">
        <v>0.1</v>
      </c>
      <c r="L998" s="21">
        <v>7560</v>
      </c>
    </row>
    <row r="999" spans="1:12">
      <c r="A999" s="19" t="s">
        <v>1069</v>
      </c>
      <c r="B999" s="20">
        <v>46024</v>
      </c>
      <c r="C999" s="19" t="s">
        <v>31</v>
      </c>
      <c r="D999" s="19" t="s">
        <v>35</v>
      </c>
      <c r="E999" s="19" t="s">
        <v>15</v>
      </c>
      <c r="F999" s="19" t="s">
        <v>60</v>
      </c>
      <c r="G999" s="19" t="s">
        <v>76</v>
      </c>
      <c r="H999" s="19" t="s">
        <v>33</v>
      </c>
      <c r="I999" s="19">
        <v>2</v>
      </c>
      <c r="J999" s="21">
        <v>665</v>
      </c>
      <c r="K999" s="22">
        <v>0</v>
      </c>
      <c r="L999" s="21">
        <v>1330</v>
      </c>
    </row>
    <row r="1000" spans="1:12">
      <c r="A1000" s="19" t="s">
        <v>1070</v>
      </c>
      <c r="B1000" s="20">
        <v>46279</v>
      </c>
      <c r="C1000" s="19" t="s">
        <v>13</v>
      </c>
      <c r="D1000" s="19" t="s">
        <v>21</v>
      </c>
      <c r="E1000" s="19" t="s">
        <v>15</v>
      </c>
      <c r="F1000" s="19" t="s">
        <v>16</v>
      </c>
      <c r="G1000" s="19" t="s">
        <v>65</v>
      </c>
      <c r="H1000" s="19" t="s">
        <v>18</v>
      </c>
      <c r="I1000" s="19">
        <v>2</v>
      </c>
      <c r="J1000" s="21">
        <v>81.599999999999994</v>
      </c>
      <c r="K1000" s="22">
        <v>0.03</v>
      </c>
      <c r="L1000" s="21">
        <v>158.30399999999997</v>
      </c>
    </row>
    <row r="1001" spans="1:12">
      <c r="A1001" s="19" t="s">
        <v>1071</v>
      </c>
      <c r="B1001" s="20">
        <v>46115</v>
      </c>
      <c r="C1001" s="19" t="s">
        <v>20</v>
      </c>
      <c r="D1001" s="19" t="s">
        <v>14</v>
      </c>
      <c r="E1001" s="19" t="s">
        <v>22</v>
      </c>
      <c r="F1001" s="19" t="s">
        <v>73</v>
      </c>
      <c r="G1001" s="19" t="s">
        <v>74</v>
      </c>
      <c r="H1001" s="19" t="s">
        <v>58</v>
      </c>
      <c r="I1001" s="19">
        <v>8</v>
      </c>
      <c r="J1001" s="21">
        <v>7.6</v>
      </c>
      <c r="K1001" s="22">
        <v>0</v>
      </c>
      <c r="L1001" s="21">
        <v>60.8</v>
      </c>
    </row>
    <row r="1002" spans="1:12">
      <c r="A1002" s="19" t="s">
        <v>1072</v>
      </c>
      <c r="B1002" s="20">
        <v>46114</v>
      </c>
      <c r="C1002" s="19" t="s">
        <v>31</v>
      </c>
      <c r="D1002" s="19" t="s">
        <v>14</v>
      </c>
      <c r="E1002" s="19" t="s">
        <v>15</v>
      </c>
      <c r="F1002" s="19" t="s">
        <v>16</v>
      </c>
      <c r="G1002" s="19" t="s">
        <v>57</v>
      </c>
      <c r="H1002" s="19" t="s">
        <v>33</v>
      </c>
      <c r="I1002" s="19">
        <v>8</v>
      </c>
      <c r="J1002" s="21">
        <v>38</v>
      </c>
      <c r="K1002" s="22">
        <v>0</v>
      </c>
      <c r="L1002" s="21">
        <v>304</v>
      </c>
    </row>
    <row r="1003" spans="1:12">
      <c r="A1003" s="19" t="s">
        <v>1073</v>
      </c>
      <c r="B1003" s="20">
        <v>46177</v>
      </c>
      <c r="C1003" s="19" t="s">
        <v>13</v>
      </c>
      <c r="D1003" s="19" t="s">
        <v>14</v>
      </c>
      <c r="E1003" s="19" t="s">
        <v>22</v>
      </c>
      <c r="F1003" s="19" t="s">
        <v>16</v>
      </c>
      <c r="G1003" s="19" t="s">
        <v>17</v>
      </c>
      <c r="H1003" s="19" t="s">
        <v>29</v>
      </c>
      <c r="I1003" s="19">
        <v>6</v>
      </c>
      <c r="J1003" s="21">
        <v>15.3</v>
      </c>
      <c r="K1003" s="22">
        <v>0.15</v>
      </c>
      <c r="L1003" s="21">
        <v>78.03</v>
      </c>
    </row>
    <row r="1004" spans="1:12">
      <c r="A1004" s="19" t="s">
        <v>1074</v>
      </c>
      <c r="B1004" s="20">
        <v>46277</v>
      </c>
      <c r="C1004" s="19" t="s">
        <v>47</v>
      </c>
      <c r="D1004" s="19" t="s">
        <v>14</v>
      </c>
      <c r="E1004" s="19" t="s">
        <v>22</v>
      </c>
      <c r="F1004" s="19" t="s">
        <v>60</v>
      </c>
      <c r="G1004" s="19" t="s">
        <v>67</v>
      </c>
      <c r="H1004" s="19" t="s">
        <v>50</v>
      </c>
      <c r="I1004" s="19">
        <v>2</v>
      </c>
      <c r="J1004" s="21">
        <v>1530</v>
      </c>
      <c r="K1004" s="22">
        <v>0.05</v>
      </c>
      <c r="L1004" s="21">
        <v>2907</v>
      </c>
    </row>
    <row r="1005" spans="1:12">
      <c r="A1005" s="19" t="s">
        <v>1075</v>
      </c>
      <c r="B1005" s="20">
        <v>46156</v>
      </c>
      <c r="C1005" s="19" t="s">
        <v>13</v>
      </c>
      <c r="D1005" s="19" t="s">
        <v>21</v>
      </c>
      <c r="E1005" s="19" t="s">
        <v>15</v>
      </c>
      <c r="F1005" s="19" t="s">
        <v>16</v>
      </c>
      <c r="G1005" s="19" t="s">
        <v>112</v>
      </c>
      <c r="H1005" s="19" t="s">
        <v>18</v>
      </c>
      <c r="I1005" s="19">
        <v>2</v>
      </c>
      <c r="J1005" s="21">
        <v>65</v>
      </c>
      <c r="K1005" s="22">
        <v>0.05</v>
      </c>
      <c r="L1005" s="21">
        <v>123.5</v>
      </c>
    </row>
    <row r="1006" spans="1:12">
      <c r="A1006" s="19" t="s">
        <v>1076</v>
      </c>
      <c r="B1006" s="20">
        <v>46169</v>
      </c>
      <c r="C1006" s="19" t="s">
        <v>47</v>
      </c>
      <c r="D1006" s="19" t="s">
        <v>14</v>
      </c>
      <c r="E1006" s="19" t="s">
        <v>15</v>
      </c>
      <c r="F1006" s="19" t="s">
        <v>60</v>
      </c>
      <c r="G1006" s="19" t="s">
        <v>76</v>
      </c>
      <c r="H1006" s="19" t="s">
        <v>83</v>
      </c>
      <c r="I1006" s="19">
        <v>1</v>
      </c>
      <c r="J1006" s="21">
        <v>679</v>
      </c>
      <c r="K1006" s="22">
        <v>0.1</v>
      </c>
      <c r="L1006" s="21">
        <v>611.1</v>
      </c>
    </row>
    <row r="1007" spans="1:12">
      <c r="A1007" s="19" t="s">
        <v>1077</v>
      </c>
      <c r="B1007" s="20">
        <v>46125</v>
      </c>
      <c r="C1007" s="19" t="s">
        <v>86</v>
      </c>
      <c r="D1007" s="19" t="s">
        <v>41</v>
      </c>
      <c r="E1007" s="19" t="s">
        <v>15</v>
      </c>
      <c r="F1007" s="19" t="s">
        <v>73</v>
      </c>
      <c r="G1007" s="19" t="s">
        <v>145</v>
      </c>
      <c r="H1007" s="19" t="s">
        <v>102</v>
      </c>
      <c r="I1007" s="19">
        <v>1</v>
      </c>
      <c r="J1007" s="21">
        <v>19.079999999999998</v>
      </c>
      <c r="K1007" s="22">
        <v>0.05</v>
      </c>
      <c r="L1007" s="21">
        <v>18.125999999999998</v>
      </c>
    </row>
    <row r="1008" spans="1:12">
      <c r="A1008" s="19" t="s">
        <v>1078</v>
      </c>
      <c r="B1008" s="20">
        <v>46029</v>
      </c>
      <c r="C1008" s="19" t="s">
        <v>86</v>
      </c>
      <c r="D1008" s="19" t="s">
        <v>35</v>
      </c>
      <c r="E1008" s="19" t="s">
        <v>22</v>
      </c>
      <c r="F1008" s="19" t="s">
        <v>23</v>
      </c>
      <c r="G1008" s="19" t="s">
        <v>52</v>
      </c>
      <c r="H1008" s="19" t="s">
        <v>102</v>
      </c>
      <c r="I1008" s="19">
        <v>13</v>
      </c>
      <c r="J1008" s="21">
        <v>459</v>
      </c>
      <c r="K1008" s="22">
        <v>0.15</v>
      </c>
      <c r="L1008" s="21">
        <v>5071.95</v>
      </c>
    </row>
    <row r="1009" spans="1:12">
      <c r="A1009" s="19" t="s">
        <v>1079</v>
      </c>
      <c r="B1009" s="20">
        <v>46386</v>
      </c>
      <c r="C1009" s="19" t="s">
        <v>86</v>
      </c>
      <c r="D1009" s="19" t="s">
        <v>35</v>
      </c>
      <c r="E1009" s="19" t="s">
        <v>15</v>
      </c>
      <c r="F1009" s="19" t="s">
        <v>16</v>
      </c>
      <c r="G1009" s="19" t="s">
        <v>17</v>
      </c>
      <c r="H1009" s="19" t="s">
        <v>87</v>
      </c>
      <c r="I1009" s="19">
        <v>11</v>
      </c>
      <c r="J1009" s="21">
        <v>15.6</v>
      </c>
      <c r="K1009" s="22">
        <v>0.15</v>
      </c>
      <c r="L1009" s="21">
        <v>145.85999999999999</v>
      </c>
    </row>
    <row r="1010" spans="1:12">
      <c r="A1010" s="19" t="s">
        <v>1080</v>
      </c>
      <c r="B1010" s="20">
        <v>46321</v>
      </c>
      <c r="C1010" s="19" t="s">
        <v>31</v>
      </c>
      <c r="D1010" s="19" t="s">
        <v>21</v>
      </c>
      <c r="E1010" s="19" t="s">
        <v>22</v>
      </c>
      <c r="F1010" s="19" t="s">
        <v>23</v>
      </c>
      <c r="G1010" s="19" t="s">
        <v>24</v>
      </c>
      <c r="H1010" s="19" t="s">
        <v>39</v>
      </c>
      <c r="I1010" s="19">
        <v>3</v>
      </c>
      <c r="J1010" s="21">
        <v>93.6</v>
      </c>
      <c r="K1010" s="22">
        <v>0.05</v>
      </c>
      <c r="L1010" s="21">
        <v>266.75999999999993</v>
      </c>
    </row>
    <row r="1011" spans="1:12">
      <c r="A1011" s="19" t="s">
        <v>1081</v>
      </c>
      <c r="B1011" s="20">
        <v>46125</v>
      </c>
      <c r="C1011" s="19" t="s">
        <v>20</v>
      </c>
      <c r="D1011" s="19" t="s">
        <v>41</v>
      </c>
      <c r="E1011" s="19" t="s">
        <v>15</v>
      </c>
      <c r="F1011" s="19" t="s">
        <v>73</v>
      </c>
      <c r="G1011" s="19" t="s">
        <v>129</v>
      </c>
      <c r="H1011" s="19" t="s">
        <v>58</v>
      </c>
      <c r="I1011" s="19">
        <v>1</v>
      </c>
      <c r="J1011" s="21">
        <v>35</v>
      </c>
      <c r="K1011" s="22">
        <v>0.05</v>
      </c>
      <c r="L1011" s="21">
        <v>33.25</v>
      </c>
    </row>
    <row r="1012" spans="1:12">
      <c r="A1012" s="19" t="s">
        <v>1082</v>
      </c>
      <c r="B1012" s="20">
        <v>46131</v>
      </c>
      <c r="C1012" s="19" t="s">
        <v>86</v>
      </c>
      <c r="D1012" s="19" t="s">
        <v>21</v>
      </c>
      <c r="E1012" s="19" t="s">
        <v>22</v>
      </c>
      <c r="F1012" s="19" t="s">
        <v>23</v>
      </c>
      <c r="G1012" s="19" t="s">
        <v>52</v>
      </c>
      <c r="H1012" s="19" t="s">
        <v>102</v>
      </c>
      <c r="I1012" s="19">
        <v>2</v>
      </c>
      <c r="J1012" s="21">
        <v>436.5</v>
      </c>
      <c r="K1012" s="22">
        <v>0.08</v>
      </c>
      <c r="L1012" s="21">
        <v>803.16000000000008</v>
      </c>
    </row>
    <row r="1013" spans="1:12">
      <c r="A1013" s="19" t="s">
        <v>1083</v>
      </c>
      <c r="B1013" s="20">
        <v>46341</v>
      </c>
      <c r="C1013" s="19" t="s">
        <v>20</v>
      </c>
      <c r="D1013" s="19" t="s">
        <v>21</v>
      </c>
      <c r="E1013" s="19" t="s">
        <v>22</v>
      </c>
      <c r="F1013" s="19" t="s">
        <v>27</v>
      </c>
      <c r="G1013" s="19" t="s">
        <v>155</v>
      </c>
      <c r="H1013" s="19" t="s">
        <v>25</v>
      </c>
      <c r="I1013" s="19">
        <v>2</v>
      </c>
      <c r="J1013" s="21">
        <v>180</v>
      </c>
      <c r="K1013" s="22">
        <v>0.1</v>
      </c>
      <c r="L1013" s="21">
        <v>324</v>
      </c>
    </row>
    <row r="1014" spans="1:12">
      <c r="A1014" s="19" t="s">
        <v>1084</v>
      </c>
      <c r="B1014" s="20">
        <v>46132</v>
      </c>
      <c r="C1014" s="19" t="s">
        <v>20</v>
      </c>
      <c r="D1014" s="19" t="s">
        <v>41</v>
      </c>
      <c r="E1014" s="19" t="s">
        <v>22</v>
      </c>
      <c r="F1014" s="19" t="s">
        <v>16</v>
      </c>
      <c r="G1014" s="19" t="s">
        <v>57</v>
      </c>
      <c r="H1014" s="19" t="s">
        <v>58</v>
      </c>
      <c r="I1014" s="19">
        <v>5</v>
      </c>
      <c r="J1014" s="21">
        <v>38</v>
      </c>
      <c r="K1014" s="22">
        <v>0.03</v>
      </c>
      <c r="L1014" s="21">
        <v>184.29999999999998</v>
      </c>
    </row>
    <row r="1015" spans="1:12">
      <c r="A1015" s="19" t="s">
        <v>1085</v>
      </c>
      <c r="B1015" s="20">
        <v>46109</v>
      </c>
      <c r="C1015" s="19" t="s">
        <v>20</v>
      </c>
      <c r="D1015" s="19" t="s">
        <v>14</v>
      </c>
      <c r="E1015" s="19" t="s">
        <v>15</v>
      </c>
      <c r="F1015" s="19" t="s">
        <v>16</v>
      </c>
      <c r="G1015" s="19" t="s">
        <v>17</v>
      </c>
      <c r="H1015" s="19" t="s">
        <v>58</v>
      </c>
      <c r="I1015" s="19">
        <v>3</v>
      </c>
      <c r="J1015" s="21">
        <v>15.9</v>
      </c>
      <c r="K1015" s="22">
        <v>0</v>
      </c>
      <c r="L1015" s="21">
        <v>47.7</v>
      </c>
    </row>
    <row r="1016" spans="1:12">
      <c r="A1016" s="19" t="s">
        <v>1086</v>
      </c>
      <c r="B1016" s="20">
        <v>46112</v>
      </c>
      <c r="C1016" s="19" t="s">
        <v>13</v>
      </c>
      <c r="D1016" s="19" t="s">
        <v>14</v>
      </c>
      <c r="E1016" s="19" t="s">
        <v>15</v>
      </c>
      <c r="F1016" s="19" t="s">
        <v>23</v>
      </c>
      <c r="G1016" s="19" t="s">
        <v>138</v>
      </c>
      <c r="H1016" s="19" t="s">
        <v>18</v>
      </c>
      <c r="I1016" s="19">
        <v>3</v>
      </c>
      <c r="J1016" s="21">
        <v>57</v>
      </c>
      <c r="K1016" s="22">
        <v>0.03</v>
      </c>
      <c r="L1016" s="21">
        <v>165.87</v>
      </c>
    </row>
    <row r="1017" spans="1:12">
      <c r="A1017" s="19" t="s">
        <v>1087</v>
      </c>
      <c r="B1017" s="20">
        <v>46207</v>
      </c>
      <c r="C1017" s="19" t="s">
        <v>20</v>
      </c>
      <c r="D1017" s="19" t="s">
        <v>14</v>
      </c>
      <c r="E1017" s="19" t="s">
        <v>15</v>
      </c>
      <c r="F1017" s="19" t="s">
        <v>48</v>
      </c>
      <c r="G1017" s="19" t="s">
        <v>49</v>
      </c>
      <c r="H1017" s="19" t="s">
        <v>25</v>
      </c>
      <c r="I1017" s="19">
        <v>1</v>
      </c>
      <c r="J1017" s="21">
        <v>4074</v>
      </c>
      <c r="K1017" s="22">
        <v>0.1</v>
      </c>
      <c r="L1017" s="21">
        <v>3666.6</v>
      </c>
    </row>
    <row r="1018" spans="1:12">
      <c r="A1018" s="19" t="s">
        <v>1088</v>
      </c>
      <c r="B1018" s="20">
        <v>46042</v>
      </c>
      <c r="C1018" s="19" t="s">
        <v>47</v>
      </c>
      <c r="D1018" s="19" t="s">
        <v>14</v>
      </c>
      <c r="E1018" s="19" t="s">
        <v>22</v>
      </c>
      <c r="F1018" s="19" t="s">
        <v>23</v>
      </c>
      <c r="G1018" s="19" t="s">
        <v>24</v>
      </c>
      <c r="H1018" s="19" t="s">
        <v>50</v>
      </c>
      <c r="I1018" s="19">
        <v>3</v>
      </c>
      <c r="J1018" s="21">
        <v>90</v>
      </c>
      <c r="K1018" s="22">
        <v>0</v>
      </c>
      <c r="L1018" s="21">
        <v>270</v>
      </c>
    </row>
    <row r="1019" spans="1:12">
      <c r="A1019" s="19" t="s">
        <v>1089</v>
      </c>
      <c r="B1019" s="20">
        <v>46117</v>
      </c>
      <c r="C1019" s="19" t="s">
        <v>47</v>
      </c>
      <c r="D1019" s="19" t="s">
        <v>14</v>
      </c>
      <c r="E1019" s="19" t="s">
        <v>22</v>
      </c>
      <c r="F1019" s="19" t="s">
        <v>73</v>
      </c>
      <c r="G1019" s="19" t="s">
        <v>74</v>
      </c>
      <c r="H1019" s="19" t="s">
        <v>55</v>
      </c>
      <c r="I1019" s="19">
        <v>6</v>
      </c>
      <c r="J1019" s="21">
        <v>8.16</v>
      </c>
      <c r="K1019" s="22">
        <v>0.05</v>
      </c>
      <c r="L1019" s="21">
        <v>46.512</v>
      </c>
    </row>
    <row r="1020" spans="1:12">
      <c r="A1020" s="19" t="s">
        <v>1090</v>
      </c>
      <c r="B1020" s="20">
        <v>46046</v>
      </c>
      <c r="C1020" s="19" t="s">
        <v>31</v>
      </c>
      <c r="D1020" s="19" t="s">
        <v>35</v>
      </c>
      <c r="E1020" s="19" t="s">
        <v>22</v>
      </c>
      <c r="F1020" s="19" t="s">
        <v>27</v>
      </c>
      <c r="G1020" s="19" t="s">
        <v>36</v>
      </c>
      <c r="H1020" s="19" t="s">
        <v>39</v>
      </c>
      <c r="I1020" s="19">
        <v>7</v>
      </c>
      <c r="J1020" s="21">
        <v>780</v>
      </c>
      <c r="K1020" s="22">
        <v>0.03</v>
      </c>
      <c r="L1020" s="21">
        <v>5296.2</v>
      </c>
    </row>
    <row r="1021" spans="1:12">
      <c r="A1021" s="19" t="s">
        <v>1091</v>
      </c>
      <c r="B1021" s="20">
        <v>46346</v>
      </c>
      <c r="C1021" s="19" t="s">
        <v>20</v>
      </c>
      <c r="D1021" s="19" t="s">
        <v>21</v>
      </c>
      <c r="E1021" s="19" t="s">
        <v>22</v>
      </c>
      <c r="F1021" s="19" t="s">
        <v>48</v>
      </c>
      <c r="G1021" s="19" t="s">
        <v>99</v>
      </c>
      <c r="H1021" s="19" t="s">
        <v>63</v>
      </c>
      <c r="I1021" s="19">
        <v>3</v>
      </c>
      <c r="J1021" s="21">
        <v>3000</v>
      </c>
      <c r="K1021" s="22">
        <v>0.05</v>
      </c>
      <c r="L1021" s="21">
        <v>8550</v>
      </c>
    </row>
    <row r="1022" spans="1:12">
      <c r="A1022" s="19" t="s">
        <v>1092</v>
      </c>
      <c r="B1022" s="20">
        <v>46092</v>
      </c>
      <c r="C1022" s="19" t="s">
        <v>13</v>
      </c>
      <c r="D1022" s="19" t="s">
        <v>14</v>
      </c>
      <c r="E1022" s="19" t="s">
        <v>15</v>
      </c>
      <c r="F1022" s="19" t="s">
        <v>23</v>
      </c>
      <c r="G1022" s="19" t="s">
        <v>24</v>
      </c>
      <c r="H1022" s="19" t="s">
        <v>18</v>
      </c>
      <c r="I1022" s="19">
        <v>1</v>
      </c>
      <c r="J1022" s="21">
        <v>91.8</v>
      </c>
      <c r="K1022" s="22">
        <v>0.05</v>
      </c>
      <c r="L1022" s="21">
        <v>87.21</v>
      </c>
    </row>
    <row r="1023" spans="1:12">
      <c r="A1023" s="19" t="s">
        <v>1093</v>
      </c>
      <c r="B1023" s="20">
        <v>46377</v>
      </c>
      <c r="C1023" s="19" t="s">
        <v>20</v>
      </c>
      <c r="D1023" s="19" t="s">
        <v>14</v>
      </c>
      <c r="E1023" s="19" t="s">
        <v>22</v>
      </c>
      <c r="F1023" s="19" t="s">
        <v>16</v>
      </c>
      <c r="G1023" s="19" t="s">
        <v>112</v>
      </c>
      <c r="H1023" s="19" t="s">
        <v>58</v>
      </c>
      <c r="I1023" s="19">
        <v>4</v>
      </c>
      <c r="J1023" s="21">
        <v>65</v>
      </c>
      <c r="K1023" s="22">
        <v>0.08</v>
      </c>
      <c r="L1023" s="21">
        <v>239.20000000000002</v>
      </c>
    </row>
    <row r="1024" spans="1:12">
      <c r="A1024" s="19" t="s">
        <v>1094</v>
      </c>
      <c r="B1024" s="20">
        <v>46285</v>
      </c>
      <c r="C1024" s="19" t="s">
        <v>86</v>
      </c>
      <c r="D1024" s="19" t="s">
        <v>14</v>
      </c>
      <c r="E1024" s="19" t="s">
        <v>15</v>
      </c>
      <c r="F1024" s="19" t="s">
        <v>16</v>
      </c>
      <c r="G1024" s="19" t="s">
        <v>69</v>
      </c>
      <c r="H1024" s="19" t="s">
        <v>93</v>
      </c>
      <c r="I1024" s="19">
        <v>3</v>
      </c>
      <c r="J1024" s="21">
        <v>55</v>
      </c>
      <c r="K1024" s="22">
        <v>0.05</v>
      </c>
      <c r="L1024" s="21">
        <v>156.75</v>
      </c>
    </row>
    <row r="1025" spans="1:12">
      <c r="A1025" s="19" t="s">
        <v>1095</v>
      </c>
      <c r="B1025" s="20">
        <v>46355</v>
      </c>
      <c r="C1025" s="19" t="s">
        <v>20</v>
      </c>
      <c r="D1025" s="19" t="s">
        <v>14</v>
      </c>
      <c r="E1025" s="19" t="s">
        <v>22</v>
      </c>
      <c r="F1025" s="19" t="s">
        <v>23</v>
      </c>
      <c r="G1025" s="19" t="s">
        <v>24</v>
      </c>
      <c r="H1025" s="19" t="s">
        <v>63</v>
      </c>
      <c r="I1025" s="19">
        <v>1</v>
      </c>
      <c r="J1025" s="21">
        <v>87.3</v>
      </c>
      <c r="K1025" s="22">
        <v>0</v>
      </c>
      <c r="L1025" s="21">
        <v>87.3</v>
      </c>
    </row>
    <row r="1026" spans="1:12">
      <c r="A1026" s="19" t="s">
        <v>1096</v>
      </c>
      <c r="B1026" s="20">
        <v>46028</v>
      </c>
      <c r="C1026" s="19" t="s">
        <v>47</v>
      </c>
      <c r="D1026" s="19" t="s">
        <v>14</v>
      </c>
      <c r="E1026" s="19" t="s">
        <v>22</v>
      </c>
      <c r="F1026" s="19" t="s">
        <v>27</v>
      </c>
      <c r="G1026" s="19" t="s">
        <v>155</v>
      </c>
      <c r="H1026" s="19" t="s">
        <v>50</v>
      </c>
      <c r="I1026" s="19">
        <v>1</v>
      </c>
      <c r="J1026" s="21">
        <v>183.6</v>
      </c>
      <c r="K1026" s="22">
        <v>0.08</v>
      </c>
      <c r="L1026" s="21">
        <v>168.91200000000001</v>
      </c>
    </row>
    <row r="1027" spans="1:12">
      <c r="A1027" s="19" t="s">
        <v>1097</v>
      </c>
      <c r="B1027" s="20">
        <v>46269</v>
      </c>
      <c r="C1027" s="19" t="s">
        <v>86</v>
      </c>
      <c r="D1027" s="19" t="s">
        <v>41</v>
      </c>
      <c r="E1027" s="19" t="s">
        <v>15</v>
      </c>
      <c r="F1027" s="19" t="s">
        <v>23</v>
      </c>
      <c r="G1027" s="19" t="s">
        <v>52</v>
      </c>
      <c r="H1027" s="19" t="s">
        <v>102</v>
      </c>
      <c r="I1027" s="19">
        <v>1</v>
      </c>
      <c r="J1027" s="21">
        <v>427.5</v>
      </c>
      <c r="K1027" s="22">
        <v>0.15</v>
      </c>
      <c r="L1027" s="21">
        <v>363.375</v>
      </c>
    </row>
    <row r="1028" spans="1:12">
      <c r="A1028" s="19" t="s">
        <v>1098</v>
      </c>
      <c r="B1028" s="20">
        <v>46377</v>
      </c>
      <c r="C1028" s="19" t="s">
        <v>20</v>
      </c>
      <c r="D1028" s="19" t="s">
        <v>41</v>
      </c>
      <c r="E1028" s="19" t="s">
        <v>15</v>
      </c>
      <c r="F1028" s="19" t="s">
        <v>60</v>
      </c>
      <c r="G1028" s="19" t="s">
        <v>61</v>
      </c>
      <c r="H1028" s="19" t="s">
        <v>58</v>
      </c>
      <c r="I1028" s="19">
        <v>2</v>
      </c>
      <c r="J1028" s="21">
        <v>850</v>
      </c>
      <c r="K1028" s="22">
        <v>0.1</v>
      </c>
      <c r="L1028" s="21">
        <v>1530</v>
      </c>
    </row>
    <row r="1029" spans="1:12">
      <c r="A1029" s="19" t="s">
        <v>1099</v>
      </c>
      <c r="B1029" s="20">
        <v>46054</v>
      </c>
      <c r="C1029" s="19" t="s">
        <v>20</v>
      </c>
      <c r="D1029" s="19" t="s">
        <v>14</v>
      </c>
      <c r="E1029" s="19" t="s">
        <v>22</v>
      </c>
      <c r="F1029" s="19" t="s">
        <v>48</v>
      </c>
      <c r="G1029" s="19" t="s">
        <v>49</v>
      </c>
      <c r="H1029" s="19" t="s">
        <v>25</v>
      </c>
      <c r="I1029" s="19">
        <v>1</v>
      </c>
      <c r="J1029" s="21">
        <v>4200</v>
      </c>
      <c r="K1029" s="22">
        <v>0.08</v>
      </c>
      <c r="L1029" s="21">
        <v>3864</v>
      </c>
    </row>
    <row r="1030" spans="1:12">
      <c r="A1030" s="19" t="s">
        <v>1100</v>
      </c>
      <c r="B1030" s="20">
        <v>46128</v>
      </c>
      <c r="C1030" s="19" t="s">
        <v>86</v>
      </c>
      <c r="D1030" s="19" t="s">
        <v>21</v>
      </c>
      <c r="E1030" s="19" t="s">
        <v>22</v>
      </c>
      <c r="F1030" s="19" t="s">
        <v>60</v>
      </c>
      <c r="G1030" s="19" t="s">
        <v>76</v>
      </c>
      <c r="H1030" s="19" t="s">
        <v>93</v>
      </c>
      <c r="I1030" s="19">
        <v>1</v>
      </c>
      <c r="J1030" s="21">
        <v>700</v>
      </c>
      <c r="K1030" s="22">
        <v>0.03</v>
      </c>
      <c r="L1030" s="21">
        <v>679</v>
      </c>
    </row>
    <row r="1031" spans="1:12">
      <c r="A1031" s="19" t="s">
        <v>1101</v>
      </c>
      <c r="B1031" s="20">
        <v>46358</v>
      </c>
      <c r="C1031" s="19" t="s">
        <v>47</v>
      </c>
      <c r="D1031" s="19" t="s">
        <v>35</v>
      </c>
      <c r="E1031" s="19" t="s">
        <v>22</v>
      </c>
      <c r="F1031" s="19" t="s">
        <v>48</v>
      </c>
      <c r="G1031" s="19" t="s">
        <v>99</v>
      </c>
      <c r="H1031" s="19" t="s">
        <v>50</v>
      </c>
      <c r="I1031" s="19">
        <v>1</v>
      </c>
      <c r="J1031" s="21">
        <v>3000</v>
      </c>
      <c r="K1031" s="22">
        <v>0.1</v>
      </c>
      <c r="L1031" s="21">
        <v>2700</v>
      </c>
    </row>
    <row r="1032" spans="1:12">
      <c r="A1032" s="19" t="s">
        <v>1102</v>
      </c>
      <c r="B1032" s="20">
        <v>46148</v>
      </c>
      <c r="C1032" s="19" t="s">
        <v>31</v>
      </c>
      <c r="D1032" s="19" t="s">
        <v>14</v>
      </c>
      <c r="E1032" s="19" t="s">
        <v>22</v>
      </c>
      <c r="F1032" s="19" t="s">
        <v>73</v>
      </c>
      <c r="G1032" s="19" t="s">
        <v>129</v>
      </c>
      <c r="H1032" s="19" t="s">
        <v>79</v>
      </c>
      <c r="I1032" s="19">
        <v>8</v>
      </c>
      <c r="J1032" s="21">
        <v>35</v>
      </c>
      <c r="K1032" s="22">
        <v>0.1</v>
      </c>
      <c r="L1032" s="21">
        <v>252</v>
      </c>
    </row>
    <row r="1033" spans="1:12">
      <c r="A1033" s="19" t="s">
        <v>1103</v>
      </c>
      <c r="B1033" s="20">
        <v>46270</v>
      </c>
      <c r="C1033" s="19" t="s">
        <v>31</v>
      </c>
      <c r="D1033" s="19" t="s">
        <v>21</v>
      </c>
      <c r="E1033" s="19" t="s">
        <v>22</v>
      </c>
      <c r="F1033" s="19" t="s">
        <v>16</v>
      </c>
      <c r="G1033" s="19" t="s">
        <v>65</v>
      </c>
      <c r="H1033" s="19" t="s">
        <v>79</v>
      </c>
      <c r="I1033" s="19">
        <v>7</v>
      </c>
      <c r="J1033" s="21">
        <v>76</v>
      </c>
      <c r="K1033" s="22">
        <v>0.05</v>
      </c>
      <c r="L1033" s="21">
        <v>505.4</v>
      </c>
    </row>
    <row r="1034" spans="1:12">
      <c r="A1034" s="19" t="s">
        <v>1104</v>
      </c>
      <c r="B1034" s="20">
        <v>46049</v>
      </c>
      <c r="C1034" s="19" t="s">
        <v>47</v>
      </c>
      <c r="D1034" s="19" t="s">
        <v>14</v>
      </c>
      <c r="E1034" s="19" t="s">
        <v>15</v>
      </c>
      <c r="F1034" s="19" t="s">
        <v>27</v>
      </c>
      <c r="G1034" s="19" t="s">
        <v>155</v>
      </c>
      <c r="H1034" s="19" t="s">
        <v>83</v>
      </c>
      <c r="I1034" s="19">
        <v>3</v>
      </c>
      <c r="J1034" s="21">
        <v>190.8</v>
      </c>
      <c r="K1034" s="22">
        <v>0.1</v>
      </c>
      <c r="L1034" s="21">
        <v>515.16000000000008</v>
      </c>
    </row>
    <row r="1035" spans="1:12">
      <c r="A1035" s="19" t="s">
        <v>1105</v>
      </c>
      <c r="B1035" s="20">
        <v>46379</v>
      </c>
      <c r="C1035" s="19" t="s">
        <v>13</v>
      </c>
      <c r="D1035" s="19" t="s">
        <v>41</v>
      </c>
      <c r="E1035" s="19" t="s">
        <v>22</v>
      </c>
      <c r="F1035" s="19" t="s">
        <v>48</v>
      </c>
      <c r="G1035" s="19" t="s">
        <v>54</v>
      </c>
      <c r="H1035" s="19" t="s">
        <v>43</v>
      </c>
      <c r="I1035" s="19">
        <v>2</v>
      </c>
      <c r="J1035" s="21">
        <v>1746</v>
      </c>
      <c r="K1035" s="22">
        <v>0.2</v>
      </c>
      <c r="L1035" s="21">
        <v>2793.6000000000004</v>
      </c>
    </row>
    <row r="1036" spans="1:12">
      <c r="A1036" s="19" t="s">
        <v>1106</v>
      </c>
      <c r="B1036" s="20">
        <v>46277</v>
      </c>
      <c r="C1036" s="19" t="s">
        <v>47</v>
      </c>
      <c r="D1036" s="19" t="s">
        <v>35</v>
      </c>
      <c r="E1036" s="19" t="s">
        <v>15</v>
      </c>
      <c r="F1036" s="19" t="s">
        <v>16</v>
      </c>
      <c r="G1036" s="19" t="s">
        <v>112</v>
      </c>
      <c r="H1036" s="19" t="s">
        <v>55</v>
      </c>
      <c r="I1036" s="19">
        <v>5</v>
      </c>
      <c r="J1036" s="21">
        <v>66.3</v>
      </c>
      <c r="K1036" s="22">
        <v>0.08</v>
      </c>
      <c r="L1036" s="21">
        <v>304.98</v>
      </c>
    </row>
    <row r="1037" spans="1:12">
      <c r="A1037" s="19" t="s">
        <v>1107</v>
      </c>
      <c r="B1037" s="20">
        <v>46268</v>
      </c>
      <c r="C1037" s="19" t="s">
        <v>13</v>
      </c>
      <c r="D1037" s="19" t="s">
        <v>14</v>
      </c>
      <c r="E1037" s="19" t="s">
        <v>22</v>
      </c>
      <c r="F1037" s="19" t="s">
        <v>48</v>
      </c>
      <c r="G1037" s="19" t="s">
        <v>99</v>
      </c>
      <c r="H1037" s="19" t="s">
        <v>43</v>
      </c>
      <c r="I1037" s="19">
        <v>1</v>
      </c>
      <c r="J1037" s="21">
        <v>3060</v>
      </c>
      <c r="K1037" s="22">
        <v>0.05</v>
      </c>
      <c r="L1037" s="21">
        <v>2907</v>
      </c>
    </row>
    <row r="1038" spans="1:12">
      <c r="A1038" s="19" t="s">
        <v>1108</v>
      </c>
      <c r="B1038" s="20">
        <v>46043</v>
      </c>
      <c r="C1038" s="19" t="s">
        <v>13</v>
      </c>
      <c r="D1038" s="19" t="s">
        <v>14</v>
      </c>
      <c r="E1038" s="19" t="s">
        <v>22</v>
      </c>
      <c r="F1038" s="19" t="s">
        <v>73</v>
      </c>
      <c r="G1038" s="19" t="s">
        <v>81</v>
      </c>
      <c r="H1038" s="19" t="s">
        <v>18</v>
      </c>
      <c r="I1038" s="19">
        <v>2</v>
      </c>
      <c r="J1038" s="21">
        <v>12</v>
      </c>
      <c r="K1038" s="22">
        <v>0</v>
      </c>
      <c r="L1038" s="21">
        <v>24</v>
      </c>
    </row>
    <row r="1039" spans="1:12">
      <c r="A1039" s="19" t="s">
        <v>1109</v>
      </c>
      <c r="B1039" s="20">
        <v>46305</v>
      </c>
      <c r="C1039" s="19" t="s">
        <v>31</v>
      </c>
      <c r="D1039" s="19" t="s">
        <v>21</v>
      </c>
      <c r="E1039" s="19" t="s">
        <v>15</v>
      </c>
      <c r="F1039" s="19" t="s">
        <v>60</v>
      </c>
      <c r="G1039" s="19" t="s">
        <v>61</v>
      </c>
      <c r="H1039" s="19" t="s">
        <v>39</v>
      </c>
      <c r="I1039" s="19">
        <v>1</v>
      </c>
      <c r="J1039" s="21">
        <v>807.5</v>
      </c>
      <c r="K1039" s="22">
        <v>0.05</v>
      </c>
      <c r="L1039" s="21">
        <v>767.125</v>
      </c>
    </row>
    <row r="1040" spans="1:12">
      <c r="A1040" s="19" t="s">
        <v>1110</v>
      </c>
      <c r="B1040" s="20">
        <v>46087</v>
      </c>
      <c r="C1040" s="19" t="s">
        <v>31</v>
      </c>
      <c r="D1040" s="19" t="s">
        <v>35</v>
      </c>
      <c r="E1040" s="19" t="s">
        <v>22</v>
      </c>
      <c r="F1040" s="19" t="s">
        <v>23</v>
      </c>
      <c r="G1040" s="19" t="s">
        <v>38</v>
      </c>
      <c r="H1040" s="19" t="s">
        <v>79</v>
      </c>
      <c r="I1040" s="19">
        <v>7</v>
      </c>
      <c r="J1040" s="21">
        <v>326.39999999999998</v>
      </c>
      <c r="K1040" s="22">
        <v>0.1</v>
      </c>
      <c r="L1040" s="21">
        <v>2056.3199999999997</v>
      </c>
    </row>
    <row r="1041" spans="1:12">
      <c r="A1041" s="19" t="s">
        <v>1111</v>
      </c>
      <c r="B1041" s="20">
        <v>46353</v>
      </c>
      <c r="C1041" s="19" t="s">
        <v>31</v>
      </c>
      <c r="D1041" s="19" t="s">
        <v>14</v>
      </c>
      <c r="E1041" s="19" t="s">
        <v>22</v>
      </c>
      <c r="F1041" s="19" t="s">
        <v>23</v>
      </c>
      <c r="G1041" s="19" t="s">
        <v>24</v>
      </c>
      <c r="H1041" s="19" t="s">
        <v>79</v>
      </c>
      <c r="I1041" s="19">
        <v>3</v>
      </c>
      <c r="J1041" s="21">
        <v>91.8</v>
      </c>
      <c r="K1041" s="22">
        <v>0.05</v>
      </c>
      <c r="L1041" s="21">
        <v>261.62999999999994</v>
      </c>
    </row>
    <row r="1042" spans="1:12">
      <c r="A1042" s="19" t="s">
        <v>1112</v>
      </c>
      <c r="B1042" s="20">
        <v>46078</v>
      </c>
      <c r="C1042" s="19" t="s">
        <v>13</v>
      </c>
      <c r="D1042" s="19" t="s">
        <v>21</v>
      </c>
      <c r="E1042" s="19" t="s">
        <v>22</v>
      </c>
      <c r="F1042" s="19" t="s">
        <v>48</v>
      </c>
      <c r="G1042" s="19" t="s">
        <v>49</v>
      </c>
      <c r="H1042" s="19" t="s">
        <v>43</v>
      </c>
      <c r="I1042" s="19">
        <v>1</v>
      </c>
      <c r="J1042" s="21">
        <v>4074</v>
      </c>
      <c r="K1042" s="22">
        <v>0.2</v>
      </c>
      <c r="L1042" s="21">
        <v>3259.2000000000003</v>
      </c>
    </row>
    <row r="1043" spans="1:12">
      <c r="A1043" s="19" t="s">
        <v>1113</v>
      </c>
      <c r="B1043" s="20">
        <v>46076</v>
      </c>
      <c r="C1043" s="19" t="s">
        <v>86</v>
      </c>
      <c r="D1043" s="19" t="s">
        <v>14</v>
      </c>
      <c r="E1043" s="19" t="s">
        <v>22</v>
      </c>
      <c r="F1043" s="19" t="s">
        <v>73</v>
      </c>
      <c r="G1043" s="19" t="s">
        <v>145</v>
      </c>
      <c r="H1043" s="19" t="s">
        <v>102</v>
      </c>
      <c r="I1043" s="19">
        <v>4</v>
      </c>
      <c r="J1043" s="21">
        <v>18.72</v>
      </c>
      <c r="K1043" s="22">
        <v>0</v>
      </c>
      <c r="L1043" s="21">
        <v>74.88</v>
      </c>
    </row>
    <row r="1044" spans="1:12">
      <c r="A1044" s="19" t="s">
        <v>1114</v>
      </c>
      <c r="B1044" s="20">
        <v>46232</v>
      </c>
      <c r="C1044" s="19" t="s">
        <v>47</v>
      </c>
      <c r="D1044" s="19" t="s">
        <v>21</v>
      </c>
      <c r="E1044" s="19" t="s">
        <v>22</v>
      </c>
      <c r="F1044" s="19" t="s">
        <v>48</v>
      </c>
      <c r="G1044" s="19" t="s">
        <v>54</v>
      </c>
      <c r="H1044" s="19" t="s">
        <v>83</v>
      </c>
      <c r="I1044" s="19">
        <v>1</v>
      </c>
      <c r="J1044" s="21">
        <v>1872</v>
      </c>
      <c r="K1044" s="22">
        <v>0.05</v>
      </c>
      <c r="L1044" s="21">
        <v>1778.3999999999999</v>
      </c>
    </row>
    <row r="1045" spans="1:12">
      <c r="A1045" s="19" t="s">
        <v>1115</v>
      </c>
      <c r="B1045" s="20">
        <v>46114</v>
      </c>
      <c r="C1045" s="19" t="s">
        <v>86</v>
      </c>
      <c r="D1045" s="19" t="s">
        <v>35</v>
      </c>
      <c r="E1045" s="19" t="s">
        <v>15</v>
      </c>
      <c r="F1045" s="19" t="s">
        <v>73</v>
      </c>
      <c r="G1045" s="19" t="s">
        <v>129</v>
      </c>
      <c r="H1045" s="19" t="s">
        <v>93</v>
      </c>
      <c r="I1045" s="19">
        <v>6</v>
      </c>
      <c r="J1045" s="21">
        <v>37.1</v>
      </c>
      <c r="K1045" s="22">
        <v>0.08</v>
      </c>
      <c r="L1045" s="21">
        <v>204.79200000000003</v>
      </c>
    </row>
    <row r="1046" spans="1:12">
      <c r="A1046" s="19" t="s">
        <v>1116</v>
      </c>
      <c r="B1046" s="20">
        <v>46228</v>
      </c>
      <c r="C1046" s="19" t="s">
        <v>13</v>
      </c>
      <c r="D1046" s="19" t="s">
        <v>41</v>
      </c>
      <c r="E1046" s="19" t="s">
        <v>22</v>
      </c>
      <c r="F1046" s="19" t="s">
        <v>16</v>
      </c>
      <c r="G1046" s="19" t="s">
        <v>65</v>
      </c>
      <c r="H1046" s="19" t="s">
        <v>29</v>
      </c>
      <c r="I1046" s="19">
        <v>7</v>
      </c>
      <c r="J1046" s="21">
        <v>76</v>
      </c>
      <c r="K1046" s="22">
        <v>0</v>
      </c>
      <c r="L1046" s="21">
        <v>532</v>
      </c>
    </row>
    <row r="1047" spans="1:12">
      <c r="A1047" s="19" t="s">
        <v>1117</v>
      </c>
      <c r="B1047" s="20">
        <v>46076</v>
      </c>
      <c r="C1047" s="19" t="s">
        <v>86</v>
      </c>
      <c r="D1047" s="19" t="s">
        <v>14</v>
      </c>
      <c r="E1047" s="19" t="s">
        <v>22</v>
      </c>
      <c r="F1047" s="19" t="s">
        <v>16</v>
      </c>
      <c r="G1047" s="19" t="s">
        <v>42</v>
      </c>
      <c r="H1047" s="19" t="s">
        <v>93</v>
      </c>
      <c r="I1047" s="19">
        <v>2</v>
      </c>
      <c r="J1047" s="21">
        <v>45</v>
      </c>
      <c r="K1047" s="22">
        <v>0.03</v>
      </c>
      <c r="L1047" s="21">
        <v>87.3</v>
      </c>
    </row>
    <row r="1048" spans="1:12">
      <c r="A1048" s="19" t="s">
        <v>1118</v>
      </c>
      <c r="B1048" s="20">
        <v>46339</v>
      </c>
      <c r="C1048" s="19" t="s">
        <v>47</v>
      </c>
      <c r="D1048" s="19" t="s">
        <v>14</v>
      </c>
      <c r="E1048" s="19" t="s">
        <v>22</v>
      </c>
      <c r="F1048" s="19" t="s">
        <v>27</v>
      </c>
      <c r="G1048" s="19" t="s">
        <v>28</v>
      </c>
      <c r="H1048" s="19" t="s">
        <v>50</v>
      </c>
      <c r="I1048" s="19">
        <v>1</v>
      </c>
      <c r="J1048" s="21">
        <v>20.8</v>
      </c>
      <c r="K1048" s="22">
        <v>0.1</v>
      </c>
      <c r="L1048" s="21">
        <v>18.720000000000002</v>
      </c>
    </row>
    <row r="1049" spans="1:12">
      <c r="A1049" s="19" t="s">
        <v>1119</v>
      </c>
      <c r="B1049" s="20">
        <v>46023</v>
      </c>
      <c r="C1049" s="19" t="s">
        <v>13</v>
      </c>
      <c r="D1049" s="19" t="s">
        <v>21</v>
      </c>
      <c r="E1049" s="19" t="s">
        <v>22</v>
      </c>
      <c r="F1049" s="19" t="s">
        <v>73</v>
      </c>
      <c r="G1049" s="19" t="s">
        <v>127</v>
      </c>
      <c r="H1049" s="19" t="s">
        <v>43</v>
      </c>
      <c r="I1049" s="19">
        <v>2</v>
      </c>
      <c r="J1049" s="21">
        <v>25</v>
      </c>
      <c r="K1049" s="22">
        <v>0</v>
      </c>
      <c r="L1049" s="21">
        <v>50</v>
      </c>
    </row>
    <row r="1050" spans="1:12">
      <c r="A1050" s="19" t="s">
        <v>1120</v>
      </c>
      <c r="B1050" s="20">
        <v>46303</v>
      </c>
      <c r="C1050" s="19" t="s">
        <v>31</v>
      </c>
      <c r="D1050" s="19" t="s">
        <v>35</v>
      </c>
      <c r="E1050" s="19" t="s">
        <v>22</v>
      </c>
      <c r="F1050" s="19" t="s">
        <v>48</v>
      </c>
      <c r="G1050" s="19" t="s">
        <v>49</v>
      </c>
      <c r="H1050" s="19" t="s">
        <v>79</v>
      </c>
      <c r="I1050" s="19">
        <v>2</v>
      </c>
      <c r="J1050" s="21">
        <v>4200</v>
      </c>
      <c r="K1050" s="22">
        <v>0.15</v>
      </c>
      <c r="L1050" s="21">
        <v>7140</v>
      </c>
    </row>
    <row r="1051" spans="1:12">
      <c r="A1051" s="19" t="s">
        <v>1121</v>
      </c>
      <c r="B1051" s="20">
        <v>46070</v>
      </c>
      <c r="C1051" s="19" t="s">
        <v>13</v>
      </c>
      <c r="D1051" s="19" t="s">
        <v>35</v>
      </c>
      <c r="E1051" s="19" t="s">
        <v>22</v>
      </c>
      <c r="F1051" s="19" t="s">
        <v>16</v>
      </c>
      <c r="G1051" s="19" t="s">
        <v>65</v>
      </c>
      <c r="H1051" s="19" t="s">
        <v>29</v>
      </c>
      <c r="I1051" s="19">
        <v>3</v>
      </c>
      <c r="J1051" s="21">
        <v>80</v>
      </c>
      <c r="K1051" s="22">
        <v>0.08</v>
      </c>
      <c r="L1051" s="21">
        <v>220.8</v>
      </c>
    </row>
    <row r="1052" spans="1:12">
      <c r="A1052" s="19" t="s">
        <v>1122</v>
      </c>
      <c r="B1052" s="20">
        <v>46101</v>
      </c>
      <c r="C1052" s="19" t="s">
        <v>47</v>
      </c>
      <c r="D1052" s="19" t="s">
        <v>35</v>
      </c>
      <c r="E1052" s="19" t="s">
        <v>22</v>
      </c>
      <c r="F1052" s="19" t="s">
        <v>73</v>
      </c>
      <c r="G1052" s="19" t="s">
        <v>129</v>
      </c>
      <c r="H1052" s="19" t="s">
        <v>55</v>
      </c>
      <c r="I1052" s="19">
        <v>6</v>
      </c>
      <c r="J1052" s="21">
        <v>35</v>
      </c>
      <c r="K1052" s="22">
        <v>0</v>
      </c>
      <c r="L1052" s="21">
        <v>210</v>
      </c>
    </row>
    <row r="1053" spans="1:12">
      <c r="A1053" s="19" t="s">
        <v>1123</v>
      </c>
      <c r="B1053" s="20">
        <v>46247</v>
      </c>
      <c r="C1053" s="19" t="s">
        <v>86</v>
      </c>
      <c r="D1053" s="19" t="s">
        <v>14</v>
      </c>
      <c r="E1053" s="19" t="s">
        <v>22</v>
      </c>
      <c r="F1053" s="19" t="s">
        <v>60</v>
      </c>
      <c r="G1053" s="19" t="s">
        <v>76</v>
      </c>
      <c r="H1053" s="19" t="s">
        <v>93</v>
      </c>
      <c r="I1053" s="19">
        <v>4</v>
      </c>
      <c r="J1053" s="21">
        <v>700</v>
      </c>
      <c r="K1053" s="22">
        <v>0.05</v>
      </c>
      <c r="L1053" s="21">
        <v>2660</v>
      </c>
    </row>
    <row r="1054" spans="1:12">
      <c r="A1054" s="19" t="s">
        <v>1124</v>
      </c>
      <c r="B1054" s="20">
        <v>46189</v>
      </c>
      <c r="C1054" s="19" t="s">
        <v>13</v>
      </c>
      <c r="D1054" s="19" t="s">
        <v>41</v>
      </c>
      <c r="E1054" s="19" t="s">
        <v>22</v>
      </c>
      <c r="F1054" s="19" t="s">
        <v>23</v>
      </c>
      <c r="G1054" s="19" t="s">
        <v>24</v>
      </c>
      <c r="H1054" s="19" t="s">
        <v>18</v>
      </c>
      <c r="I1054" s="19">
        <v>3</v>
      </c>
      <c r="J1054" s="21">
        <v>90</v>
      </c>
      <c r="K1054" s="22">
        <v>0</v>
      </c>
      <c r="L1054" s="21">
        <v>270</v>
      </c>
    </row>
    <row r="1055" spans="1:12">
      <c r="A1055" s="19" t="s">
        <v>1125</v>
      </c>
      <c r="B1055" s="20">
        <v>46189</v>
      </c>
      <c r="C1055" s="19" t="s">
        <v>20</v>
      </c>
      <c r="D1055" s="19" t="s">
        <v>35</v>
      </c>
      <c r="E1055" s="19" t="s">
        <v>15</v>
      </c>
      <c r="F1055" s="19" t="s">
        <v>73</v>
      </c>
      <c r="G1055" s="19" t="s">
        <v>127</v>
      </c>
      <c r="H1055" s="19" t="s">
        <v>63</v>
      </c>
      <c r="I1055" s="19">
        <v>7</v>
      </c>
      <c r="J1055" s="21">
        <v>24.25</v>
      </c>
      <c r="K1055" s="22">
        <v>0.05</v>
      </c>
      <c r="L1055" s="21">
        <v>161.26249999999999</v>
      </c>
    </row>
    <row r="1056" spans="1:12">
      <c r="A1056" s="19" t="s">
        <v>1126</v>
      </c>
      <c r="B1056" s="20">
        <v>46237</v>
      </c>
      <c r="C1056" s="19" t="s">
        <v>31</v>
      </c>
      <c r="D1056" s="19" t="s">
        <v>21</v>
      </c>
      <c r="E1056" s="19" t="s">
        <v>22</v>
      </c>
      <c r="F1056" s="19" t="s">
        <v>73</v>
      </c>
      <c r="G1056" s="19" t="s">
        <v>74</v>
      </c>
      <c r="H1056" s="19" t="s">
        <v>33</v>
      </c>
      <c r="I1056" s="19">
        <v>1</v>
      </c>
      <c r="J1056" s="21">
        <v>8</v>
      </c>
      <c r="K1056" s="22">
        <v>0.05</v>
      </c>
      <c r="L1056" s="21">
        <v>7.6</v>
      </c>
    </row>
    <row r="1057" spans="1:12">
      <c r="A1057" s="19" t="s">
        <v>1127</v>
      </c>
      <c r="B1057" s="20">
        <v>46153</v>
      </c>
      <c r="C1057" s="19" t="s">
        <v>47</v>
      </c>
      <c r="D1057" s="19" t="s">
        <v>14</v>
      </c>
      <c r="E1057" s="19" t="s">
        <v>22</v>
      </c>
      <c r="F1057" s="19" t="s">
        <v>60</v>
      </c>
      <c r="G1057" s="19" t="s">
        <v>91</v>
      </c>
      <c r="H1057" s="19" t="s">
        <v>83</v>
      </c>
      <c r="I1057" s="19">
        <v>2</v>
      </c>
      <c r="J1057" s="21">
        <v>580</v>
      </c>
      <c r="K1057" s="22">
        <v>0.1</v>
      </c>
      <c r="L1057" s="21">
        <v>1044</v>
      </c>
    </row>
    <row r="1058" spans="1:12">
      <c r="A1058" s="19" t="s">
        <v>1128</v>
      </c>
      <c r="B1058" s="20">
        <v>46214</v>
      </c>
      <c r="C1058" s="19" t="s">
        <v>47</v>
      </c>
      <c r="D1058" s="19" t="s">
        <v>14</v>
      </c>
      <c r="E1058" s="19" t="s">
        <v>22</v>
      </c>
      <c r="F1058" s="19" t="s">
        <v>60</v>
      </c>
      <c r="G1058" s="19" t="s">
        <v>91</v>
      </c>
      <c r="H1058" s="19" t="s">
        <v>50</v>
      </c>
      <c r="I1058" s="19">
        <v>1</v>
      </c>
      <c r="J1058" s="21">
        <v>562.6</v>
      </c>
      <c r="K1058" s="22">
        <v>0</v>
      </c>
      <c r="L1058" s="21">
        <v>562.6</v>
      </c>
    </row>
    <row r="1059" spans="1:12">
      <c r="A1059" s="19" t="s">
        <v>1129</v>
      </c>
      <c r="B1059" s="20">
        <v>46301</v>
      </c>
      <c r="C1059" s="19" t="s">
        <v>20</v>
      </c>
      <c r="D1059" s="19" t="s">
        <v>14</v>
      </c>
      <c r="E1059" s="19" t="s">
        <v>15</v>
      </c>
      <c r="F1059" s="19" t="s">
        <v>73</v>
      </c>
      <c r="G1059" s="19" t="s">
        <v>127</v>
      </c>
      <c r="H1059" s="19" t="s">
        <v>58</v>
      </c>
      <c r="I1059" s="19">
        <v>6</v>
      </c>
      <c r="J1059" s="21">
        <v>23.75</v>
      </c>
      <c r="K1059" s="22">
        <v>0.05</v>
      </c>
      <c r="L1059" s="21">
        <v>135.375</v>
      </c>
    </row>
    <row r="1060" spans="1:12">
      <c r="A1060" s="19" t="s">
        <v>1130</v>
      </c>
      <c r="B1060" s="20">
        <v>46342</v>
      </c>
      <c r="C1060" s="19" t="s">
        <v>31</v>
      </c>
      <c r="D1060" s="19" t="s">
        <v>41</v>
      </c>
      <c r="E1060" s="19" t="s">
        <v>22</v>
      </c>
      <c r="F1060" s="19" t="s">
        <v>16</v>
      </c>
      <c r="G1060" s="19" t="s">
        <v>42</v>
      </c>
      <c r="H1060" s="19" t="s">
        <v>39</v>
      </c>
      <c r="I1060" s="19">
        <v>8</v>
      </c>
      <c r="J1060" s="21">
        <v>46.8</v>
      </c>
      <c r="K1060" s="22">
        <v>0.1</v>
      </c>
      <c r="L1060" s="21">
        <v>336.96</v>
      </c>
    </row>
    <row r="1061" spans="1:12">
      <c r="A1061" s="19" t="s">
        <v>1131</v>
      </c>
      <c r="B1061" s="20">
        <v>46123</v>
      </c>
      <c r="C1061" s="19" t="s">
        <v>20</v>
      </c>
      <c r="D1061" s="19" t="s">
        <v>14</v>
      </c>
      <c r="E1061" s="19" t="s">
        <v>22</v>
      </c>
      <c r="F1061" s="19" t="s">
        <v>16</v>
      </c>
      <c r="G1061" s="19" t="s">
        <v>65</v>
      </c>
      <c r="H1061" s="19" t="s">
        <v>63</v>
      </c>
      <c r="I1061" s="19">
        <v>5</v>
      </c>
      <c r="J1061" s="21">
        <v>80</v>
      </c>
      <c r="K1061" s="22">
        <v>0.2</v>
      </c>
      <c r="L1061" s="21">
        <v>320</v>
      </c>
    </row>
    <row r="1062" spans="1:12">
      <c r="A1062" s="19" t="s">
        <v>1132</v>
      </c>
      <c r="B1062" s="20">
        <v>46212</v>
      </c>
      <c r="C1062" s="19" t="s">
        <v>20</v>
      </c>
      <c r="D1062" s="19" t="s">
        <v>14</v>
      </c>
      <c r="E1062" s="19" t="s">
        <v>15</v>
      </c>
      <c r="F1062" s="19" t="s">
        <v>23</v>
      </c>
      <c r="G1062" s="19" t="s">
        <v>38</v>
      </c>
      <c r="H1062" s="19" t="s">
        <v>25</v>
      </c>
      <c r="I1062" s="19">
        <v>3</v>
      </c>
      <c r="J1062" s="21">
        <v>320</v>
      </c>
      <c r="K1062" s="22">
        <v>0.1</v>
      </c>
      <c r="L1062" s="21">
        <v>864</v>
      </c>
    </row>
    <row r="1063" spans="1:12">
      <c r="A1063" s="19" t="s">
        <v>1133</v>
      </c>
      <c r="B1063" s="20">
        <v>46148</v>
      </c>
      <c r="C1063" s="19" t="s">
        <v>31</v>
      </c>
      <c r="D1063" s="19" t="s">
        <v>14</v>
      </c>
      <c r="E1063" s="19" t="s">
        <v>22</v>
      </c>
      <c r="F1063" s="19" t="s">
        <v>48</v>
      </c>
      <c r="G1063" s="19" t="s">
        <v>96</v>
      </c>
      <c r="H1063" s="19" t="s">
        <v>33</v>
      </c>
      <c r="I1063" s="19">
        <v>1</v>
      </c>
      <c r="J1063" s="21">
        <v>2500</v>
      </c>
      <c r="K1063" s="22">
        <v>0.05</v>
      </c>
      <c r="L1063" s="21">
        <v>2375</v>
      </c>
    </row>
    <row r="1064" spans="1:12">
      <c r="A1064" s="19" t="s">
        <v>1134</v>
      </c>
      <c r="B1064" s="20">
        <v>46073</v>
      </c>
      <c r="C1064" s="19" t="s">
        <v>20</v>
      </c>
      <c r="D1064" s="19" t="s">
        <v>14</v>
      </c>
      <c r="E1064" s="19" t="s">
        <v>15</v>
      </c>
      <c r="F1064" s="19" t="s">
        <v>60</v>
      </c>
      <c r="G1064" s="19" t="s">
        <v>61</v>
      </c>
      <c r="H1064" s="19" t="s">
        <v>63</v>
      </c>
      <c r="I1064" s="19">
        <v>2</v>
      </c>
      <c r="J1064" s="21">
        <v>867</v>
      </c>
      <c r="K1064" s="22">
        <v>0.15</v>
      </c>
      <c r="L1064" s="21">
        <v>1473.8999999999999</v>
      </c>
    </row>
    <row r="1065" spans="1:12">
      <c r="A1065" s="19" t="s">
        <v>1135</v>
      </c>
      <c r="B1065" s="20">
        <v>46142</v>
      </c>
      <c r="C1065" s="19" t="s">
        <v>47</v>
      </c>
      <c r="D1065" s="19" t="s">
        <v>21</v>
      </c>
      <c r="E1065" s="19" t="s">
        <v>15</v>
      </c>
      <c r="F1065" s="19" t="s">
        <v>23</v>
      </c>
      <c r="G1065" s="19" t="s">
        <v>24</v>
      </c>
      <c r="H1065" s="19" t="s">
        <v>50</v>
      </c>
      <c r="I1065" s="19">
        <v>3</v>
      </c>
      <c r="J1065" s="21">
        <v>90</v>
      </c>
      <c r="K1065" s="22">
        <v>0.05</v>
      </c>
      <c r="L1065" s="21">
        <v>256.5</v>
      </c>
    </row>
    <row r="1066" spans="1:12">
      <c r="A1066" s="19" t="s">
        <v>1136</v>
      </c>
      <c r="B1066" s="20">
        <v>46058</v>
      </c>
      <c r="C1066" s="19" t="s">
        <v>31</v>
      </c>
      <c r="D1066" s="19" t="s">
        <v>14</v>
      </c>
      <c r="E1066" s="19" t="s">
        <v>15</v>
      </c>
      <c r="F1066" s="19" t="s">
        <v>60</v>
      </c>
      <c r="G1066" s="19" t="s">
        <v>61</v>
      </c>
      <c r="H1066" s="19" t="s">
        <v>39</v>
      </c>
      <c r="I1066" s="19">
        <v>1</v>
      </c>
      <c r="J1066" s="21">
        <v>884</v>
      </c>
      <c r="K1066" s="22">
        <v>0.08</v>
      </c>
      <c r="L1066" s="21">
        <v>813.28000000000009</v>
      </c>
    </row>
    <row r="1067" spans="1:12">
      <c r="A1067" s="19" t="s">
        <v>1137</v>
      </c>
      <c r="B1067" s="20">
        <v>46265</v>
      </c>
      <c r="C1067" s="19" t="s">
        <v>47</v>
      </c>
      <c r="D1067" s="19" t="s">
        <v>41</v>
      </c>
      <c r="E1067" s="19" t="s">
        <v>22</v>
      </c>
      <c r="F1067" s="19" t="s">
        <v>60</v>
      </c>
      <c r="G1067" s="19" t="s">
        <v>61</v>
      </c>
      <c r="H1067" s="19" t="s">
        <v>50</v>
      </c>
      <c r="I1067" s="19">
        <v>3</v>
      </c>
      <c r="J1067" s="21">
        <v>807.5</v>
      </c>
      <c r="K1067" s="22">
        <v>0.2</v>
      </c>
      <c r="L1067" s="21">
        <v>1938</v>
      </c>
    </row>
    <row r="1068" spans="1:12">
      <c r="A1068" s="19" t="s">
        <v>1138</v>
      </c>
      <c r="B1068" s="20">
        <v>46376</v>
      </c>
      <c r="C1068" s="19" t="s">
        <v>31</v>
      </c>
      <c r="D1068" s="19" t="s">
        <v>14</v>
      </c>
      <c r="E1068" s="19" t="s">
        <v>22</v>
      </c>
      <c r="F1068" s="19" t="s">
        <v>48</v>
      </c>
      <c r="G1068" s="19" t="s">
        <v>71</v>
      </c>
      <c r="H1068" s="19" t="s">
        <v>39</v>
      </c>
      <c r="I1068" s="19">
        <v>1</v>
      </c>
      <c r="J1068" s="21">
        <v>3200</v>
      </c>
      <c r="K1068" s="22">
        <v>0.08</v>
      </c>
      <c r="L1068" s="21">
        <v>2944</v>
      </c>
    </row>
    <row r="1069" spans="1:12">
      <c r="A1069" s="19" t="s">
        <v>1139</v>
      </c>
      <c r="B1069" s="20">
        <v>46183</v>
      </c>
      <c r="C1069" s="19" t="s">
        <v>20</v>
      </c>
      <c r="D1069" s="19" t="s">
        <v>14</v>
      </c>
      <c r="E1069" s="19" t="s">
        <v>22</v>
      </c>
      <c r="F1069" s="19" t="s">
        <v>48</v>
      </c>
      <c r="G1069" s="19" t="s">
        <v>49</v>
      </c>
      <c r="H1069" s="19" t="s">
        <v>63</v>
      </c>
      <c r="I1069" s="19">
        <v>1</v>
      </c>
      <c r="J1069" s="21">
        <v>4452</v>
      </c>
      <c r="K1069" s="22">
        <v>0.15</v>
      </c>
      <c r="L1069" s="21">
        <v>3784.2</v>
      </c>
    </row>
    <row r="1070" spans="1:12">
      <c r="A1070" s="19" t="s">
        <v>1140</v>
      </c>
      <c r="B1070" s="20">
        <v>46232</v>
      </c>
      <c r="C1070" s="19" t="s">
        <v>20</v>
      </c>
      <c r="D1070" s="19" t="s">
        <v>14</v>
      </c>
      <c r="E1070" s="19" t="s">
        <v>15</v>
      </c>
      <c r="F1070" s="19" t="s">
        <v>23</v>
      </c>
      <c r="G1070" s="19" t="s">
        <v>138</v>
      </c>
      <c r="H1070" s="19" t="s">
        <v>63</v>
      </c>
      <c r="I1070" s="19">
        <v>5</v>
      </c>
      <c r="J1070" s="21">
        <v>60</v>
      </c>
      <c r="K1070" s="22">
        <v>0.05</v>
      </c>
      <c r="L1070" s="21">
        <v>285</v>
      </c>
    </row>
    <row r="1071" spans="1:12">
      <c r="A1071" s="19" t="s">
        <v>1141</v>
      </c>
      <c r="B1071" s="20">
        <v>46274</v>
      </c>
      <c r="C1071" s="19" t="s">
        <v>13</v>
      </c>
      <c r="D1071" s="19" t="s">
        <v>21</v>
      </c>
      <c r="E1071" s="19" t="s">
        <v>22</v>
      </c>
      <c r="F1071" s="19" t="s">
        <v>48</v>
      </c>
      <c r="G1071" s="19" t="s">
        <v>71</v>
      </c>
      <c r="H1071" s="19" t="s">
        <v>29</v>
      </c>
      <c r="I1071" s="19">
        <v>2</v>
      </c>
      <c r="J1071" s="21">
        <v>3264</v>
      </c>
      <c r="K1071" s="22">
        <v>0.1</v>
      </c>
      <c r="L1071" s="21">
        <v>5875.2</v>
      </c>
    </row>
    <row r="1072" spans="1:12">
      <c r="A1072" s="19" t="s">
        <v>1142</v>
      </c>
      <c r="B1072" s="20">
        <v>46302</v>
      </c>
      <c r="C1072" s="19" t="s">
        <v>20</v>
      </c>
      <c r="D1072" s="19" t="s">
        <v>41</v>
      </c>
      <c r="E1072" s="19" t="s">
        <v>22</v>
      </c>
      <c r="F1072" s="19" t="s">
        <v>16</v>
      </c>
      <c r="G1072" s="19" t="s">
        <v>57</v>
      </c>
      <c r="H1072" s="19" t="s">
        <v>25</v>
      </c>
      <c r="I1072" s="19">
        <v>6</v>
      </c>
      <c r="J1072" s="21">
        <v>38</v>
      </c>
      <c r="K1072" s="22">
        <v>0.2</v>
      </c>
      <c r="L1072" s="21">
        <v>182.4</v>
      </c>
    </row>
    <row r="1073" spans="1:12">
      <c r="A1073" s="19" t="s">
        <v>1143</v>
      </c>
      <c r="B1073" s="20">
        <v>46190</v>
      </c>
      <c r="C1073" s="19" t="s">
        <v>31</v>
      </c>
      <c r="D1073" s="19" t="s">
        <v>21</v>
      </c>
      <c r="E1073" s="19" t="s">
        <v>15</v>
      </c>
      <c r="F1073" s="19" t="s">
        <v>73</v>
      </c>
      <c r="G1073" s="19" t="s">
        <v>129</v>
      </c>
      <c r="H1073" s="19" t="s">
        <v>33</v>
      </c>
      <c r="I1073" s="19">
        <v>3</v>
      </c>
      <c r="J1073" s="21">
        <v>33.25</v>
      </c>
      <c r="K1073" s="22">
        <v>0</v>
      </c>
      <c r="L1073" s="21">
        <v>99.75</v>
      </c>
    </row>
    <row r="1074" spans="1:12">
      <c r="A1074" s="19" t="s">
        <v>1144</v>
      </c>
      <c r="B1074" s="20">
        <v>46278</v>
      </c>
      <c r="C1074" s="19" t="s">
        <v>31</v>
      </c>
      <c r="D1074" s="19" t="s">
        <v>35</v>
      </c>
      <c r="E1074" s="19" t="s">
        <v>15</v>
      </c>
      <c r="F1074" s="19" t="s">
        <v>23</v>
      </c>
      <c r="G1074" s="19" t="s">
        <v>52</v>
      </c>
      <c r="H1074" s="19" t="s">
        <v>33</v>
      </c>
      <c r="I1074" s="19">
        <v>15</v>
      </c>
      <c r="J1074" s="21">
        <v>477</v>
      </c>
      <c r="K1074" s="22">
        <v>0.08</v>
      </c>
      <c r="L1074" s="21">
        <v>6582.6</v>
      </c>
    </row>
    <row r="1075" spans="1:12">
      <c r="A1075" s="19" t="s">
        <v>1145</v>
      </c>
      <c r="B1075" s="20">
        <v>46105</v>
      </c>
      <c r="C1075" s="19" t="s">
        <v>47</v>
      </c>
      <c r="D1075" s="19" t="s">
        <v>35</v>
      </c>
      <c r="E1075" s="19" t="s">
        <v>22</v>
      </c>
      <c r="F1075" s="19" t="s">
        <v>16</v>
      </c>
      <c r="G1075" s="19" t="s">
        <v>42</v>
      </c>
      <c r="H1075" s="19" t="s">
        <v>50</v>
      </c>
      <c r="I1075" s="19">
        <v>9</v>
      </c>
      <c r="J1075" s="21">
        <v>45</v>
      </c>
      <c r="K1075" s="22">
        <v>0.03</v>
      </c>
      <c r="L1075" s="21">
        <v>392.84999999999997</v>
      </c>
    </row>
    <row r="1076" spans="1:12">
      <c r="A1076" s="19" t="s">
        <v>1146</v>
      </c>
      <c r="B1076" s="20">
        <v>46080</v>
      </c>
      <c r="C1076" s="19" t="s">
        <v>47</v>
      </c>
      <c r="D1076" s="19" t="s">
        <v>14</v>
      </c>
      <c r="E1076" s="19" t="s">
        <v>22</v>
      </c>
      <c r="F1076" s="19" t="s">
        <v>16</v>
      </c>
      <c r="G1076" s="19" t="s">
        <v>42</v>
      </c>
      <c r="H1076" s="19" t="s">
        <v>55</v>
      </c>
      <c r="I1076" s="19">
        <v>8</v>
      </c>
      <c r="J1076" s="21">
        <v>45</v>
      </c>
      <c r="K1076" s="22">
        <v>0.03</v>
      </c>
      <c r="L1076" s="21">
        <v>349.2</v>
      </c>
    </row>
    <row r="1077" spans="1:12">
      <c r="A1077" s="19" t="s">
        <v>1147</v>
      </c>
      <c r="B1077" s="20">
        <v>46306</v>
      </c>
      <c r="C1077" s="19" t="s">
        <v>47</v>
      </c>
      <c r="D1077" s="19" t="s">
        <v>41</v>
      </c>
      <c r="E1077" s="19" t="s">
        <v>15</v>
      </c>
      <c r="F1077" s="19" t="s">
        <v>23</v>
      </c>
      <c r="G1077" s="19" t="s">
        <v>138</v>
      </c>
      <c r="H1077" s="19" t="s">
        <v>55</v>
      </c>
      <c r="I1077" s="19">
        <v>7</v>
      </c>
      <c r="J1077" s="21">
        <v>57</v>
      </c>
      <c r="K1077" s="22">
        <v>0.05</v>
      </c>
      <c r="L1077" s="21">
        <v>379.04999999999995</v>
      </c>
    </row>
    <row r="1078" spans="1:12">
      <c r="A1078" s="19" t="s">
        <v>1148</v>
      </c>
      <c r="B1078" s="20">
        <v>46268</v>
      </c>
      <c r="C1078" s="19" t="s">
        <v>31</v>
      </c>
      <c r="D1078" s="19" t="s">
        <v>35</v>
      </c>
      <c r="E1078" s="19" t="s">
        <v>15</v>
      </c>
      <c r="F1078" s="19" t="s">
        <v>48</v>
      </c>
      <c r="G1078" s="19" t="s">
        <v>96</v>
      </c>
      <c r="H1078" s="19" t="s">
        <v>39</v>
      </c>
      <c r="I1078" s="19">
        <v>1</v>
      </c>
      <c r="J1078" s="21">
        <v>2650</v>
      </c>
      <c r="K1078" s="22">
        <v>0.08</v>
      </c>
      <c r="L1078" s="21">
        <v>2438</v>
      </c>
    </row>
    <row r="1079" spans="1:12">
      <c r="A1079" s="19" t="s">
        <v>1149</v>
      </c>
      <c r="B1079" s="20">
        <v>46209</v>
      </c>
      <c r="C1079" s="19" t="s">
        <v>13</v>
      </c>
      <c r="D1079" s="19" t="s">
        <v>41</v>
      </c>
      <c r="E1079" s="19" t="s">
        <v>22</v>
      </c>
      <c r="F1079" s="19" t="s">
        <v>16</v>
      </c>
      <c r="G1079" s="19" t="s">
        <v>65</v>
      </c>
      <c r="H1079" s="19" t="s">
        <v>43</v>
      </c>
      <c r="I1079" s="19">
        <v>1</v>
      </c>
      <c r="J1079" s="21">
        <v>81.599999999999994</v>
      </c>
      <c r="K1079" s="22">
        <v>0.08</v>
      </c>
      <c r="L1079" s="21">
        <v>75.072000000000003</v>
      </c>
    </row>
    <row r="1080" spans="1:12">
      <c r="A1080" s="19" t="s">
        <v>1150</v>
      </c>
      <c r="B1080" s="20">
        <v>46068</v>
      </c>
      <c r="C1080" s="19" t="s">
        <v>31</v>
      </c>
      <c r="D1080" s="19" t="s">
        <v>41</v>
      </c>
      <c r="E1080" s="19" t="s">
        <v>15</v>
      </c>
      <c r="F1080" s="19" t="s">
        <v>16</v>
      </c>
      <c r="G1080" s="19" t="s">
        <v>57</v>
      </c>
      <c r="H1080" s="19" t="s">
        <v>79</v>
      </c>
      <c r="I1080" s="19">
        <v>4</v>
      </c>
      <c r="J1080" s="21">
        <v>36.1</v>
      </c>
      <c r="K1080" s="22">
        <v>0.1</v>
      </c>
      <c r="L1080" s="21">
        <v>129.96</v>
      </c>
    </row>
    <row r="1081" spans="1:12">
      <c r="A1081" s="19" t="s">
        <v>1151</v>
      </c>
      <c r="B1081" s="20">
        <v>46280</v>
      </c>
      <c r="C1081" s="19" t="s">
        <v>31</v>
      </c>
      <c r="D1081" s="19" t="s">
        <v>35</v>
      </c>
      <c r="E1081" s="19" t="s">
        <v>15</v>
      </c>
      <c r="F1081" s="19" t="s">
        <v>73</v>
      </c>
      <c r="G1081" s="19" t="s">
        <v>81</v>
      </c>
      <c r="H1081" s="19" t="s">
        <v>33</v>
      </c>
      <c r="I1081" s="19">
        <v>5</v>
      </c>
      <c r="J1081" s="21">
        <v>12</v>
      </c>
      <c r="K1081" s="22">
        <v>0.05</v>
      </c>
      <c r="L1081" s="21">
        <v>57</v>
      </c>
    </row>
    <row r="1082" spans="1:12">
      <c r="A1082" s="19" t="s">
        <v>1152</v>
      </c>
      <c r="B1082" s="20">
        <v>46086</v>
      </c>
      <c r="C1082" s="19" t="s">
        <v>20</v>
      </c>
      <c r="D1082" s="19" t="s">
        <v>21</v>
      </c>
      <c r="E1082" s="19" t="s">
        <v>22</v>
      </c>
      <c r="F1082" s="19" t="s">
        <v>48</v>
      </c>
      <c r="G1082" s="19" t="s">
        <v>96</v>
      </c>
      <c r="H1082" s="19" t="s">
        <v>63</v>
      </c>
      <c r="I1082" s="19">
        <v>4</v>
      </c>
      <c r="J1082" s="21">
        <v>2500</v>
      </c>
      <c r="K1082" s="22">
        <v>0.03</v>
      </c>
      <c r="L1082" s="21">
        <v>9700</v>
      </c>
    </row>
    <row r="1083" spans="1:12">
      <c r="A1083" s="19" t="s">
        <v>1153</v>
      </c>
      <c r="B1083" s="20">
        <v>46128</v>
      </c>
      <c r="C1083" s="19" t="s">
        <v>86</v>
      </c>
      <c r="D1083" s="19" t="s">
        <v>14</v>
      </c>
      <c r="E1083" s="19" t="s">
        <v>22</v>
      </c>
      <c r="F1083" s="19" t="s">
        <v>60</v>
      </c>
      <c r="G1083" s="19" t="s">
        <v>61</v>
      </c>
      <c r="H1083" s="19" t="s">
        <v>93</v>
      </c>
      <c r="I1083" s="19">
        <v>4</v>
      </c>
      <c r="J1083" s="21">
        <v>807.5</v>
      </c>
      <c r="K1083" s="22">
        <v>0.08</v>
      </c>
      <c r="L1083" s="21">
        <v>2971.6</v>
      </c>
    </row>
    <row r="1084" spans="1:12">
      <c r="A1084" s="19" t="s">
        <v>1154</v>
      </c>
      <c r="B1084" s="20">
        <v>46210</v>
      </c>
      <c r="C1084" s="19" t="s">
        <v>47</v>
      </c>
      <c r="D1084" s="19" t="s">
        <v>21</v>
      </c>
      <c r="E1084" s="19" t="s">
        <v>22</v>
      </c>
      <c r="F1084" s="19" t="s">
        <v>23</v>
      </c>
      <c r="G1084" s="19" t="s">
        <v>138</v>
      </c>
      <c r="H1084" s="19" t="s">
        <v>55</v>
      </c>
      <c r="I1084" s="19">
        <v>2</v>
      </c>
      <c r="J1084" s="21">
        <v>60</v>
      </c>
      <c r="K1084" s="22">
        <v>0.2</v>
      </c>
      <c r="L1084" s="21">
        <v>96</v>
      </c>
    </row>
    <row r="1085" spans="1:12">
      <c r="A1085" s="19" t="s">
        <v>1155</v>
      </c>
      <c r="B1085" s="20">
        <v>46352</v>
      </c>
      <c r="C1085" s="19" t="s">
        <v>86</v>
      </c>
      <c r="D1085" s="19" t="s">
        <v>21</v>
      </c>
      <c r="E1085" s="19" t="s">
        <v>15</v>
      </c>
      <c r="F1085" s="19" t="s">
        <v>16</v>
      </c>
      <c r="G1085" s="19" t="s">
        <v>57</v>
      </c>
      <c r="H1085" s="19" t="s">
        <v>87</v>
      </c>
      <c r="I1085" s="19">
        <v>6</v>
      </c>
      <c r="J1085" s="21">
        <v>36.1</v>
      </c>
      <c r="K1085" s="22">
        <v>0.08</v>
      </c>
      <c r="L1085" s="21">
        <v>199.27200000000002</v>
      </c>
    </row>
    <row r="1086" spans="1:12">
      <c r="A1086" s="19" t="s">
        <v>1156</v>
      </c>
      <c r="B1086" s="20">
        <v>46086</v>
      </c>
      <c r="C1086" s="19" t="s">
        <v>20</v>
      </c>
      <c r="D1086" s="19" t="s">
        <v>14</v>
      </c>
      <c r="E1086" s="19" t="s">
        <v>22</v>
      </c>
      <c r="F1086" s="19" t="s">
        <v>23</v>
      </c>
      <c r="G1086" s="19" t="s">
        <v>52</v>
      </c>
      <c r="H1086" s="19" t="s">
        <v>25</v>
      </c>
      <c r="I1086" s="19">
        <v>4</v>
      </c>
      <c r="J1086" s="21">
        <v>459</v>
      </c>
      <c r="K1086" s="22">
        <v>0.08</v>
      </c>
      <c r="L1086" s="21">
        <v>1689.1200000000001</v>
      </c>
    </row>
    <row r="1087" spans="1:12">
      <c r="A1087" s="19" t="s">
        <v>1157</v>
      </c>
      <c r="B1087" s="20">
        <v>46097</v>
      </c>
      <c r="C1087" s="19" t="s">
        <v>86</v>
      </c>
      <c r="D1087" s="19" t="s">
        <v>35</v>
      </c>
      <c r="E1087" s="19" t="s">
        <v>15</v>
      </c>
      <c r="F1087" s="19" t="s">
        <v>27</v>
      </c>
      <c r="G1087" s="19" t="s">
        <v>28</v>
      </c>
      <c r="H1087" s="19" t="s">
        <v>93</v>
      </c>
      <c r="I1087" s="19">
        <v>6</v>
      </c>
      <c r="J1087" s="21">
        <v>20</v>
      </c>
      <c r="K1087" s="22">
        <v>0.03</v>
      </c>
      <c r="L1087" s="21">
        <v>116.39999999999999</v>
      </c>
    </row>
    <row r="1088" spans="1:12">
      <c r="A1088" s="19" t="s">
        <v>1158</v>
      </c>
      <c r="B1088" s="20">
        <v>46193</v>
      </c>
      <c r="C1088" s="19" t="s">
        <v>20</v>
      </c>
      <c r="D1088" s="19" t="s">
        <v>21</v>
      </c>
      <c r="E1088" s="19" t="s">
        <v>22</v>
      </c>
      <c r="F1088" s="19" t="s">
        <v>48</v>
      </c>
      <c r="G1088" s="19" t="s">
        <v>96</v>
      </c>
      <c r="H1088" s="19" t="s">
        <v>63</v>
      </c>
      <c r="I1088" s="19">
        <v>2</v>
      </c>
      <c r="J1088" s="21">
        <v>2500</v>
      </c>
      <c r="K1088" s="22">
        <v>0.1</v>
      </c>
      <c r="L1088" s="21">
        <v>4500</v>
      </c>
    </row>
    <row r="1089" spans="1:12">
      <c r="A1089" s="19" t="s">
        <v>1159</v>
      </c>
      <c r="B1089" s="20">
        <v>46275</v>
      </c>
      <c r="C1089" s="19" t="s">
        <v>31</v>
      </c>
      <c r="D1089" s="19" t="s">
        <v>41</v>
      </c>
      <c r="E1089" s="19" t="s">
        <v>15</v>
      </c>
      <c r="F1089" s="19" t="s">
        <v>27</v>
      </c>
      <c r="G1089" s="19" t="s">
        <v>32</v>
      </c>
      <c r="H1089" s="19" t="s">
        <v>39</v>
      </c>
      <c r="I1089" s="19">
        <v>2</v>
      </c>
      <c r="J1089" s="21">
        <v>291.2</v>
      </c>
      <c r="K1089" s="22">
        <v>0.05</v>
      </c>
      <c r="L1089" s="21">
        <v>553.28</v>
      </c>
    </row>
    <row r="1090" spans="1:12">
      <c r="A1090" s="19" t="s">
        <v>1160</v>
      </c>
      <c r="B1090" s="20">
        <v>46174</v>
      </c>
      <c r="C1090" s="19" t="s">
        <v>31</v>
      </c>
      <c r="D1090" s="19" t="s">
        <v>14</v>
      </c>
      <c r="E1090" s="19" t="s">
        <v>15</v>
      </c>
      <c r="F1090" s="19" t="s">
        <v>60</v>
      </c>
      <c r="G1090" s="19" t="s">
        <v>61</v>
      </c>
      <c r="H1090" s="19" t="s">
        <v>79</v>
      </c>
      <c r="I1090" s="19">
        <v>1</v>
      </c>
      <c r="J1090" s="21">
        <v>850</v>
      </c>
      <c r="K1090" s="22">
        <v>0.05</v>
      </c>
      <c r="L1090" s="21">
        <v>807.5</v>
      </c>
    </row>
    <row r="1091" spans="1:12">
      <c r="A1091" s="19" t="s">
        <v>1161</v>
      </c>
      <c r="B1091" s="20">
        <v>46366</v>
      </c>
      <c r="C1091" s="19" t="s">
        <v>47</v>
      </c>
      <c r="D1091" s="19" t="s">
        <v>14</v>
      </c>
      <c r="E1091" s="19" t="s">
        <v>15</v>
      </c>
      <c r="F1091" s="19" t="s">
        <v>48</v>
      </c>
      <c r="G1091" s="19" t="s">
        <v>49</v>
      </c>
      <c r="H1091" s="19" t="s">
        <v>50</v>
      </c>
      <c r="I1091" s="19">
        <v>1</v>
      </c>
      <c r="J1091" s="21">
        <v>3990</v>
      </c>
      <c r="K1091" s="22">
        <v>0.05</v>
      </c>
      <c r="L1091" s="21">
        <v>3790.5</v>
      </c>
    </row>
    <row r="1092" spans="1:12">
      <c r="A1092" s="19" t="s">
        <v>1162</v>
      </c>
      <c r="B1092" s="20">
        <v>46115</v>
      </c>
      <c r="C1092" s="19" t="s">
        <v>31</v>
      </c>
      <c r="D1092" s="19" t="s">
        <v>41</v>
      </c>
      <c r="E1092" s="19" t="s">
        <v>22</v>
      </c>
      <c r="F1092" s="19" t="s">
        <v>23</v>
      </c>
      <c r="G1092" s="19" t="s">
        <v>38</v>
      </c>
      <c r="H1092" s="19" t="s">
        <v>79</v>
      </c>
      <c r="I1092" s="19">
        <v>1</v>
      </c>
      <c r="J1092" s="21">
        <v>326.39999999999998</v>
      </c>
      <c r="K1092" s="22">
        <v>0.03</v>
      </c>
      <c r="L1092" s="21">
        <v>316.60799999999995</v>
      </c>
    </row>
    <row r="1093" spans="1:12">
      <c r="A1093" s="19" t="s">
        <v>1163</v>
      </c>
      <c r="B1093" s="20">
        <v>46195</v>
      </c>
      <c r="C1093" s="19" t="s">
        <v>86</v>
      </c>
      <c r="D1093" s="19" t="s">
        <v>14</v>
      </c>
      <c r="E1093" s="19" t="s">
        <v>22</v>
      </c>
      <c r="F1093" s="19" t="s">
        <v>48</v>
      </c>
      <c r="G1093" s="19" t="s">
        <v>49</v>
      </c>
      <c r="H1093" s="19" t="s">
        <v>93</v>
      </c>
      <c r="I1093" s="19">
        <v>2</v>
      </c>
      <c r="J1093" s="21">
        <v>4200</v>
      </c>
      <c r="K1093" s="22">
        <v>0.03</v>
      </c>
      <c r="L1093" s="21">
        <v>8148</v>
      </c>
    </row>
    <row r="1094" spans="1:12">
      <c r="A1094" s="19" t="s">
        <v>1164</v>
      </c>
      <c r="B1094" s="20">
        <v>46172</v>
      </c>
      <c r="C1094" s="19" t="s">
        <v>31</v>
      </c>
      <c r="D1094" s="19" t="s">
        <v>35</v>
      </c>
      <c r="E1094" s="19" t="s">
        <v>22</v>
      </c>
      <c r="F1094" s="19" t="s">
        <v>73</v>
      </c>
      <c r="G1094" s="19" t="s">
        <v>145</v>
      </c>
      <c r="H1094" s="19" t="s">
        <v>39</v>
      </c>
      <c r="I1094" s="19">
        <v>7</v>
      </c>
      <c r="J1094" s="21">
        <v>18.72</v>
      </c>
      <c r="K1094" s="22">
        <v>0.05</v>
      </c>
      <c r="L1094" s="21">
        <v>124.48799999999999</v>
      </c>
    </row>
    <row r="1095" spans="1:12">
      <c r="A1095" s="19" t="s">
        <v>1165</v>
      </c>
      <c r="B1095" s="20">
        <v>46314</v>
      </c>
      <c r="C1095" s="19" t="s">
        <v>31</v>
      </c>
      <c r="D1095" s="19" t="s">
        <v>41</v>
      </c>
      <c r="E1095" s="19" t="s">
        <v>15</v>
      </c>
      <c r="F1095" s="19" t="s">
        <v>16</v>
      </c>
      <c r="G1095" s="19" t="s">
        <v>57</v>
      </c>
      <c r="H1095" s="19" t="s">
        <v>39</v>
      </c>
      <c r="I1095" s="19">
        <v>3</v>
      </c>
      <c r="J1095" s="21">
        <v>38.76</v>
      </c>
      <c r="K1095" s="22">
        <v>0</v>
      </c>
      <c r="L1095" s="21">
        <v>116.28</v>
      </c>
    </row>
    <row r="1096" spans="1:12">
      <c r="A1096" s="19" t="s">
        <v>1166</v>
      </c>
      <c r="B1096" s="20">
        <v>46325</v>
      </c>
      <c r="C1096" s="19" t="s">
        <v>31</v>
      </c>
      <c r="D1096" s="19" t="s">
        <v>14</v>
      </c>
      <c r="E1096" s="19" t="s">
        <v>22</v>
      </c>
      <c r="F1096" s="19" t="s">
        <v>16</v>
      </c>
      <c r="G1096" s="19" t="s">
        <v>57</v>
      </c>
      <c r="H1096" s="19" t="s">
        <v>79</v>
      </c>
      <c r="I1096" s="19">
        <v>1</v>
      </c>
      <c r="J1096" s="21">
        <v>39.520000000000003</v>
      </c>
      <c r="K1096" s="22">
        <v>0.05</v>
      </c>
      <c r="L1096" s="21">
        <v>37.544000000000004</v>
      </c>
    </row>
    <row r="1097" spans="1:12">
      <c r="A1097" s="19" t="s">
        <v>1167</v>
      </c>
      <c r="B1097" s="20">
        <v>46183</v>
      </c>
      <c r="C1097" s="19" t="s">
        <v>86</v>
      </c>
      <c r="D1097" s="19" t="s">
        <v>35</v>
      </c>
      <c r="E1097" s="19" t="s">
        <v>22</v>
      </c>
      <c r="F1097" s="19" t="s">
        <v>48</v>
      </c>
      <c r="G1097" s="19" t="s">
        <v>49</v>
      </c>
      <c r="H1097" s="19" t="s">
        <v>93</v>
      </c>
      <c r="I1097" s="19">
        <v>1</v>
      </c>
      <c r="J1097" s="21">
        <v>4200</v>
      </c>
      <c r="K1097" s="22">
        <v>0.1</v>
      </c>
      <c r="L1097" s="21">
        <v>3780</v>
      </c>
    </row>
    <row r="1098" spans="1:12">
      <c r="A1098" s="19" t="s">
        <v>1168</v>
      </c>
      <c r="B1098" s="20">
        <v>46176</v>
      </c>
      <c r="C1098" s="19" t="s">
        <v>86</v>
      </c>
      <c r="D1098" s="19" t="s">
        <v>35</v>
      </c>
      <c r="E1098" s="19" t="s">
        <v>22</v>
      </c>
      <c r="F1098" s="19" t="s">
        <v>60</v>
      </c>
      <c r="G1098" s="19" t="s">
        <v>91</v>
      </c>
      <c r="H1098" s="19" t="s">
        <v>102</v>
      </c>
      <c r="I1098" s="19">
        <v>1</v>
      </c>
      <c r="J1098" s="21">
        <v>580</v>
      </c>
      <c r="K1098" s="22">
        <v>0.1</v>
      </c>
      <c r="L1098" s="21">
        <v>522</v>
      </c>
    </row>
    <row r="1099" spans="1:12">
      <c r="A1099" s="19" t="s">
        <v>1169</v>
      </c>
      <c r="B1099" s="20">
        <v>46266</v>
      </c>
      <c r="C1099" s="19" t="s">
        <v>20</v>
      </c>
      <c r="D1099" s="19" t="s">
        <v>41</v>
      </c>
      <c r="E1099" s="19" t="s">
        <v>22</v>
      </c>
      <c r="F1099" s="19" t="s">
        <v>73</v>
      </c>
      <c r="G1099" s="19" t="s">
        <v>129</v>
      </c>
      <c r="H1099" s="19" t="s">
        <v>58</v>
      </c>
      <c r="I1099" s="19">
        <v>2</v>
      </c>
      <c r="J1099" s="21">
        <v>36.4</v>
      </c>
      <c r="K1099" s="22">
        <v>0.08</v>
      </c>
      <c r="L1099" s="21">
        <v>66.975999999999999</v>
      </c>
    </row>
    <row r="1100" spans="1:12">
      <c r="A1100" s="19" t="s">
        <v>1170</v>
      </c>
      <c r="B1100" s="20">
        <v>46356</v>
      </c>
      <c r="C1100" s="19" t="s">
        <v>20</v>
      </c>
      <c r="D1100" s="19" t="s">
        <v>14</v>
      </c>
      <c r="E1100" s="19" t="s">
        <v>22</v>
      </c>
      <c r="F1100" s="19" t="s">
        <v>48</v>
      </c>
      <c r="G1100" s="19" t="s">
        <v>99</v>
      </c>
      <c r="H1100" s="19" t="s">
        <v>63</v>
      </c>
      <c r="I1100" s="19">
        <v>1</v>
      </c>
      <c r="J1100" s="21">
        <v>3060</v>
      </c>
      <c r="K1100" s="22">
        <v>0.03</v>
      </c>
      <c r="L1100" s="21">
        <v>2968.2</v>
      </c>
    </row>
    <row r="1101" spans="1:12">
      <c r="A1101" s="19" t="s">
        <v>1171</v>
      </c>
      <c r="B1101" s="20">
        <v>46216</v>
      </c>
      <c r="C1101" s="19" t="s">
        <v>47</v>
      </c>
      <c r="D1101" s="19" t="s">
        <v>14</v>
      </c>
      <c r="E1101" s="19" t="s">
        <v>15</v>
      </c>
      <c r="F1101" s="19" t="s">
        <v>27</v>
      </c>
      <c r="G1101" s="19" t="s">
        <v>28</v>
      </c>
      <c r="H1101" s="19" t="s">
        <v>83</v>
      </c>
      <c r="I1101" s="19">
        <v>3</v>
      </c>
      <c r="J1101" s="21">
        <v>20</v>
      </c>
      <c r="K1101" s="22">
        <v>0.05</v>
      </c>
      <c r="L1101" s="21">
        <v>57</v>
      </c>
    </row>
    <row r="1102" spans="1:12">
      <c r="A1102" s="19" t="s">
        <v>1172</v>
      </c>
      <c r="B1102" s="20">
        <v>46188</v>
      </c>
      <c r="C1102" s="19" t="s">
        <v>86</v>
      </c>
      <c r="D1102" s="19" t="s">
        <v>14</v>
      </c>
      <c r="E1102" s="19" t="s">
        <v>22</v>
      </c>
      <c r="F1102" s="19" t="s">
        <v>48</v>
      </c>
      <c r="G1102" s="19" t="s">
        <v>99</v>
      </c>
      <c r="H1102" s="19" t="s">
        <v>102</v>
      </c>
      <c r="I1102" s="19">
        <v>1</v>
      </c>
      <c r="J1102" s="21">
        <v>3060</v>
      </c>
      <c r="K1102" s="22">
        <v>0.05</v>
      </c>
      <c r="L1102" s="21">
        <v>2907</v>
      </c>
    </row>
    <row r="1103" spans="1:12">
      <c r="A1103" s="19" t="s">
        <v>1173</v>
      </c>
      <c r="B1103" s="20">
        <v>46296</v>
      </c>
      <c r="C1103" s="19" t="s">
        <v>20</v>
      </c>
      <c r="D1103" s="19" t="s">
        <v>14</v>
      </c>
      <c r="E1103" s="19" t="s">
        <v>15</v>
      </c>
      <c r="F1103" s="19" t="s">
        <v>16</v>
      </c>
      <c r="G1103" s="19" t="s">
        <v>57</v>
      </c>
      <c r="H1103" s="19" t="s">
        <v>63</v>
      </c>
      <c r="I1103" s="19">
        <v>3</v>
      </c>
      <c r="J1103" s="21">
        <v>38</v>
      </c>
      <c r="K1103" s="22">
        <v>0.05</v>
      </c>
      <c r="L1103" s="21">
        <v>108.3</v>
      </c>
    </row>
    <row r="1104" spans="1:12">
      <c r="A1104" s="19" t="s">
        <v>1174</v>
      </c>
      <c r="B1104" s="20">
        <v>46313</v>
      </c>
      <c r="C1104" s="19" t="s">
        <v>13</v>
      </c>
      <c r="D1104" s="19" t="s">
        <v>14</v>
      </c>
      <c r="E1104" s="19" t="s">
        <v>15</v>
      </c>
      <c r="F1104" s="19" t="s">
        <v>16</v>
      </c>
      <c r="G1104" s="19" t="s">
        <v>17</v>
      </c>
      <c r="H1104" s="19" t="s">
        <v>29</v>
      </c>
      <c r="I1104" s="19">
        <v>3</v>
      </c>
      <c r="J1104" s="21">
        <v>15</v>
      </c>
      <c r="K1104" s="22">
        <v>0.03</v>
      </c>
      <c r="L1104" s="21">
        <v>43.65</v>
      </c>
    </row>
    <row r="1105" spans="1:12">
      <c r="A1105" s="19" t="s">
        <v>1175</v>
      </c>
      <c r="B1105" s="20">
        <v>46157</v>
      </c>
      <c r="C1105" s="19" t="s">
        <v>13</v>
      </c>
      <c r="D1105" s="19" t="s">
        <v>14</v>
      </c>
      <c r="E1105" s="19" t="s">
        <v>22</v>
      </c>
      <c r="F1105" s="19" t="s">
        <v>73</v>
      </c>
      <c r="G1105" s="19" t="s">
        <v>74</v>
      </c>
      <c r="H1105" s="19" t="s">
        <v>18</v>
      </c>
      <c r="I1105" s="19">
        <v>1</v>
      </c>
      <c r="J1105" s="21">
        <v>8.48</v>
      </c>
      <c r="K1105" s="22">
        <v>0.03</v>
      </c>
      <c r="L1105" s="21">
        <v>8.2256</v>
      </c>
    </row>
    <row r="1106" spans="1:12">
      <c r="A1106" s="19" t="s">
        <v>1176</v>
      </c>
      <c r="B1106" s="20">
        <v>46105</v>
      </c>
      <c r="C1106" s="19" t="s">
        <v>13</v>
      </c>
      <c r="D1106" s="19" t="s">
        <v>41</v>
      </c>
      <c r="E1106" s="19" t="s">
        <v>22</v>
      </c>
      <c r="F1106" s="19" t="s">
        <v>27</v>
      </c>
      <c r="G1106" s="19" t="s">
        <v>32</v>
      </c>
      <c r="H1106" s="19" t="s">
        <v>29</v>
      </c>
      <c r="I1106" s="19">
        <v>6</v>
      </c>
      <c r="J1106" s="21">
        <v>285.60000000000002</v>
      </c>
      <c r="K1106" s="22">
        <v>0.1</v>
      </c>
      <c r="L1106" s="21">
        <v>1542.2400000000002</v>
      </c>
    </row>
    <row r="1107" spans="1:12">
      <c r="A1107" s="19" t="s">
        <v>1177</v>
      </c>
      <c r="B1107" s="20">
        <v>46179</v>
      </c>
      <c r="C1107" s="19" t="s">
        <v>47</v>
      </c>
      <c r="D1107" s="19" t="s">
        <v>14</v>
      </c>
      <c r="E1107" s="19" t="s">
        <v>22</v>
      </c>
      <c r="F1107" s="19" t="s">
        <v>73</v>
      </c>
      <c r="G1107" s="19" t="s">
        <v>145</v>
      </c>
      <c r="H1107" s="19" t="s">
        <v>83</v>
      </c>
      <c r="I1107" s="19">
        <v>5</v>
      </c>
      <c r="J1107" s="21">
        <v>17.46</v>
      </c>
      <c r="K1107" s="22">
        <v>0.1</v>
      </c>
      <c r="L1107" s="21">
        <v>78.570000000000007</v>
      </c>
    </row>
    <row r="1108" spans="1:12">
      <c r="A1108" s="19" t="s">
        <v>1178</v>
      </c>
      <c r="B1108" s="20">
        <v>46252</v>
      </c>
      <c r="C1108" s="19" t="s">
        <v>47</v>
      </c>
      <c r="D1108" s="19" t="s">
        <v>14</v>
      </c>
      <c r="E1108" s="19" t="s">
        <v>22</v>
      </c>
      <c r="F1108" s="19" t="s">
        <v>48</v>
      </c>
      <c r="G1108" s="19" t="s">
        <v>49</v>
      </c>
      <c r="H1108" s="19" t="s">
        <v>55</v>
      </c>
      <c r="I1108" s="19">
        <v>2</v>
      </c>
      <c r="J1108" s="21">
        <v>4200</v>
      </c>
      <c r="K1108" s="22">
        <v>0.05</v>
      </c>
      <c r="L1108" s="21">
        <v>7980</v>
      </c>
    </row>
    <row r="1109" spans="1:12">
      <c r="A1109" s="19" t="s">
        <v>1179</v>
      </c>
      <c r="B1109" s="20">
        <v>46271</v>
      </c>
      <c r="C1109" s="19" t="s">
        <v>86</v>
      </c>
      <c r="D1109" s="19" t="s">
        <v>35</v>
      </c>
      <c r="E1109" s="19" t="s">
        <v>22</v>
      </c>
      <c r="F1109" s="19" t="s">
        <v>27</v>
      </c>
      <c r="G1109" s="19" t="s">
        <v>28</v>
      </c>
      <c r="H1109" s="19" t="s">
        <v>102</v>
      </c>
      <c r="I1109" s="19">
        <v>2</v>
      </c>
      <c r="J1109" s="21">
        <v>20</v>
      </c>
      <c r="K1109" s="22">
        <v>0.03</v>
      </c>
      <c r="L1109" s="21">
        <v>38.799999999999997</v>
      </c>
    </row>
    <row r="1110" spans="1:12">
      <c r="A1110" s="19" t="s">
        <v>1180</v>
      </c>
      <c r="B1110" s="20">
        <v>46274</v>
      </c>
      <c r="C1110" s="19" t="s">
        <v>86</v>
      </c>
      <c r="D1110" s="19" t="s">
        <v>21</v>
      </c>
      <c r="E1110" s="19" t="s">
        <v>22</v>
      </c>
      <c r="F1110" s="19" t="s">
        <v>48</v>
      </c>
      <c r="G1110" s="19" t="s">
        <v>96</v>
      </c>
      <c r="H1110" s="19" t="s">
        <v>93</v>
      </c>
      <c r="I1110" s="19">
        <v>1</v>
      </c>
      <c r="J1110" s="21">
        <v>2500</v>
      </c>
      <c r="K1110" s="22">
        <v>0.03</v>
      </c>
      <c r="L1110" s="21">
        <v>2425</v>
      </c>
    </row>
    <row r="1111" spans="1:12">
      <c r="A1111" s="19" t="s">
        <v>1181</v>
      </c>
      <c r="B1111" s="20">
        <v>46258</v>
      </c>
      <c r="C1111" s="19" t="s">
        <v>13</v>
      </c>
      <c r="D1111" s="19" t="s">
        <v>41</v>
      </c>
      <c r="E1111" s="19" t="s">
        <v>22</v>
      </c>
      <c r="F1111" s="19" t="s">
        <v>23</v>
      </c>
      <c r="G1111" s="19" t="s">
        <v>138</v>
      </c>
      <c r="H1111" s="19" t="s">
        <v>29</v>
      </c>
      <c r="I1111" s="19">
        <v>2</v>
      </c>
      <c r="J1111" s="21">
        <v>62.4</v>
      </c>
      <c r="K1111" s="22">
        <v>0.08</v>
      </c>
      <c r="L1111" s="21">
        <v>114.816</v>
      </c>
    </row>
    <row r="1112" spans="1:12">
      <c r="A1112" s="19" t="s">
        <v>1182</v>
      </c>
      <c r="B1112" s="20">
        <v>46154</v>
      </c>
      <c r="C1112" s="19" t="s">
        <v>47</v>
      </c>
      <c r="D1112" s="19" t="s">
        <v>14</v>
      </c>
      <c r="E1112" s="19" t="s">
        <v>22</v>
      </c>
      <c r="F1112" s="19" t="s">
        <v>60</v>
      </c>
      <c r="G1112" s="19" t="s">
        <v>61</v>
      </c>
      <c r="H1112" s="19" t="s">
        <v>55</v>
      </c>
      <c r="I1112" s="19">
        <v>1</v>
      </c>
      <c r="J1112" s="21">
        <v>884</v>
      </c>
      <c r="K1112" s="22">
        <v>0</v>
      </c>
      <c r="L1112" s="21">
        <v>884</v>
      </c>
    </row>
    <row r="1113" spans="1:12">
      <c r="A1113" s="19" t="s">
        <v>1183</v>
      </c>
      <c r="B1113" s="20">
        <v>46377</v>
      </c>
      <c r="C1113" s="19" t="s">
        <v>20</v>
      </c>
      <c r="D1113" s="19" t="s">
        <v>41</v>
      </c>
      <c r="E1113" s="19" t="s">
        <v>15</v>
      </c>
      <c r="F1113" s="19" t="s">
        <v>23</v>
      </c>
      <c r="G1113" s="19" t="s">
        <v>138</v>
      </c>
      <c r="H1113" s="19" t="s">
        <v>58</v>
      </c>
      <c r="I1113" s="19">
        <v>2</v>
      </c>
      <c r="J1113" s="21">
        <v>60</v>
      </c>
      <c r="K1113" s="22">
        <v>0.05</v>
      </c>
      <c r="L1113" s="21">
        <v>114</v>
      </c>
    </row>
    <row r="1114" spans="1:12">
      <c r="A1114" s="19" t="s">
        <v>1184</v>
      </c>
      <c r="B1114" s="20">
        <v>46178</v>
      </c>
      <c r="C1114" s="19" t="s">
        <v>13</v>
      </c>
      <c r="D1114" s="19" t="s">
        <v>14</v>
      </c>
      <c r="E1114" s="19" t="s">
        <v>15</v>
      </c>
      <c r="F1114" s="19" t="s">
        <v>48</v>
      </c>
      <c r="G1114" s="19" t="s">
        <v>71</v>
      </c>
      <c r="H1114" s="19" t="s">
        <v>18</v>
      </c>
      <c r="I1114" s="19">
        <v>1</v>
      </c>
      <c r="J1114" s="21">
        <v>3200</v>
      </c>
      <c r="K1114" s="22">
        <v>0.08</v>
      </c>
      <c r="L1114" s="21">
        <v>2944</v>
      </c>
    </row>
    <row r="1115" spans="1:12">
      <c r="A1115" s="19" t="s">
        <v>1185</v>
      </c>
      <c r="B1115" s="20">
        <v>46160</v>
      </c>
      <c r="C1115" s="19" t="s">
        <v>31</v>
      </c>
      <c r="D1115" s="19" t="s">
        <v>21</v>
      </c>
      <c r="E1115" s="19" t="s">
        <v>22</v>
      </c>
      <c r="F1115" s="19" t="s">
        <v>16</v>
      </c>
      <c r="G1115" s="19" t="s">
        <v>112</v>
      </c>
      <c r="H1115" s="19" t="s">
        <v>79</v>
      </c>
      <c r="I1115" s="19">
        <v>8</v>
      </c>
      <c r="J1115" s="21">
        <v>65</v>
      </c>
      <c r="K1115" s="22">
        <v>0.08</v>
      </c>
      <c r="L1115" s="21">
        <v>478.40000000000003</v>
      </c>
    </row>
    <row r="1116" spans="1:12">
      <c r="A1116" s="19" t="s">
        <v>1186</v>
      </c>
      <c r="B1116" s="20">
        <v>46351</v>
      </c>
      <c r="C1116" s="19" t="s">
        <v>13</v>
      </c>
      <c r="D1116" s="19" t="s">
        <v>35</v>
      </c>
      <c r="E1116" s="19" t="s">
        <v>22</v>
      </c>
      <c r="F1116" s="19" t="s">
        <v>60</v>
      </c>
      <c r="G1116" s="19" t="s">
        <v>61</v>
      </c>
      <c r="H1116" s="19" t="s">
        <v>29</v>
      </c>
      <c r="I1116" s="19">
        <v>4</v>
      </c>
      <c r="J1116" s="21">
        <v>884</v>
      </c>
      <c r="K1116" s="22">
        <v>0.05</v>
      </c>
      <c r="L1116" s="21">
        <v>3359.2</v>
      </c>
    </row>
    <row r="1117" spans="1:12">
      <c r="A1117" s="19" t="s">
        <v>1187</v>
      </c>
      <c r="B1117" s="20">
        <v>46287</v>
      </c>
      <c r="C1117" s="19" t="s">
        <v>47</v>
      </c>
      <c r="D1117" s="19" t="s">
        <v>41</v>
      </c>
      <c r="E1117" s="19" t="s">
        <v>22</v>
      </c>
      <c r="F1117" s="19" t="s">
        <v>16</v>
      </c>
      <c r="G1117" s="19" t="s">
        <v>65</v>
      </c>
      <c r="H1117" s="19" t="s">
        <v>83</v>
      </c>
      <c r="I1117" s="19">
        <v>1</v>
      </c>
      <c r="J1117" s="21">
        <v>83.2</v>
      </c>
      <c r="K1117" s="22">
        <v>0.05</v>
      </c>
      <c r="L1117" s="21">
        <v>79.039999999999992</v>
      </c>
    </row>
    <row r="1118" spans="1:12">
      <c r="A1118" s="19" t="s">
        <v>1188</v>
      </c>
      <c r="B1118" s="20">
        <v>46142</v>
      </c>
      <c r="C1118" s="19" t="s">
        <v>20</v>
      </c>
      <c r="D1118" s="19" t="s">
        <v>41</v>
      </c>
      <c r="E1118" s="19" t="s">
        <v>15</v>
      </c>
      <c r="F1118" s="19" t="s">
        <v>16</v>
      </c>
      <c r="G1118" s="19" t="s">
        <v>65</v>
      </c>
      <c r="H1118" s="19" t="s">
        <v>58</v>
      </c>
      <c r="I1118" s="19">
        <v>4</v>
      </c>
      <c r="J1118" s="21">
        <v>81.599999999999994</v>
      </c>
      <c r="K1118" s="22">
        <v>0.1</v>
      </c>
      <c r="L1118" s="21">
        <v>293.76</v>
      </c>
    </row>
    <row r="1119" spans="1:12">
      <c r="A1119" s="19" t="s">
        <v>1189</v>
      </c>
      <c r="B1119" s="20">
        <v>46339</v>
      </c>
      <c r="C1119" s="19" t="s">
        <v>20</v>
      </c>
      <c r="D1119" s="19" t="s">
        <v>21</v>
      </c>
      <c r="E1119" s="19" t="s">
        <v>22</v>
      </c>
      <c r="F1119" s="19" t="s">
        <v>16</v>
      </c>
      <c r="G1119" s="19" t="s">
        <v>42</v>
      </c>
      <c r="H1119" s="19" t="s">
        <v>25</v>
      </c>
      <c r="I1119" s="19">
        <v>1</v>
      </c>
      <c r="J1119" s="21">
        <v>45</v>
      </c>
      <c r="K1119" s="22">
        <v>0.1</v>
      </c>
      <c r="L1119" s="21">
        <v>40.5</v>
      </c>
    </row>
    <row r="1120" spans="1:12">
      <c r="A1120" s="19" t="s">
        <v>1190</v>
      </c>
      <c r="B1120" s="20">
        <v>46258</v>
      </c>
      <c r="C1120" s="19" t="s">
        <v>86</v>
      </c>
      <c r="D1120" s="19" t="s">
        <v>14</v>
      </c>
      <c r="E1120" s="19" t="s">
        <v>22</v>
      </c>
      <c r="F1120" s="19" t="s">
        <v>16</v>
      </c>
      <c r="G1120" s="19" t="s">
        <v>17</v>
      </c>
      <c r="H1120" s="19" t="s">
        <v>93</v>
      </c>
      <c r="I1120" s="19">
        <v>4</v>
      </c>
      <c r="J1120" s="21">
        <v>15.9</v>
      </c>
      <c r="K1120" s="22">
        <v>0.2</v>
      </c>
      <c r="L1120" s="21">
        <v>50.88</v>
      </c>
    </row>
    <row r="1121" spans="1:12">
      <c r="A1121" s="19" t="s">
        <v>1191</v>
      </c>
      <c r="B1121" s="20">
        <v>46324</v>
      </c>
      <c r="C1121" s="19" t="s">
        <v>47</v>
      </c>
      <c r="D1121" s="19" t="s">
        <v>21</v>
      </c>
      <c r="E1121" s="19" t="s">
        <v>22</v>
      </c>
      <c r="F1121" s="19" t="s">
        <v>16</v>
      </c>
      <c r="G1121" s="19" t="s">
        <v>112</v>
      </c>
      <c r="H1121" s="19" t="s">
        <v>50</v>
      </c>
      <c r="I1121" s="19">
        <v>2</v>
      </c>
      <c r="J1121" s="21">
        <v>68.900000000000006</v>
      </c>
      <c r="K1121" s="22">
        <v>0.15</v>
      </c>
      <c r="L1121" s="21">
        <v>117.13000000000001</v>
      </c>
    </row>
    <row r="1122" spans="1:12">
      <c r="A1122" s="19" t="s">
        <v>1192</v>
      </c>
      <c r="B1122" s="20">
        <v>46196</v>
      </c>
      <c r="C1122" s="19" t="s">
        <v>47</v>
      </c>
      <c r="D1122" s="19" t="s">
        <v>14</v>
      </c>
      <c r="E1122" s="19" t="s">
        <v>15</v>
      </c>
      <c r="F1122" s="19" t="s">
        <v>73</v>
      </c>
      <c r="G1122" s="19" t="s">
        <v>81</v>
      </c>
      <c r="H1122" s="19" t="s">
        <v>83</v>
      </c>
      <c r="I1122" s="19">
        <v>2</v>
      </c>
      <c r="J1122" s="21">
        <v>12.72</v>
      </c>
      <c r="K1122" s="22">
        <v>0.1</v>
      </c>
      <c r="L1122" s="21">
        <v>22.896000000000001</v>
      </c>
    </row>
    <row r="1123" spans="1:12">
      <c r="A1123" s="19" t="s">
        <v>1193</v>
      </c>
      <c r="B1123" s="20">
        <v>46382</v>
      </c>
      <c r="C1123" s="19" t="s">
        <v>31</v>
      </c>
      <c r="D1123" s="19" t="s">
        <v>21</v>
      </c>
      <c r="E1123" s="19" t="s">
        <v>22</v>
      </c>
      <c r="F1123" s="19" t="s">
        <v>73</v>
      </c>
      <c r="G1123" s="19" t="s">
        <v>129</v>
      </c>
      <c r="H1123" s="19" t="s">
        <v>79</v>
      </c>
      <c r="I1123" s="19">
        <v>1</v>
      </c>
      <c r="J1123" s="21">
        <v>35</v>
      </c>
      <c r="K1123" s="22">
        <v>0.1</v>
      </c>
      <c r="L1123" s="21">
        <v>31.5</v>
      </c>
    </row>
    <row r="1124" spans="1:12">
      <c r="A1124" s="19" t="s">
        <v>1194</v>
      </c>
      <c r="B1124" s="20">
        <v>46024</v>
      </c>
      <c r="C1124" s="19" t="s">
        <v>13</v>
      </c>
      <c r="D1124" s="19" t="s">
        <v>21</v>
      </c>
      <c r="E1124" s="19" t="s">
        <v>22</v>
      </c>
      <c r="F1124" s="19" t="s">
        <v>60</v>
      </c>
      <c r="G1124" s="19" t="s">
        <v>76</v>
      </c>
      <c r="H1124" s="19" t="s">
        <v>43</v>
      </c>
      <c r="I1124" s="19">
        <v>3</v>
      </c>
      <c r="J1124" s="21">
        <v>679</v>
      </c>
      <c r="K1124" s="22">
        <v>0.2</v>
      </c>
      <c r="L1124" s="21">
        <v>1629.6000000000001</v>
      </c>
    </row>
    <row r="1125" spans="1:12">
      <c r="A1125" s="19" t="s">
        <v>1195</v>
      </c>
      <c r="B1125" s="20">
        <v>46226</v>
      </c>
      <c r="C1125" s="19" t="s">
        <v>13</v>
      </c>
      <c r="D1125" s="19" t="s">
        <v>35</v>
      </c>
      <c r="E1125" s="19" t="s">
        <v>22</v>
      </c>
      <c r="F1125" s="19" t="s">
        <v>16</v>
      </c>
      <c r="G1125" s="19" t="s">
        <v>69</v>
      </c>
      <c r="H1125" s="19" t="s">
        <v>43</v>
      </c>
      <c r="I1125" s="19">
        <v>5</v>
      </c>
      <c r="J1125" s="21">
        <v>52.25</v>
      </c>
      <c r="K1125" s="22">
        <v>0.05</v>
      </c>
      <c r="L1125" s="21">
        <v>248.1875</v>
      </c>
    </row>
    <row r="1126" spans="1:12">
      <c r="A1126" s="19" t="s">
        <v>1196</v>
      </c>
      <c r="B1126" s="20">
        <v>46307</v>
      </c>
      <c r="C1126" s="19" t="s">
        <v>86</v>
      </c>
      <c r="D1126" s="19" t="s">
        <v>41</v>
      </c>
      <c r="E1126" s="19" t="s">
        <v>22</v>
      </c>
      <c r="F1126" s="19" t="s">
        <v>48</v>
      </c>
      <c r="G1126" s="19" t="s">
        <v>71</v>
      </c>
      <c r="H1126" s="19" t="s">
        <v>87</v>
      </c>
      <c r="I1126" s="19">
        <v>1</v>
      </c>
      <c r="J1126" s="21">
        <v>3104</v>
      </c>
      <c r="K1126" s="22">
        <v>0.05</v>
      </c>
      <c r="L1126" s="21">
        <v>2948.7999999999997</v>
      </c>
    </row>
    <row r="1127" spans="1:12">
      <c r="A1127" s="19" t="s">
        <v>1197</v>
      </c>
      <c r="B1127" s="20">
        <v>46299</v>
      </c>
      <c r="C1127" s="19" t="s">
        <v>13</v>
      </c>
      <c r="D1127" s="19" t="s">
        <v>14</v>
      </c>
      <c r="E1127" s="19" t="s">
        <v>22</v>
      </c>
      <c r="F1127" s="19" t="s">
        <v>16</v>
      </c>
      <c r="G1127" s="19" t="s">
        <v>112</v>
      </c>
      <c r="H1127" s="19" t="s">
        <v>43</v>
      </c>
      <c r="I1127" s="19">
        <v>1</v>
      </c>
      <c r="J1127" s="21">
        <v>68.900000000000006</v>
      </c>
      <c r="K1127" s="22">
        <v>0</v>
      </c>
      <c r="L1127" s="21">
        <v>68.900000000000006</v>
      </c>
    </row>
    <row r="1128" spans="1:12">
      <c r="A1128" s="19" t="s">
        <v>1198</v>
      </c>
      <c r="B1128" s="20">
        <v>46280</v>
      </c>
      <c r="C1128" s="19" t="s">
        <v>47</v>
      </c>
      <c r="D1128" s="19" t="s">
        <v>21</v>
      </c>
      <c r="E1128" s="19" t="s">
        <v>15</v>
      </c>
      <c r="F1128" s="19" t="s">
        <v>48</v>
      </c>
      <c r="G1128" s="19" t="s">
        <v>54</v>
      </c>
      <c r="H1128" s="19" t="s">
        <v>83</v>
      </c>
      <c r="I1128" s="19">
        <v>1</v>
      </c>
      <c r="J1128" s="21">
        <v>1908</v>
      </c>
      <c r="K1128" s="22">
        <v>0.05</v>
      </c>
      <c r="L1128" s="21">
        <v>1812.6</v>
      </c>
    </row>
    <row r="1129" spans="1:12">
      <c r="A1129" s="19" t="s">
        <v>1199</v>
      </c>
      <c r="B1129" s="20">
        <v>46254</v>
      </c>
      <c r="C1129" s="19" t="s">
        <v>31</v>
      </c>
      <c r="D1129" s="19" t="s">
        <v>14</v>
      </c>
      <c r="E1129" s="19" t="s">
        <v>22</v>
      </c>
      <c r="F1129" s="19" t="s">
        <v>16</v>
      </c>
      <c r="G1129" s="19" t="s">
        <v>57</v>
      </c>
      <c r="H1129" s="19" t="s">
        <v>39</v>
      </c>
      <c r="I1129" s="19">
        <v>4</v>
      </c>
      <c r="J1129" s="21">
        <v>38.76</v>
      </c>
      <c r="K1129" s="22">
        <v>0.03</v>
      </c>
      <c r="L1129" s="21">
        <v>150.38879999999997</v>
      </c>
    </row>
    <row r="1130" spans="1:12">
      <c r="A1130" s="19" t="s">
        <v>1200</v>
      </c>
      <c r="B1130" s="20">
        <v>46102</v>
      </c>
      <c r="C1130" s="19" t="s">
        <v>86</v>
      </c>
      <c r="D1130" s="19" t="s">
        <v>35</v>
      </c>
      <c r="E1130" s="19" t="s">
        <v>22</v>
      </c>
      <c r="F1130" s="19" t="s">
        <v>48</v>
      </c>
      <c r="G1130" s="19" t="s">
        <v>96</v>
      </c>
      <c r="H1130" s="19" t="s">
        <v>102</v>
      </c>
      <c r="I1130" s="19">
        <v>1</v>
      </c>
      <c r="J1130" s="21">
        <v>2500</v>
      </c>
      <c r="K1130" s="22">
        <v>0.15</v>
      </c>
      <c r="L1130" s="21">
        <v>2125</v>
      </c>
    </row>
    <row r="1131" spans="1:12">
      <c r="A1131" s="19" t="s">
        <v>1201</v>
      </c>
      <c r="B1131" s="20">
        <v>46266</v>
      </c>
      <c r="C1131" s="19" t="s">
        <v>47</v>
      </c>
      <c r="D1131" s="19" t="s">
        <v>21</v>
      </c>
      <c r="E1131" s="19" t="s">
        <v>15</v>
      </c>
      <c r="F1131" s="19" t="s">
        <v>16</v>
      </c>
      <c r="G1131" s="19" t="s">
        <v>57</v>
      </c>
      <c r="H1131" s="19" t="s">
        <v>83</v>
      </c>
      <c r="I1131" s="19">
        <v>2</v>
      </c>
      <c r="J1131" s="21">
        <v>39.520000000000003</v>
      </c>
      <c r="K1131" s="22">
        <v>0.15</v>
      </c>
      <c r="L1131" s="21">
        <v>67.183999999999997</v>
      </c>
    </row>
    <row r="1132" spans="1:12">
      <c r="A1132" s="19" t="s">
        <v>1202</v>
      </c>
      <c r="B1132" s="20">
        <v>46284</v>
      </c>
      <c r="C1132" s="19" t="s">
        <v>47</v>
      </c>
      <c r="D1132" s="19" t="s">
        <v>14</v>
      </c>
      <c r="E1132" s="19" t="s">
        <v>22</v>
      </c>
      <c r="F1132" s="19" t="s">
        <v>73</v>
      </c>
      <c r="G1132" s="19" t="s">
        <v>145</v>
      </c>
      <c r="H1132" s="19" t="s">
        <v>83</v>
      </c>
      <c r="I1132" s="19">
        <v>5</v>
      </c>
      <c r="J1132" s="21">
        <v>18</v>
      </c>
      <c r="K1132" s="22">
        <v>0.05</v>
      </c>
      <c r="L1132" s="21">
        <v>85.5</v>
      </c>
    </row>
    <row r="1133" spans="1:12">
      <c r="A1133" s="19" t="s">
        <v>1203</v>
      </c>
      <c r="B1133" s="20">
        <v>46327</v>
      </c>
      <c r="C1133" s="19" t="s">
        <v>13</v>
      </c>
      <c r="D1133" s="19" t="s">
        <v>14</v>
      </c>
      <c r="E1133" s="19" t="s">
        <v>15</v>
      </c>
      <c r="F1133" s="19" t="s">
        <v>16</v>
      </c>
      <c r="G1133" s="19" t="s">
        <v>112</v>
      </c>
      <c r="H1133" s="19" t="s">
        <v>18</v>
      </c>
      <c r="I1133" s="19">
        <v>3</v>
      </c>
      <c r="J1133" s="21">
        <v>65</v>
      </c>
      <c r="K1133" s="22">
        <v>0.1</v>
      </c>
      <c r="L1133" s="21">
        <v>175.5</v>
      </c>
    </row>
    <row r="1134" spans="1:12">
      <c r="A1134" s="19" t="s">
        <v>1204</v>
      </c>
      <c r="B1134" s="20">
        <v>46277</v>
      </c>
      <c r="C1134" s="19" t="s">
        <v>20</v>
      </c>
      <c r="D1134" s="19" t="s">
        <v>21</v>
      </c>
      <c r="E1134" s="19" t="s">
        <v>22</v>
      </c>
      <c r="F1134" s="19" t="s">
        <v>16</v>
      </c>
      <c r="G1134" s="19" t="s">
        <v>17</v>
      </c>
      <c r="H1134" s="19" t="s">
        <v>25</v>
      </c>
      <c r="I1134" s="19">
        <v>4</v>
      </c>
      <c r="J1134" s="21">
        <v>15</v>
      </c>
      <c r="K1134" s="22">
        <v>0.05</v>
      </c>
      <c r="L1134" s="21">
        <v>57</v>
      </c>
    </row>
    <row r="1135" spans="1:12">
      <c r="A1135" s="19" t="s">
        <v>1205</v>
      </c>
      <c r="B1135" s="20">
        <v>46177</v>
      </c>
      <c r="C1135" s="19" t="s">
        <v>47</v>
      </c>
      <c r="D1135" s="19" t="s">
        <v>21</v>
      </c>
      <c r="E1135" s="19" t="s">
        <v>15</v>
      </c>
      <c r="F1135" s="19" t="s">
        <v>27</v>
      </c>
      <c r="G1135" s="19" t="s">
        <v>32</v>
      </c>
      <c r="H1135" s="19" t="s">
        <v>50</v>
      </c>
      <c r="I1135" s="19">
        <v>2</v>
      </c>
      <c r="J1135" s="21">
        <v>266</v>
      </c>
      <c r="K1135" s="22">
        <v>0.08</v>
      </c>
      <c r="L1135" s="21">
        <v>489.44</v>
      </c>
    </row>
    <row r="1136" spans="1:12">
      <c r="A1136" s="19" t="s">
        <v>1206</v>
      </c>
      <c r="B1136" s="20">
        <v>46136</v>
      </c>
      <c r="C1136" s="19" t="s">
        <v>31</v>
      </c>
      <c r="D1136" s="19" t="s">
        <v>41</v>
      </c>
      <c r="E1136" s="19" t="s">
        <v>22</v>
      </c>
      <c r="F1136" s="19" t="s">
        <v>16</v>
      </c>
      <c r="G1136" s="19" t="s">
        <v>17</v>
      </c>
      <c r="H1136" s="19" t="s">
        <v>33</v>
      </c>
      <c r="I1136" s="19">
        <v>1</v>
      </c>
      <c r="J1136" s="21">
        <v>15.9</v>
      </c>
      <c r="K1136" s="22">
        <v>0.2</v>
      </c>
      <c r="L1136" s="21">
        <v>12.72</v>
      </c>
    </row>
    <row r="1137" spans="1:12">
      <c r="A1137" s="19" t="s">
        <v>1207</v>
      </c>
      <c r="B1137" s="20">
        <v>46206</v>
      </c>
      <c r="C1137" s="19" t="s">
        <v>13</v>
      </c>
      <c r="D1137" s="19" t="s">
        <v>35</v>
      </c>
      <c r="E1137" s="19" t="s">
        <v>22</v>
      </c>
      <c r="F1137" s="19" t="s">
        <v>27</v>
      </c>
      <c r="G1137" s="19" t="s">
        <v>36</v>
      </c>
      <c r="H1137" s="19" t="s">
        <v>43</v>
      </c>
      <c r="I1137" s="19">
        <v>3</v>
      </c>
      <c r="J1137" s="21">
        <v>750</v>
      </c>
      <c r="K1137" s="22">
        <v>0.03</v>
      </c>
      <c r="L1137" s="21">
        <v>2182.5</v>
      </c>
    </row>
    <row r="1138" spans="1:12">
      <c r="A1138" s="19" t="s">
        <v>1208</v>
      </c>
      <c r="B1138" s="20">
        <v>46311</v>
      </c>
      <c r="C1138" s="19" t="s">
        <v>20</v>
      </c>
      <c r="D1138" s="19" t="s">
        <v>21</v>
      </c>
      <c r="E1138" s="19" t="s">
        <v>22</v>
      </c>
      <c r="F1138" s="19" t="s">
        <v>48</v>
      </c>
      <c r="G1138" s="19" t="s">
        <v>71</v>
      </c>
      <c r="H1138" s="19" t="s">
        <v>63</v>
      </c>
      <c r="I1138" s="19">
        <v>1</v>
      </c>
      <c r="J1138" s="21">
        <v>3200</v>
      </c>
      <c r="K1138" s="22">
        <v>0.05</v>
      </c>
      <c r="L1138" s="21">
        <v>3040</v>
      </c>
    </row>
    <row r="1139" spans="1:12">
      <c r="A1139" s="19" t="s">
        <v>1209</v>
      </c>
      <c r="B1139" s="20">
        <v>46099</v>
      </c>
      <c r="C1139" s="19" t="s">
        <v>20</v>
      </c>
      <c r="D1139" s="19" t="s">
        <v>21</v>
      </c>
      <c r="E1139" s="19" t="s">
        <v>15</v>
      </c>
      <c r="F1139" s="19" t="s">
        <v>16</v>
      </c>
      <c r="G1139" s="19" t="s">
        <v>69</v>
      </c>
      <c r="H1139" s="19" t="s">
        <v>58</v>
      </c>
      <c r="I1139" s="19">
        <v>4</v>
      </c>
      <c r="J1139" s="21">
        <v>53.35</v>
      </c>
      <c r="K1139" s="22">
        <v>0.05</v>
      </c>
      <c r="L1139" s="21">
        <v>202.73</v>
      </c>
    </row>
    <row r="1140" spans="1:12">
      <c r="A1140" s="19" t="s">
        <v>1210</v>
      </c>
      <c r="B1140" s="20">
        <v>46107</v>
      </c>
      <c r="C1140" s="19" t="s">
        <v>13</v>
      </c>
      <c r="D1140" s="19" t="s">
        <v>35</v>
      </c>
      <c r="E1140" s="19" t="s">
        <v>22</v>
      </c>
      <c r="F1140" s="19" t="s">
        <v>48</v>
      </c>
      <c r="G1140" s="19" t="s">
        <v>49</v>
      </c>
      <c r="H1140" s="19" t="s">
        <v>43</v>
      </c>
      <c r="I1140" s="19">
        <v>1</v>
      </c>
      <c r="J1140" s="21">
        <v>4200</v>
      </c>
      <c r="K1140" s="22">
        <v>0.03</v>
      </c>
      <c r="L1140" s="21">
        <v>4074</v>
      </c>
    </row>
    <row r="1141" spans="1:12">
      <c r="A1141" s="19" t="s">
        <v>1211</v>
      </c>
      <c r="B1141" s="20">
        <v>46213</v>
      </c>
      <c r="C1141" s="19" t="s">
        <v>47</v>
      </c>
      <c r="D1141" s="19" t="s">
        <v>14</v>
      </c>
      <c r="E1141" s="19" t="s">
        <v>22</v>
      </c>
      <c r="F1141" s="19" t="s">
        <v>16</v>
      </c>
      <c r="G1141" s="19" t="s">
        <v>57</v>
      </c>
      <c r="H1141" s="19" t="s">
        <v>50</v>
      </c>
      <c r="I1141" s="19">
        <v>3</v>
      </c>
      <c r="J1141" s="21">
        <v>38</v>
      </c>
      <c r="K1141" s="22">
        <v>0</v>
      </c>
      <c r="L1141" s="21">
        <v>114</v>
      </c>
    </row>
    <row r="1142" spans="1:12">
      <c r="A1142" s="19" t="s">
        <v>1212</v>
      </c>
      <c r="B1142" s="20">
        <v>46214</v>
      </c>
      <c r="C1142" s="19" t="s">
        <v>47</v>
      </c>
      <c r="D1142" s="19" t="s">
        <v>21</v>
      </c>
      <c r="E1142" s="19" t="s">
        <v>22</v>
      </c>
      <c r="F1142" s="19" t="s">
        <v>16</v>
      </c>
      <c r="G1142" s="19" t="s">
        <v>69</v>
      </c>
      <c r="H1142" s="19" t="s">
        <v>83</v>
      </c>
      <c r="I1142" s="19">
        <v>1</v>
      </c>
      <c r="J1142" s="21">
        <v>55</v>
      </c>
      <c r="K1142" s="22">
        <v>0.15</v>
      </c>
      <c r="L1142" s="21">
        <v>46.75</v>
      </c>
    </row>
    <row r="1143" spans="1:12">
      <c r="A1143" s="19" t="s">
        <v>1213</v>
      </c>
      <c r="B1143" s="20">
        <v>46283</v>
      </c>
      <c r="C1143" s="19" t="s">
        <v>47</v>
      </c>
      <c r="D1143" s="19" t="s">
        <v>14</v>
      </c>
      <c r="E1143" s="19" t="s">
        <v>15</v>
      </c>
      <c r="F1143" s="19" t="s">
        <v>16</v>
      </c>
      <c r="G1143" s="19" t="s">
        <v>57</v>
      </c>
      <c r="H1143" s="19" t="s">
        <v>50</v>
      </c>
      <c r="I1143" s="19">
        <v>2</v>
      </c>
      <c r="J1143" s="21">
        <v>38</v>
      </c>
      <c r="K1143" s="22">
        <v>0.05</v>
      </c>
      <c r="L1143" s="21">
        <v>72.2</v>
      </c>
    </row>
    <row r="1144" spans="1:12">
      <c r="A1144" s="19" t="s">
        <v>1214</v>
      </c>
      <c r="B1144" s="20">
        <v>46295</v>
      </c>
      <c r="C1144" s="19" t="s">
        <v>20</v>
      </c>
      <c r="D1144" s="19" t="s">
        <v>21</v>
      </c>
      <c r="E1144" s="19" t="s">
        <v>15</v>
      </c>
      <c r="F1144" s="19" t="s">
        <v>16</v>
      </c>
      <c r="G1144" s="19" t="s">
        <v>69</v>
      </c>
      <c r="H1144" s="19" t="s">
        <v>25</v>
      </c>
      <c r="I1144" s="19">
        <v>5</v>
      </c>
      <c r="J1144" s="21">
        <v>55</v>
      </c>
      <c r="K1144" s="22">
        <v>0.05</v>
      </c>
      <c r="L1144" s="21">
        <v>261.25</v>
      </c>
    </row>
    <row r="1145" spans="1:12">
      <c r="A1145" s="19" t="s">
        <v>1215</v>
      </c>
      <c r="B1145" s="20">
        <v>46159</v>
      </c>
      <c r="C1145" s="19" t="s">
        <v>47</v>
      </c>
      <c r="D1145" s="19" t="s">
        <v>35</v>
      </c>
      <c r="E1145" s="19" t="s">
        <v>22</v>
      </c>
      <c r="F1145" s="19" t="s">
        <v>73</v>
      </c>
      <c r="G1145" s="19" t="s">
        <v>129</v>
      </c>
      <c r="H1145" s="19" t="s">
        <v>83</v>
      </c>
      <c r="I1145" s="19">
        <v>13</v>
      </c>
      <c r="J1145" s="21">
        <v>35</v>
      </c>
      <c r="K1145" s="22">
        <v>0.08</v>
      </c>
      <c r="L1145" s="21">
        <v>418.6</v>
      </c>
    </row>
    <row r="1146" spans="1:12">
      <c r="A1146" s="19" t="s">
        <v>1216</v>
      </c>
      <c r="B1146" s="20">
        <v>46152</v>
      </c>
      <c r="C1146" s="19" t="s">
        <v>86</v>
      </c>
      <c r="D1146" s="19" t="s">
        <v>14</v>
      </c>
      <c r="E1146" s="19" t="s">
        <v>22</v>
      </c>
      <c r="F1146" s="19" t="s">
        <v>60</v>
      </c>
      <c r="G1146" s="19" t="s">
        <v>76</v>
      </c>
      <c r="H1146" s="19" t="s">
        <v>102</v>
      </c>
      <c r="I1146" s="19">
        <v>2</v>
      </c>
      <c r="J1146" s="21">
        <v>728</v>
      </c>
      <c r="K1146" s="22">
        <v>0</v>
      </c>
      <c r="L1146" s="21">
        <v>1456</v>
      </c>
    </row>
    <row r="1147" spans="1:12">
      <c r="A1147" s="19" t="s">
        <v>1217</v>
      </c>
      <c r="B1147" s="20">
        <v>46036</v>
      </c>
      <c r="C1147" s="19" t="s">
        <v>86</v>
      </c>
      <c r="D1147" s="19" t="s">
        <v>41</v>
      </c>
      <c r="E1147" s="19" t="s">
        <v>22</v>
      </c>
      <c r="F1147" s="19" t="s">
        <v>23</v>
      </c>
      <c r="G1147" s="19" t="s">
        <v>52</v>
      </c>
      <c r="H1147" s="19" t="s">
        <v>102</v>
      </c>
      <c r="I1147" s="19">
        <v>1</v>
      </c>
      <c r="J1147" s="21">
        <v>450</v>
      </c>
      <c r="K1147" s="22">
        <v>0.1</v>
      </c>
      <c r="L1147" s="21">
        <v>405</v>
      </c>
    </row>
    <row r="1148" spans="1:12">
      <c r="A1148" s="19" t="s">
        <v>1218</v>
      </c>
      <c r="B1148" s="20">
        <v>46327</v>
      </c>
      <c r="C1148" s="19" t="s">
        <v>86</v>
      </c>
      <c r="D1148" s="19" t="s">
        <v>35</v>
      </c>
      <c r="E1148" s="19" t="s">
        <v>15</v>
      </c>
      <c r="F1148" s="19" t="s">
        <v>60</v>
      </c>
      <c r="G1148" s="19" t="s">
        <v>61</v>
      </c>
      <c r="H1148" s="19" t="s">
        <v>102</v>
      </c>
      <c r="I1148" s="19">
        <v>2</v>
      </c>
      <c r="J1148" s="21">
        <v>850</v>
      </c>
      <c r="K1148" s="22">
        <v>0.08</v>
      </c>
      <c r="L1148" s="21">
        <v>1564</v>
      </c>
    </row>
    <row r="1149" spans="1:12">
      <c r="A1149" s="19" t="s">
        <v>1219</v>
      </c>
      <c r="B1149" s="20">
        <v>46061</v>
      </c>
      <c r="C1149" s="19" t="s">
        <v>31</v>
      </c>
      <c r="D1149" s="19" t="s">
        <v>35</v>
      </c>
      <c r="E1149" s="19" t="s">
        <v>22</v>
      </c>
      <c r="F1149" s="19" t="s">
        <v>60</v>
      </c>
      <c r="G1149" s="19" t="s">
        <v>91</v>
      </c>
      <c r="H1149" s="19" t="s">
        <v>33</v>
      </c>
      <c r="I1149" s="19">
        <v>2</v>
      </c>
      <c r="J1149" s="21">
        <v>603.20000000000005</v>
      </c>
      <c r="K1149" s="22">
        <v>0.15</v>
      </c>
      <c r="L1149" s="21">
        <v>1025.44</v>
      </c>
    </row>
    <row r="1150" spans="1:12">
      <c r="A1150" s="19" t="s">
        <v>1220</v>
      </c>
      <c r="B1150" s="20">
        <v>46132</v>
      </c>
      <c r="C1150" s="19" t="s">
        <v>20</v>
      </c>
      <c r="D1150" s="19" t="s">
        <v>14</v>
      </c>
      <c r="E1150" s="19" t="s">
        <v>15</v>
      </c>
      <c r="F1150" s="19" t="s">
        <v>48</v>
      </c>
      <c r="G1150" s="19" t="s">
        <v>99</v>
      </c>
      <c r="H1150" s="19" t="s">
        <v>63</v>
      </c>
      <c r="I1150" s="19">
        <v>1</v>
      </c>
      <c r="J1150" s="21">
        <v>3060</v>
      </c>
      <c r="K1150" s="22">
        <v>0.03</v>
      </c>
      <c r="L1150" s="21">
        <v>2968.2</v>
      </c>
    </row>
    <row r="1151" spans="1:12">
      <c r="A1151" s="19" t="s">
        <v>1221</v>
      </c>
      <c r="B1151" s="20">
        <v>46077</v>
      </c>
      <c r="C1151" s="19" t="s">
        <v>31</v>
      </c>
      <c r="D1151" s="19" t="s">
        <v>41</v>
      </c>
      <c r="E1151" s="19" t="s">
        <v>22</v>
      </c>
      <c r="F1151" s="19" t="s">
        <v>73</v>
      </c>
      <c r="G1151" s="19" t="s">
        <v>81</v>
      </c>
      <c r="H1151" s="19" t="s">
        <v>33</v>
      </c>
      <c r="I1151" s="19">
        <v>3</v>
      </c>
      <c r="J1151" s="21">
        <v>12</v>
      </c>
      <c r="K1151" s="22">
        <v>0.08</v>
      </c>
      <c r="L1151" s="21">
        <v>33.120000000000005</v>
      </c>
    </row>
    <row r="1152" spans="1:12">
      <c r="A1152" s="19" t="s">
        <v>1222</v>
      </c>
      <c r="B1152" s="20">
        <v>46131</v>
      </c>
      <c r="C1152" s="19" t="s">
        <v>20</v>
      </c>
      <c r="D1152" s="19" t="s">
        <v>35</v>
      </c>
      <c r="E1152" s="19" t="s">
        <v>22</v>
      </c>
      <c r="F1152" s="19" t="s">
        <v>73</v>
      </c>
      <c r="G1152" s="19" t="s">
        <v>127</v>
      </c>
      <c r="H1152" s="19" t="s">
        <v>58</v>
      </c>
      <c r="I1152" s="19">
        <v>10</v>
      </c>
      <c r="J1152" s="21">
        <v>25</v>
      </c>
      <c r="K1152" s="22">
        <v>0</v>
      </c>
      <c r="L1152" s="21">
        <v>250</v>
      </c>
    </row>
    <row r="1153" spans="1:12">
      <c r="A1153" s="19" t="s">
        <v>1223</v>
      </c>
      <c r="B1153" s="20">
        <v>46276</v>
      </c>
      <c r="C1153" s="19" t="s">
        <v>47</v>
      </c>
      <c r="D1153" s="19" t="s">
        <v>14</v>
      </c>
      <c r="E1153" s="19" t="s">
        <v>22</v>
      </c>
      <c r="F1153" s="19" t="s">
        <v>23</v>
      </c>
      <c r="G1153" s="19" t="s">
        <v>38</v>
      </c>
      <c r="H1153" s="19" t="s">
        <v>83</v>
      </c>
      <c r="I1153" s="19">
        <v>2</v>
      </c>
      <c r="J1153" s="21">
        <v>320</v>
      </c>
      <c r="K1153" s="22">
        <v>0.03</v>
      </c>
      <c r="L1153" s="21">
        <v>620.79999999999995</v>
      </c>
    </row>
    <row r="1154" spans="1:12">
      <c r="A1154" s="19" t="s">
        <v>1224</v>
      </c>
      <c r="B1154" s="20">
        <v>46164</v>
      </c>
      <c r="C1154" s="19" t="s">
        <v>47</v>
      </c>
      <c r="D1154" s="19" t="s">
        <v>14</v>
      </c>
      <c r="E1154" s="19" t="s">
        <v>22</v>
      </c>
      <c r="F1154" s="19" t="s">
        <v>27</v>
      </c>
      <c r="G1154" s="19" t="s">
        <v>36</v>
      </c>
      <c r="H1154" s="19" t="s">
        <v>83</v>
      </c>
      <c r="I1154" s="19">
        <v>3</v>
      </c>
      <c r="J1154" s="21">
        <v>727.5</v>
      </c>
      <c r="K1154" s="22">
        <v>0.05</v>
      </c>
      <c r="L1154" s="21">
        <v>2073.375</v>
      </c>
    </row>
    <row r="1155" spans="1:12">
      <c r="A1155" s="19" t="s">
        <v>1225</v>
      </c>
      <c r="B1155" s="20">
        <v>46353</v>
      </c>
      <c r="C1155" s="19" t="s">
        <v>20</v>
      </c>
      <c r="D1155" s="19" t="s">
        <v>41</v>
      </c>
      <c r="E1155" s="19" t="s">
        <v>22</v>
      </c>
      <c r="F1155" s="19" t="s">
        <v>16</v>
      </c>
      <c r="G1155" s="19" t="s">
        <v>69</v>
      </c>
      <c r="H1155" s="19" t="s">
        <v>63</v>
      </c>
      <c r="I1155" s="19">
        <v>7</v>
      </c>
      <c r="J1155" s="21">
        <v>52.25</v>
      </c>
      <c r="K1155" s="22">
        <v>0.15</v>
      </c>
      <c r="L1155" s="21">
        <v>310.88749999999999</v>
      </c>
    </row>
    <row r="1156" spans="1:12">
      <c r="A1156" s="19" t="s">
        <v>1226</v>
      </c>
      <c r="B1156" s="20">
        <v>46311</v>
      </c>
      <c r="C1156" s="19" t="s">
        <v>86</v>
      </c>
      <c r="D1156" s="19" t="s">
        <v>14</v>
      </c>
      <c r="E1156" s="19" t="s">
        <v>15</v>
      </c>
      <c r="F1156" s="19" t="s">
        <v>16</v>
      </c>
      <c r="G1156" s="19" t="s">
        <v>42</v>
      </c>
      <c r="H1156" s="19" t="s">
        <v>93</v>
      </c>
      <c r="I1156" s="19">
        <v>3</v>
      </c>
      <c r="J1156" s="21">
        <v>43.65</v>
      </c>
      <c r="K1156" s="22">
        <v>0.08</v>
      </c>
      <c r="L1156" s="21">
        <v>120.47399999999999</v>
      </c>
    </row>
    <row r="1157" spans="1:12">
      <c r="A1157" s="19" t="s">
        <v>1227</v>
      </c>
      <c r="B1157" s="20">
        <v>46249</v>
      </c>
      <c r="C1157" s="19" t="s">
        <v>20</v>
      </c>
      <c r="D1157" s="19" t="s">
        <v>41</v>
      </c>
      <c r="E1157" s="19" t="s">
        <v>22</v>
      </c>
      <c r="F1157" s="19" t="s">
        <v>23</v>
      </c>
      <c r="G1157" s="19" t="s">
        <v>24</v>
      </c>
      <c r="H1157" s="19" t="s">
        <v>58</v>
      </c>
      <c r="I1157" s="19">
        <v>2</v>
      </c>
      <c r="J1157" s="21">
        <v>90</v>
      </c>
      <c r="K1157" s="22">
        <v>0.15</v>
      </c>
      <c r="L1157" s="21">
        <v>153</v>
      </c>
    </row>
    <row r="1158" spans="1:12">
      <c r="A1158" s="19" t="s">
        <v>1228</v>
      </c>
      <c r="B1158" s="20">
        <v>46092</v>
      </c>
      <c r="C1158" s="19" t="s">
        <v>31</v>
      </c>
      <c r="D1158" s="19" t="s">
        <v>35</v>
      </c>
      <c r="E1158" s="19" t="s">
        <v>15</v>
      </c>
      <c r="F1158" s="19" t="s">
        <v>60</v>
      </c>
      <c r="G1158" s="19" t="s">
        <v>76</v>
      </c>
      <c r="H1158" s="19" t="s">
        <v>39</v>
      </c>
      <c r="I1158" s="19">
        <v>1</v>
      </c>
      <c r="J1158" s="21">
        <v>665</v>
      </c>
      <c r="K1158" s="22">
        <v>0.05</v>
      </c>
      <c r="L1158" s="21">
        <v>631.75</v>
      </c>
    </row>
    <row r="1159" spans="1:12">
      <c r="A1159" s="19" t="s">
        <v>1229</v>
      </c>
      <c r="B1159" s="20">
        <v>46327</v>
      </c>
      <c r="C1159" s="19" t="s">
        <v>31</v>
      </c>
      <c r="D1159" s="19" t="s">
        <v>14</v>
      </c>
      <c r="E1159" s="19" t="s">
        <v>15</v>
      </c>
      <c r="F1159" s="19" t="s">
        <v>73</v>
      </c>
      <c r="G1159" s="19" t="s">
        <v>74</v>
      </c>
      <c r="H1159" s="19" t="s">
        <v>79</v>
      </c>
      <c r="I1159" s="19">
        <v>3</v>
      </c>
      <c r="J1159" s="21">
        <v>8.16</v>
      </c>
      <c r="K1159" s="22">
        <v>0.1</v>
      </c>
      <c r="L1159" s="21">
        <v>22.032</v>
      </c>
    </row>
    <row r="1160" spans="1:12">
      <c r="A1160" s="19" t="s">
        <v>1230</v>
      </c>
      <c r="B1160" s="20">
        <v>46314</v>
      </c>
      <c r="C1160" s="19" t="s">
        <v>47</v>
      </c>
      <c r="D1160" s="19" t="s">
        <v>41</v>
      </c>
      <c r="E1160" s="19" t="s">
        <v>22</v>
      </c>
      <c r="F1160" s="19" t="s">
        <v>23</v>
      </c>
      <c r="G1160" s="19" t="s">
        <v>38</v>
      </c>
      <c r="H1160" s="19" t="s">
        <v>50</v>
      </c>
      <c r="I1160" s="19">
        <v>1</v>
      </c>
      <c r="J1160" s="21">
        <v>320</v>
      </c>
      <c r="K1160" s="22">
        <v>0.03</v>
      </c>
      <c r="L1160" s="21">
        <v>310.39999999999998</v>
      </c>
    </row>
    <row r="1161" spans="1:12">
      <c r="A1161" s="19" t="s">
        <v>1231</v>
      </c>
      <c r="B1161" s="20">
        <v>46234</v>
      </c>
      <c r="C1161" s="19" t="s">
        <v>47</v>
      </c>
      <c r="D1161" s="19" t="s">
        <v>35</v>
      </c>
      <c r="E1161" s="19" t="s">
        <v>22</v>
      </c>
      <c r="F1161" s="19" t="s">
        <v>27</v>
      </c>
      <c r="G1161" s="19" t="s">
        <v>28</v>
      </c>
      <c r="H1161" s="19" t="s">
        <v>50</v>
      </c>
      <c r="I1161" s="19">
        <v>12</v>
      </c>
      <c r="J1161" s="21">
        <v>20.399999999999999</v>
      </c>
      <c r="K1161" s="22">
        <v>0.1</v>
      </c>
      <c r="L1161" s="21">
        <v>220.32</v>
      </c>
    </row>
    <row r="1162" spans="1:12">
      <c r="A1162" s="19" t="s">
        <v>1232</v>
      </c>
      <c r="B1162" s="20">
        <v>46126</v>
      </c>
      <c r="C1162" s="19" t="s">
        <v>47</v>
      </c>
      <c r="D1162" s="19" t="s">
        <v>14</v>
      </c>
      <c r="E1162" s="19" t="s">
        <v>22</v>
      </c>
      <c r="F1162" s="19" t="s">
        <v>23</v>
      </c>
      <c r="G1162" s="19" t="s">
        <v>52</v>
      </c>
      <c r="H1162" s="19" t="s">
        <v>50</v>
      </c>
      <c r="I1162" s="19">
        <v>5</v>
      </c>
      <c r="J1162" s="21">
        <v>450</v>
      </c>
      <c r="K1162" s="22">
        <v>0.15</v>
      </c>
      <c r="L1162" s="21">
        <v>1912.5</v>
      </c>
    </row>
    <row r="1163" spans="1:12">
      <c r="A1163" s="19" t="s">
        <v>1233</v>
      </c>
      <c r="B1163" s="20">
        <v>46339</v>
      </c>
      <c r="C1163" s="19" t="s">
        <v>31</v>
      </c>
      <c r="D1163" s="19" t="s">
        <v>41</v>
      </c>
      <c r="E1163" s="19" t="s">
        <v>22</v>
      </c>
      <c r="F1163" s="19" t="s">
        <v>16</v>
      </c>
      <c r="G1163" s="19" t="s">
        <v>42</v>
      </c>
      <c r="H1163" s="19" t="s">
        <v>33</v>
      </c>
      <c r="I1163" s="19">
        <v>2</v>
      </c>
      <c r="J1163" s="21">
        <v>47.7</v>
      </c>
      <c r="K1163" s="22">
        <v>0.05</v>
      </c>
      <c r="L1163" s="21">
        <v>90.63</v>
      </c>
    </row>
    <row r="1164" spans="1:12">
      <c r="A1164" s="19" t="s">
        <v>1234</v>
      </c>
      <c r="B1164" s="20">
        <v>46238</v>
      </c>
      <c r="C1164" s="19" t="s">
        <v>31</v>
      </c>
      <c r="D1164" s="19" t="s">
        <v>14</v>
      </c>
      <c r="E1164" s="19" t="s">
        <v>22</v>
      </c>
      <c r="F1164" s="19" t="s">
        <v>23</v>
      </c>
      <c r="G1164" s="19" t="s">
        <v>52</v>
      </c>
      <c r="H1164" s="19" t="s">
        <v>33</v>
      </c>
      <c r="I1164" s="19">
        <v>4</v>
      </c>
      <c r="J1164" s="21">
        <v>450</v>
      </c>
      <c r="K1164" s="22">
        <v>0</v>
      </c>
      <c r="L1164" s="21">
        <v>1800</v>
      </c>
    </row>
    <row r="1165" spans="1:12">
      <c r="A1165" s="19" t="s">
        <v>1235</v>
      </c>
      <c r="B1165" s="20">
        <v>46307</v>
      </c>
      <c r="C1165" s="19" t="s">
        <v>13</v>
      </c>
      <c r="D1165" s="19" t="s">
        <v>14</v>
      </c>
      <c r="E1165" s="19" t="s">
        <v>15</v>
      </c>
      <c r="F1165" s="19" t="s">
        <v>27</v>
      </c>
      <c r="G1165" s="19" t="s">
        <v>28</v>
      </c>
      <c r="H1165" s="19" t="s">
        <v>29</v>
      </c>
      <c r="I1165" s="19">
        <v>2</v>
      </c>
      <c r="J1165" s="21">
        <v>21.2</v>
      </c>
      <c r="K1165" s="22">
        <v>0</v>
      </c>
      <c r="L1165" s="21">
        <v>42.4</v>
      </c>
    </row>
    <row r="1166" spans="1:12">
      <c r="A1166" s="19" t="s">
        <v>1236</v>
      </c>
      <c r="B1166" s="20">
        <v>46035</v>
      </c>
      <c r="C1166" s="19" t="s">
        <v>47</v>
      </c>
      <c r="D1166" s="19" t="s">
        <v>21</v>
      </c>
      <c r="E1166" s="19" t="s">
        <v>22</v>
      </c>
      <c r="F1166" s="19" t="s">
        <v>48</v>
      </c>
      <c r="G1166" s="19" t="s">
        <v>54</v>
      </c>
      <c r="H1166" s="19" t="s">
        <v>83</v>
      </c>
      <c r="I1166" s="19">
        <v>1</v>
      </c>
      <c r="J1166" s="21">
        <v>1746</v>
      </c>
      <c r="K1166" s="22">
        <v>0.1</v>
      </c>
      <c r="L1166" s="21">
        <v>1571.4</v>
      </c>
    </row>
    <row r="1167" spans="1:12">
      <c r="A1167" s="19" t="s">
        <v>1237</v>
      </c>
      <c r="B1167" s="20">
        <v>46104</v>
      </c>
      <c r="C1167" s="19" t="s">
        <v>31</v>
      </c>
      <c r="D1167" s="19" t="s">
        <v>35</v>
      </c>
      <c r="E1167" s="19" t="s">
        <v>22</v>
      </c>
      <c r="F1167" s="19" t="s">
        <v>60</v>
      </c>
      <c r="G1167" s="19" t="s">
        <v>67</v>
      </c>
      <c r="H1167" s="19" t="s">
        <v>79</v>
      </c>
      <c r="I1167" s="19">
        <v>1</v>
      </c>
      <c r="J1167" s="21">
        <v>1530</v>
      </c>
      <c r="K1167" s="22">
        <v>0.15</v>
      </c>
      <c r="L1167" s="21">
        <v>1300.5</v>
      </c>
    </row>
    <row r="1168" spans="1:12">
      <c r="A1168" s="19" t="s">
        <v>1238</v>
      </c>
      <c r="B1168" s="20">
        <v>46239</v>
      </c>
      <c r="C1168" s="19" t="s">
        <v>20</v>
      </c>
      <c r="D1168" s="19" t="s">
        <v>14</v>
      </c>
      <c r="E1168" s="19" t="s">
        <v>22</v>
      </c>
      <c r="F1168" s="19" t="s">
        <v>16</v>
      </c>
      <c r="G1168" s="19" t="s">
        <v>65</v>
      </c>
      <c r="H1168" s="19" t="s">
        <v>63</v>
      </c>
      <c r="I1168" s="19">
        <v>5</v>
      </c>
      <c r="J1168" s="21">
        <v>80</v>
      </c>
      <c r="K1168" s="22">
        <v>0.08</v>
      </c>
      <c r="L1168" s="21">
        <v>368</v>
      </c>
    </row>
    <row r="1169" spans="1:12">
      <c r="A1169" s="19" t="s">
        <v>1239</v>
      </c>
      <c r="B1169" s="20">
        <v>46261</v>
      </c>
      <c r="C1169" s="19" t="s">
        <v>31</v>
      </c>
      <c r="D1169" s="19" t="s">
        <v>14</v>
      </c>
      <c r="E1169" s="19" t="s">
        <v>22</v>
      </c>
      <c r="F1169" s="19" t="s">
        <v>27</v>
      </c>
      <c r="G1169" s="19" t="s">
        <v>36</v>
      </c>
      <c r="H1169" s="19" t="s">
        <v>79</v>
      </c>
      <c r="I1169" s="19">
        <v>5</v>
      </c>
      <c r="J1169" s="21">
        <v>765</v>
      </c>
      <c r="K1169" s="22">
        <v>0</v>
      </c>
      <c r="L1169" s="21">
        <v>3825</v>
      </c>
    </row>
    <row r="1170" spans="1:12">
      <c r="A1170" s="19" t="s">
        <v>1240</v>
      </c>
      <c r="B1170" s="20">
        <v>46029</v>
      </c>
      <c r="C1170" s="19" t="s">
        <v>86</v>
      </c>
      <c r="D1170" s="19" t="s">
        <v>21</v>
      </c>
      <c r="E1170" s="19" t="s">
        <v>22</v>
      </c>
      <c r="F1170" s="19" t="s">
        <v>48</v>
      </c>
      <c r="G1170" s="19" t="s">
        <v>54</v>
      </c>
      <c r="H1170" s="19" t="s">
        <v>102</v>
      </c>
      <c r="I1170" s="19">
        <v>2</v>
      </c>
      <c r="J1170" s="21">
        <v>1710</v>
      </c>
      <c r="K1170" s="22">
        <v>0.05</v>
      </c>
      <c r="L1170" s="21">
        <v>3249</v>
      </c>
    </row>
    <row r="1171" spans="1:12">
      <c r="A1171" s="19" t="s">
        <v>1241</v>
      </c>
      <c r="B1171" s="20">
        <v>46050</v>
      </c>
      <c r="C1171" s="19" t="s">
        <v>31</v>
      </c>
      <c r="D1171" s="19" t="s">
        <v>21</v>
      </c>
      <c r="E1171" s="19" t="s">
        <v>22</v>
      </c>
      <c r="F1171" s="19" t="s">
        <v>73</v>
      </c>
      <c r="G1171" s="19" t="s">
        <v>74</v>
      </c>
      <c r="H1171" s="19" t="s">
        <v>79</v>
      </c>
      <c r="I1171" s="19">
        <v>1</v>
      </c>
      <c r="J1171" s="21">
        <v>8</v>
      </c>
      <c r="K1171" s="22">
        <v>0</v>
      </c>
      <c r="L1171" s="21">
        <v>8</v>
      </c>
    </row>
    <row r="1172" spans="1:12">
      <c r="A1172" s="19" t="s">
        <v>1242</v>
      </c>
      <c r="B1172" s="20">
        <v>46056</v>
      </c>
      <c r="C1172" s="19" t="s">
        <v>31</v>
      </c>
      <c r="D1172" s="19" t="s">
        <v>21</v>
      </c>
      <c r="E1172" s="19" t="s">
        <v>22</v>
      </c>
      <c r="F1172" s="19" t="s">
        <v>73</v>
      </c>
      <c r="G1172" s="19" t="s">
        <v>74</v>
      </c>
      <c r="H1172" s="19" t="s">
        <v>39</v>
      </c>
      <c r="I1172" s="19">
        <v>1</v>
      </c>
      <c r="J1172" s="21">
        <v>8.48</v>
      </c>
      <c r="K1172" s="22">
        <v>0.08</v>
      </c>
      <c r="L1172" s="21">
        <v>7.8016000000000005</v>
      </c>
    </row>
    <row r="1173" spans="1:12">
      <c r="A1173" s="19" t="s">
        <v>1243</v>
      </c>
      <c r="B1173" s="20">
        <v>46038</v>
      </c>
      <c r="C1173" s="19" t="s">
        <v>20</v>
      </c>
      <c r="D1173" s="19" t="s">
        <v>41</v>
      </c>
      <c r="E1173" s="19" t="s">
        <v>15</v>
      </c>
      <c r="F1173" s="19" t="s">
        <v>23</v>
      </c>
      <c r="G1173" s="19" t="s">
        <v>138</v>
      </c>
      <c r="H1173" s="19" t="s">
        <v>58</v>
      </c>
      <c r="I1173" s="19">
        <v>2</v>
      </c>
      <c r="J1173" s="21">
        <v>58.2</v>
      </c>
      <c r="K1173" s="22">
        <v>0.1</v>
      </c>
      <c r="L1173" s="21">
        <v>104.76</v>
      </c>
    </row>
    <row r="1174" spans="1:12">
      <c r="A1174" s="19" t="s">
        <v>1244</v>
      </c>
      <c r="B1174" s="20">
        <v>46089</v>
      </c>
      <c r="C1174" s="19" t="s">
        <v>20</v>
      </c>
      <c r="D1174" s="19" t="s">
        <v>41</v>
      </c>
      <c r="E1174" s="19" t="s">
        <v>15</v>
      </c>
      <c r="F1174" s="19" t="s">
        <v>23</v>
      </c>
      <c r="G1174" s="19" t="s">
        <v>52</v>
      </c>
      <c r="H1174" s="19" t="s">
        <v>25</v>
      </c>
      <c r="I1174" s="19">
        <v>2</v>
      </c>
      <c r="J1174" s="21">
        <v>468</v>
      </c>
      <c r="K1174" s="22">
        <v>0.08</v>
      </c>
      <c r="L1174" s="21">
        <v>861.12</v>
      </c>
    </row>
    <row r="1175" spans="1:12">
      <c r="A1175" s="19" t="s">
        <v>1245</v>
      </c>
      <c r="B1175" s="20">
        <v>46087</v>
      </c>
      <c r="C1175" s="19" t="s">
        <v>13</v>
      </c>
      <c r="D1175" s="19" t="s">
        <v>14</v>
      </c>
      <c r="E1175" s="19" t="s">
        <v>22</v>
      </c>
      <c r="F1175" s="19" t="s">
        <v>60</v>
      </c>
      <c r="G1175" s="19" t="s">
        <v>67</v>
      </c>
      <c r="H1175" s="19" t="s">
        <v>18</v>
      </c>
      <c r="I1175" s="19">
        <v>1</v>
      </c>
      <c r="J1175" s="21">
        <v>1500</v>
      </c>
      <c r="K1175" s="22">
        <v>0.05</v>
      </c>
      <c r="L1175" s="21">
        <v>1425</v>
      </c>
    </row>
    <row r="1176" spans="1:12">
      <c r="A1176" s="19" t="s">
        <v>1246</v>
      </c>
      <c r="B1176" s="20">
        <v>46264</v>
      </c>
      <c r="C1176" s="19" t="s">
        <v>47</v>
      </c>
      <c r="D1176" s="19" t="s">
        <v>35</v>
      </c>
      <c r="E1176" s="19" t="s">
        <v>22</v>
      </c>
      <c r="F1176" s="19" t="s">
        <v>23</v>
      </c>
      <c r="G1176" s="19" t="s">
        <v>38</v>
      </c>
      <c r="H1176" s="19" t="s">
        <v>50</v>
      </c>
      <c r="I1176" s="19">
        <v>2</v>
      </c>
      <c r="J1176" s="21">
        <v>320</v>
      </c>
      <c r="K1176" s="22">
        <v>0.08</v>
      </c>
      <c r="L1176" s="21">
        <v>588.80000000000007</v>
      </c>
    </row>
    <row r="1177" spans="1:12">
      <c r="A1177" s="19" t="s">
        <v>1247</v>
      </c>
      <c r="B1177" s="20">
        <v>46092</v>
      </c>
      <c r="C1177" s="19" t="s">
        <v>31</v>
      </c>
      <c r="D1177" s="19" t="s">
        <v>21</v>
      </c>
      <c r="E1177" s="19" t="s">
        <v>22</v>
      </c>
      <c r="F1177" s="19" t="s">
        <v>16</v>
      </c>
      <c r="G1177" s="19" t="s">
        <v>65</v>
      </c>
      <c r="H1177" s="19" t="s">
        <v>39</v>
      </c>
      <c r="I1177" s="19">
        <v>2</v>
      </c>
      <c r="J1177" s="21">
        <v>83.2</v>
      </c>
      <c r="K1177" s="22">
        <v>0.03</v>
      </c>
      <c r="L1177" s="21">
        <v>161.40799999999999</v>
      </c>
    </row>
    <row r="1178" spans="1:12">
      <c r="A1178" s="19" t="s">
        <v>1248</v>
      </c>
      <c r="B1178" s="20">
        <v>46127</v>
      </c>
      <c r="C1178" s="19" t="s">
        <v>31</v>
      </c>
      <c r="D1178" s="19" t="s">
        <v>14</v>
      </c>
      <c r="E1178" s="19" t="s">
        <v>22</v>
      </c>
      <c r="F1178" s="19" t="s">
        <v>27</v>
      </c>
      <c r="G1178" s="19" t="s">
        <v>28</v>
      </c>
      <c r="H1178" s="19" t="s">
        <v>33</v>
      </c>
      <c r="I1178" s="19">
        <v>2</v>
      </c>
      <c r="J1178" s="21">
        <v>20</v>
      </c>
      <c r="K1178" s="22">
        <v>0.1</v>
      </c>
      <c r="L1178" s="21">
        <v>36</v>
      </c>
    </row>
    <row r="1179" spans="1:12">
      <c r="A1179" s="19" t="s">
        <v>1249</v>
      </c>
      <c r="B1179" s="20">
        <v>46310</v>
      </c>
      <c r="C1179" s="19" t="s">
        <v>13</v>
      </c>
      <c r="D1179" s="19" t="s">
        <v>35</v>
      </c>
      <c r="E1179" s="19" t="s">
        <v>15</v>
      </c>
      <c r="F1179" s="19" t="s">
        <v>60</v>
      </c>
      <c r="G1179" s="19" t="s">
        <v>91</v>
      </c>
      <c r="H1179" s="19" t="s">
        <v>43</v>
      </c>
      <c r="I1179" s="19">
        <v>1</v>
      </c>
      <c r="J1179" s="21">
        <v>591.6</v>
      </c>
      <c r="K1179" s="22">
        <v>0</v>
      </c>
      <c r="L1179" s="21">
        <v>591.6</v>
      </c>
    </row>
    <row r="1180" spans="1:12">
      <c r="A1180" s="19" t="s">
        <v>1250</v>
      </c>
      <c r="B1180" s="20">
        <v>46061</v>
      </c>
      <c r="C1180" s="19" t="s">
        <v>47</v>
      </c>
      <c r="D1180" s="19" t="s">
        <v>41</v>
      </c>
      <c r="E1180" s="19" t="s">
        <v>15</v>
      </c>
      <c r="F1180" s="19" t="s">
        <v>23</v>
      </c>
      <c r="G1180" s="19" t="s">
        <v>38</v>
      </c>
      <c r="H1180" s="19" t="s">
        <v>50</v>
      </c>
      <c r="I1180" s="19">
        <v>2</v>
      </c>
      <c r="J1180" s="21">
        <v>326.39999999999998</v>
      </c>
      <c r="K1180" s="22">
        <v>0.05</v>
      </c>
      <c r="L1180" s="21">
        <v>620.16</v>
      </c>
    </row>
    <row r="1181" spans="1:12">
      <c r="A1181" s="19" t="s">
        <v>1251</v>
      </c>
      <c r="B1181" s="20">
        <v>46373</v>
      </c>
      <c r="C1181" s="19" t="s">
        <v>31</v>
      </c>
      <c r="D1181" s="19" t="s">
        <v>41</v>
      </c>
      <c r="E1181" s="19" t="s">
        <v>22</v>
      </c>
      <c r="F1181" s="19" t="s">
        <v>60</v>
      </c>
      <c r="G1181" s="19" t="s">
        <v>61</v>
      </c>
      <c r="H1181" s="19" t="s">
        <v>39</v>
      </c>
      <c r="I1181" s="19">
        <v>2</v>
      </c>
      <c r="J1181" s="21">
        <v>850</v>
      </c>
      <c r="K1181" s="22">
        <v>0.05</v>
      </c>
      <c r="L1181" s="21">
        <v>1615</v>
      </c>
    </row>
    <row r="1182" spans="1:12">
      <c r="A1182" s="19" t="s">
        <v>1252</v>
      </c>
      <c r="B1182" s="20">
        <v>46162</v>
      </c>
      <c r="C1182" s="19" t="s">
        <v>13</v>
      </c>
      <c r="D1182" s="19" t="s">
        <v>21</v>
      </c>
      <c r="E1182" s="19" t="s">
        <v>22</v>
      </c>
      <c r="F1182" s="19" t="s">
        <v>16</v>
      </c>
      <c r="G1182" s="19" t="s">
        <v>65</v>
      </c>
      <c r="H1182" s="19" t="s">
        <v>43</v>
      </c>
      <c r="I1182" s="19">
        <v>3</v>
      </c>
      <c r="J1182" s="21">
        <v>81.599999999999994</v>
      </c>
      <c r="K1182" s="22">
        <v>0.08</v>
      </c>
      <c r="L1182" s="21">
        <v>225.21600000000001</v>
      </c>
    </row>
    <row r="1183" spans="1:12">
      <c r="A1183" s="19" t="s">
        <v>1253</v>
      </c>
      <c r="B1183" s="20">
        <v>46087</v>
      </c>
      <c r="C1183" s="19" t="s">
        <v>31</v>
      </c>
      <c r="D1183" s="19" t="s">
        <v>14</v>
      </c>
      <c r="E1183" s="19" t="s">
        <v>22</v>
      </c>
      <c r="F1183" s="19" t="s">
        <v>23</v>
      </c>
      <c r="G1183" s="19" t="s">
        <v>38</v>
      </c>
      <c r="H1183" s="19" t="s">
        <v>33</v>
      </c>
      <c r="I1183" s="19">
        <v>5</v>
      </c>
      <c r="J1183" s="21">
        <v>332.8</v>
      </c>
      <c r="K1183" s="22">
        <v>0.03</v>
      </c>
      <c r="L1183" s="21">
        <v>1614.08</v>
      </c>
    </row>
    <row r="1184" spans="1:12">
      <c r="A1184" s="19" t="s">
        <v>1254</v>
      </c>
      <c r="B1184" s="20">
        <v>46141</v>
      </c>
      <c r="C1184" s="19" t="s">
        <v>20</v>
      </c>
      <c r="D1184" s="19" t="s">
        <v>21</v>
      </c>
      <c r="E1184" s="19" t="s">
        <v>22</v>
      </c>
      <c r="F1184" s="19" t="s">
        <v>48</v>
      </c>
      <c r="G1184" s="19" t="s">
        <v>54</v>
      </c>
      <c r="H1184" s="19" t="s">
        <v>58</v>
      </c>
      <c r="I1184" s="19">
        <v>1</v>
      </c>
      <c r="J1184" s="21">
        <v>1710</v>
      </c>
      <c r="K1184" s="22">
        <v>0.08</v>
      </c>
      <c r="L1184" s="21">
        <v>1573.2</v>
      </c>
    </row>
    <row r="1185" spans="1:12">
      <c r="A1185" s="19" t="s">
        <v>1255</v>
      </c>
      <c r="B1185" s="20">
        <v>46172</v>
      </c>
      <c r="C1185" s="19" t="s">
        <v>13</v>
      </c>
      <c r="D1185" s="19" t="s">
        <v>21</v>
      </c>
      <c r="E1185" s="19" t="s">
        <v>15</v>
      </c>
      <c r="F1185" s="19" t="s">
        <v>73</v>
      </c>
      <c r="G1185" s="19" t="s">
        <v>81</v>
      </c>
      <c r="H1185" s="19" t="s">
        <v>18</v>
      </c>
      <c r="I1185" s="19">
        <v>2</v>
      </c>
      <c r="J1185" s="21">
        <v>12</v>
      </c>
      <c r="K1185" s="22">
        <v>0</v>
      </c>
      <c r="L1185" s="21">
        <v>24</v>
      </c>
    </row>
    <row r="1186" spans="1:12">
      <c r="A1186" s="19" t="s">
        <v>1256</v>
      </c>
      <c r="B1186" s="20">
        <v>46179</v>
      </c>
      <c r="C1186" s="19" t="s">
        <v>13</v>
      </c>
      <c r="D1186" s="19" t="s">
        <v>21</v>
      </c>
      <c r="E1186" s="19" t="s">
        <v>15</v>
      </c>
      <c r="F1186" s="19" t="s">
        <v>73</v>
      </c>
      <c r="G1186" s="19" t="s">
        <v>127</v>
      </c>
      <c r="H1186" s="19" t="s">
        <v>29</v>
      </c>
      <c r="I1186" s="19">
        <v>7</v>
      </c>
      <c r="J1186" s="21">
        <v>25</v>
      </c>
      <c r="K1186" s="22">
        <v>0.05</v>
      </c>
      <c r="L1186" s="21">
        <v>166.25</v>
      </c>
    </row>
    <row r="1187" spans="1:12">
      <c r="A1187" s="19" t="s">
        <v>1257</v>
      </c>
      <c r="B1187" s="20">
        <v>46077</v>
      </c>
      <c r="C1187" s="19" t="s">
        <v>20</v>
      </c>
      <c r="D1187" s="19" t="s">
        <v>35</v>
      </c>
      <c r="E1187" s="19" t="s">
        <v>15</v>
      </c>
      <c r="F1187" s="19" t="s">
        <v>48</v>
      </c>
      <c r="G1187" s="19" t="s">
        <v>54</v>
      </c>
      <c r="H1187" s="19" t="s">
        <v>63</v>
      </c>
      <c r="I1187" s="19">
        <v>1</v>
      </c>
      <c r="J1187" s="21">
        <v>1836</v>
      </c>
      <c r="K1187" s="22">
        <v>0</v>
      </c>
      <c r="L1187" s="21">
        <v>1836</v>
      </c>
    </row>
    <row r="1188" spans="1:12">
      <c r="A1188" s="19" t="s">
        <v>1258</v>
      </c>
      <c r="B1188" s="20">
        <v>46228</v>
      </c>
      <c r="C1188" s="19" t="s">
        <v>13</v>
      </c>
      <c r="D1188" s="19" t="s">
        <v>21</v>
      </c>
      <c r="E1188" s="19" t="s">
        <v>22</v>
      </c>
      <c r="F1188" s="19" t="s">
        <v>48</v>
      </c>
      <c r="G1188" s="19" t="s">
        <v>71</v>
      </c>
      <c r="H1188" s="19" t="s">
        <v>43</v>
      </c>
      <c r="I1188" s="19">
        <v>1</v>
      </c>
      <c r="J1188" s="21">
        <v>3392</v>
      </c>
      <c r="K1188" s="22">
        <v>0.15</v>
      </c>
      <c r="L1188" s="21">
        <v>2883.2</v>
      </c>
    </row>
    <row r="1189" spans="1:12">
      <c r="A1189" s="19" t="s">
        <v>1259</v>
      </c>
      <c r="B1189" s="20">
        <v>46151</v>
      </c>
      <c r="C1189" s="19" t="s">
        <v>47</v>
      </c>
      <c r="D1189" s="19" t="s">
        <v>14</v>
      </c>
      <c r="E1189" s="19" t="s">
        <v>22</v>
      </c>
      <c r="F1189" s="19" t="s">
        <v>16</v>
      </c>
      <c r="G1189" s="19" t="s">
        <v>17</v>
      </c>
      <c r="H1189" s="19" t="s">
        <v>55</v>
      </c>
      <c r="I1189" s="19">
        <v>2</v>
      </c>
      <c r="J1189" s="21">
        <v>15.9</v>
      </c>
      <c r="K1189" s="22">
        <v>0</v>
      </c>
      <c r="L1189" s="21">
        <v>31.8</v>
      </c>
    </row>
    <row r="1190" spans="1:12">
      <c r="A1190" s="19" t="s">
        <v>1260</v>
      </c>
      <c r="B1190" s="20">
        <v>46291</v>
      </c>
      <c r="C1190" s="19" t="s">
        <v>20</v>
      </c>
      <c r="D1190" s="19" t="s">
        <v>14</v>
      </c>
      <c r="E1190" s="19" t="s">
        <v>22</v>
      </c>
      <c r="F1190" s="19" t="s">
        <v>16</v>
      </c>
      <c r="G1190" s="19" t="s">
        <v>17</v>
      </c>
      <c r="H1190" s="19" t="s">
        <v>63</v>
      </c>
      <c r="I1190" s="19">
        <v>1</v>
      </c>
      <c r="J1190" s="21">
        <v>15.3</v>
      </c>
      <c r="K1190" s="22">
        <v>0.1</v>
      </c>
      <c r="L1190" s="21">
        <v>13.770000000000001</v>
      </c>
    </row>
    <row r="1191" spans="1:12">
      <c r="A1191" s="19" t="s">
        <v>1261</v>
      </c>
      <c r="B1191" s="20">
        <v>46340</v>
      </c>
      <c r="C1191" s="19" t="s">
        <v>20</v>
      </c>
      <c r="D1191" s="19" t="s">
        <v>21</v>
      </c>
      <c r="E1191" s="19" t="s">
        <v>22</v>
      </c>
      <c r="F1191" s="19" t="s">
        <v>48</v>
      </c>
      <c r="G1191" s="19" t="s">
        <v>54</v>
      </c>
      <c r="H1191" s="19" t="s">
        <v>58</v>
      </c>
      <c r="I1191" s="19">
        <v>1</v>
      </c>
      <c r="J1191" s="21">
        <v>1800</v>
      </c>
      <c r="K1191" s="22">
        <v>0.05</v>
      </c>
      <c r="L1191" s="21">
        <v>1710</v>
      </c>
    </row>
    <row r="1192" spans="1:12">
      <c r="A1192" s="19" t="s">
        <v>1262</v>
      </c>
      <c r="B1192" s="20">
        <v>46338</v>
      </c>
      <c r="C1192" s="19" t="s">
        <v>31</v>
      </c>
      <c r="D1192" s="19" t="s">
        <v>14</v>
      </c>
      <c r="E1192" s="19" t="s">
        <v>22</v>
      </c>
      <c r="F1192" s="19" t="s">
        <v>16</v>
      </c>
      <c r="G1192" s="19" t="s">
        <v>69</v>
      </c>
      <c r="H1192" s="19" t="s">
        <v>79</v>
      </c>
      <c r="I1192" s="19">
        <v>3</v>
      </c>
      <c r="J1192" s="21">
        <v>55</v>
      </c>
      <c r="K1192" s="22">
        <v>0.1</v>
      </c>
      <c r="L1192" s="21">
        <v>148.5</v>
      </c>
    </row>
    <row r="1193" spans="1:12">
      <c r="A1193" s="19" t="s">
        <v>1263</v>
      </c>
      <c r="B1193" s="20">
        <v>46383</v>
      </c>
      <c r="C1193" s="19" t="s">
        <v>13</v>
      </c>
      <c r="D1193" s="19" t="s">
        <v>21</v>
      </c>
      <c r="E1193" s="19" t="s">
        <v>22</v>
      </c>
      <c r="F1193" s="19" t="s">
        <v>48</v>
      </c>
      <c r="G1193" s="19" t="s">
        <v>99</v>
      </c>
      <c r="H1193" s="19" t="s">
        <v>43</v>
      </c>
      <c r="I1193" s="19">
        <v>1</v>
      </c>
      <c r="J1193" s="21">
        <v>3120</v>
      </c>
      <c r="K1193" s="22">
        <v>0.03</v>
      </c>
      <c r="L1193" s="21">
        <v>3026.4</v>
      </c>
    </row>
    <row r="1194" spans="1:12">
      <c r="A1194" s="19" t="s">
        <v>1264</v>
      </c>
      <c r="B1194" s="20">
        <v>46375</v>
      </c>
      <c r="C1194" s="19" t="s">
        <v>31</v>
      </c>
      <c r="D1194" s="19" t="s">
        <v>41</v>
      </c>
      <c r="E1194" s="19" t="s">
        <v>15</v>
      </c>
      <c r="F1194" s="19" t="s">
        <v>23</v>
      </c>
      <c r="G1194" s="19" t="s">
        <v>24</v>
      </c>
      <c r="H1194" s="19" t="s">
        <v>39</v>
      </c>
      <c r="I1194" s="19">
        <v>4</v>
      </c>
      <c r="J1194" s="21">
        <v>93.6</v>
      </c>
      <c r="K1194" s="22">
        <v>0</v>
      </c>
      <c r="L1194" s="21">
        <v>374.4</v>
      </c>
    </row>
    <row r="1195" spans="1:12">
      <c r="A1195" s="19" t="s">
        <v>1265</v>
      </c>
      <c r="B1195" s="20">
        <v>46323</v>
      </c>
      <c r="C1195" s="19" t="s">
        <v>20</v>
      </c>
      <c r="D1195" s="19" t="s">
        <v>41</v>
      </c>
      <c r="E1195" s="19" t="s">
        <v>15</v>
      </c>
      <c r="F1195" s="19" t="s">
        <v>48</v>
      </c>
      <c r="G1195" s="19" t="s">
        <v>49</v>
      </c>
      <c r="H1195" s="19" t="s">
        <v>58</v>
      </c>
      <c r="I1195" s="19">
        <v>1</v>
      </c>
      <c r="J1195" s="21">
        <v>3990</v>
      </c>
      <c r="K1195" s="22">
        <v>0.03</v>
      </c>
      <c r="L1195" s="21">
        <v>3870.2999999999997</v>
      </c>
    </row>
    <row r="1196" spans="1:12">
      <c r="A1196" s="19" t="s">
        <v>1266</v>
      </c>
      <c r="B1196" s="20">
        <v>46360</v>
      </c>
      <c r="C1196" s="19" t="s">
        <v>86</v>
      </c>
      <c r="D1196" s="19" t="s">
        <v>21</v>
      </c>
      <c r="E1196" s="19" t="s">
        <v>15</v>
      </c>
      <c r="F1196" s="19" t="s">
        <v>60</v>
      </c>
      <c r="G1196" s="19" t="s">
        <v>67</v>
      </c>
      <c r="H1196" s="19" t="s">
        <v>93</v>
      </c>
      <c r="I1196" s="19">
        <v>3</v>
      </c>
      <c r="J1196" s="21">
        <v>1530</v>
      </c>
      <c r="K1196" s="22">
        <v>0.05</v>
      </c>
      <c r="L1196" s="21">
        <v>4360.5</v>
      </c>
    </row>
    <row r="1197" spans="1:12">
      <c r="A1197" s="19" t="s">
        <v>1267</v>
      </c>
      <c r="B1197" s="20">
        <v>46138</v>
      </c>
      <c r="C1197" s="19" t="s">
        <v>31</v>
      </c>
      <c r="D1197" s="19" t="s">
        <v>21</v>
      </c>
      <c r="E1197" s="19" t="s">
        <v>22</v>
      </c>
      <c r="F1197" s="19" t="s">
        <v>48</v>
      </c>
      <c r="G1197" s="19" t="s">
        <v>96</v>
      </c>
      <c r="H1197" s="19" t="s">
        <v>39</v>
      </c>
      <c r="I1197" s="19">
        <v>1</v>
      </c>
      <c r="J1197" s="21">
        <v>2500</v>
      </c>
      <c r="K1197" s="22">
        <v>0.15</v>
      </c>
      <c r="L1197" s="21">
        <v>2125</v>
      </c>
    </row>
    <row r="1198" spans="1:12">
      <c r="A1198" s="19" t="s">
        <v>1268</v>
      </c>
      <c r="B1198" s="20">
        <v>46155</v>
      </c>
      <c r="C1198" s="19" t="s">
        <v>13</v>
      </c>
      <c r="D1198" s="19" t="s">
        <v>35</v>
      </c>
      <c r="E1198" s="19" t="s">
        <v>15</v>
      </c>
      <c r="F1198" s="19" t="s">
        <v>60</v>
      </c>
      <c r="G1198" s="19" t="s">
        <v>91</v>
      </c>
      <c r="H1198" s="19" t="s">
        <v>18</v>
      </c>
      <c r="I1198" s="19">
        <v>1</v>
      </c>
      <c r="J1198" s="21">
        <v>591.6</v>
      </c>
      <c r="K1198" s="22">
        <v>0.08</v>
      </c>
      <c r="L1198" s="21">
        <v>544.27200000000005</v>
      </c>
    </row>
    <row r="1199" spans="1:12">
      <c r="A1199" s="19" t="s">
        <v>1269</v>
      </c>
      <c r="B1199" s="20">
        <v>46152</v>
      </c>
      <c r="C1199" s="19" t="s">
        <v>31</v>
      </c>
      <c r="D1199" s="19" t="s">
        <v>35</v>
      </c>
      <c r="E1199" s="19" t="s">
        <v>22</v>
      </c>
      <c r="F1199" s="19" t="s">
        <v>48</v>
      </c>
      <c r="G1199" s="19" t="s">
        <v>49</v>
      </c>
      <c r="H1199" s="19" t="s">
        <v>39</v>
      </c>
      <c r="I1199" s="19">
        <v>2</v>
      </c>
      <c r="J1199" s="21">
        <v>4200</v>
      </c>
      <c r="K1199" s="22">
        <v>0.03</v>
      </c>
      <c r="L1199" s="21">
        <v>8148</v>
      </c>
    </row>
    <row r="1200" spans="1:12">
      <c r="A1200" s="19" t="s">
        <v>1270</v>
      </c>
      <c r="B1200" s="20">
        <v>46214</v>
      </c>
      <c r="C1200" s="19" t="s">
        <v>47</v>
      </c>
      <c r="D1200" s="19" t="s">
        <v>41</v>
      </c>
      <c r="E1200" s="19" t="s">
        <v>22</v>
      </c>
      <c r="F1200" s="19" t="s">
        <v>27</v>
      </c>
      <c r="G1200" s="19" t="s">
        <v>28</v>
      </c>
      <c r="H1200" s="19" t="s">
        <v>55</v>
      </c>
      <c r="I1200" s="19">
        <v>1</v>
      </c>
      <c r="J1200" s="21">
        <v>19</v>
      </c>
      <c r="K1200" s="22">
        <v>0.08</v>
      </c>
      <c r="L1200" s="21">
        <v>17.48</v>
      </c>
    </row>
    <row r="1201" spans="1:12">
      <c r="A1201" s="19" t="s">
        <v>1271</v>
      </c>
      <c r="B1201" s="20">
        <v>46283</v>
      </c>
      <c r="C1201" s="19" t="s">
        <v>86</v>
      </c>
      <c r="D1201" s="19" t="s">
        <v>21</v>
      </c>
      <c r="E1201" s="19" t="s">
        <v>15</v>
      </c>
      <c r="F1201" s="19" t="s">
        <v>23</v>
      </c>
      <c r="G1201" s="19" t="s">
        <v>52</v>
      </c>
      <c r="H1201" s="19" t="s">
        <v>87</v>
      </c>
      <c r="I1201" s="19">
        <v>1</v>
      </c>
      <c r="J1201" s="21">
        <v>450</v>
      </c>
      <c r="K1201" s="22">
        <v>0.08</v>
      </c>
      <c r="L1201" s="21">
        <v>414</v>
      </c>
    </row>
    <row r="1202" spans="1:12">
      <c r="A1202" s="19" t="s">
        <v>1272</v>
      </c>
      <c r="B1202" s="20">
        <v>46182</v>
      </c>
      <c r="C1202" s="19" t="s">
        <v>31</v>
      </c>
      <c r="D1202" s="19" t="s">
        <v>14</v>
      </c>
      <c r="E1202" s="19" t="s">
        <v>15</v>
      </c>
      <c r="F1202" s="19" t="s">
        <v>16</v>
      </c>
      <c r="G1202" s="19" t="s">
        <v>69</v>
      </c>
      <c r="H1202" s="19" t="s">
        <v>33</v>
      </c>
      <c r="I1202" s="19">
        <v>5</v>
      </c>
      <c r="J1202" s="21">
        <v>53.35</v>
      </c>
      <c r="K1202" s="22">
        <v>0.1</v>
      </c>
      <c r="L1202" s="21">
        <v>240.07500000000002</v>
      </c>
    </row>
    <row r="1203" spans="1:12">
      <c r="A1203" s="19" t="s">
        <v>1273</v>
      </c>
      <c r="B1203" s="20">
        <v>46237</v>
      </c>
      <c r="C1203" s="19" t="s">
        <v>86</v>
      </c>
      <c r="D1203" s="19" t="s">
        <v>14</v>
      </c>
      <c r="E1203" s="19" t="s">
        <v>22</v>
      </c>
      <c r="F1203" s="19" t="s">
        <v>16</v>
      </c>
      <c r="G1203" s="19" t="s">
        <v>112</v>
      </c>
      <c r="H1203" s="19" t="s">
        <v>87</v>
      </c>
      <c r="I1203" s="19">
        <v>1</v>
      </c>
      <c r="J1203" s="21">
        <v>65</v>
      </c>
      <c r="K1203" s="22">
        <v>0.03</v>
      </c>
      <c r="L1203" s="21">
        <v>63.05</v>
      </c>
    </row>
    <row r="1204" spans="1:12">
      <c r="A1204" s="19" t="s">
        <v>1274</v>
      </c>
      <c r="B1204" s="20">
        <v>46364</v>
      </c>
      <c r="C1204" s="19" t="s">
        <v>47</v>
      </c>
      <c r="D1204" s="19" t="s">
        <v>21</v>
      </c>
      <c r="E1204" s="19" t="s">
        <v>22</v>
      </c>
      <c r="F1204" s="19" t="s">
        <v>16</v>
      </c>
      <c r="G1204" s="19" t="s">
        <v>57</v>
      </c>
      <c r="H1204" s="19" t="s">
        <v>83</v>
      </c>
      <c r="I1204" s="19">
        <v>7</v>
      </c>
      <c r="J1204" s="21">
        <v>38</v>
      </c>
      <c r="K1204" s="22">
        <v>0.15</v>
      </c>
      <c r="L1204" s="21">
        <v>226.1</v>
      </c>
    </row>
    <row r="1205" spans="1:12">
      <c r="A1205" s="19" t="s">
        <v>1275</v>
      </c>
      <c r="B1205" s="20">
        <v>46340</v>
      </c>
      <c r="C1205" s="19" t="s">
        <v>20</v>
      </c>
      <c r="D1205" s="19" t="s">
        <v>41</v>
      </c>
      <c r="E1205" s="19" t="s">
        <v>15</v>
      </c>
      <c r="F1205" s="19" t="s">
        <v>16</v>
      </c>
      <c r="G1205" s="19" t="s">
        <v>65</v>
      </c>
      <c r="H1205" s="19" t="s">
        <v>63</v>
      </c>
      <c r="I1205" s="19">
        <v>3</v>
      </c>
      <c r="J1205" s="21">
        <v>83.2</v>
      </c>
      <c r="K1205" s="22">
        <v>0.15</v>
      </c>
      <c r="L1205" s="21">
        <v>212.16000000000003</v>
      </c>
    </row>
    <row r="1206" spans="1:12">
      <c r="A1206" s="19" t="s">
        <v>1276</v>
      </c>
      <c r="B1206" s="20">
        <v>46318</v>
      </c>
      <c r="C1206" s="19" t="s">
        <v>47</v>
      </c>
      <c r="D1206" s="19" t="s">
        <v>14</v>
      </c>
      <c r="E1206" s="19" t="s">
        <v>22</v>
      </c>
      <c r="F1206" s="19" t="s">
        <v>48</v>
      </c>
      <c r="G1206" s="19" t="s">
        <v>54</v>
      </c>
      <c r="H1206" s="19" t="s">
        <v>55</v>
      </c>
      <c r="I1206" s="19">
        <v>1</v>
      </c>
      <c r="J1206" s="21">
        <v>1800</v>
      </c>
      <c r="K1206" s="22">
        <v>0.05</v>
      </c>
      <c r="L1206" s="21">
        <v>1710</v>
      </c>
    </row>
    <row r="1207" spans="1:12">
      <c r="A1207" s="19" t="s">
        <v>1277</v>
      </c>
      <c r="B1207" s="20">
        <v>46081</v>
      </c>
      <c r="C1207" s="19" t="s">
        <v>47</v>
      </c>
      <c r="D1207" s="19" t="s">
        <v>35</v>
      </c>
      <c r="E1207" s="19" t="s">
        <v>22</v>
      </c>
      <c r="F1207" s="19" t="s">
        <v>60</v>
      </c>
      <c r="G1207" s="19" t="s">
        <v>91</v>
      </c>
      <c r="H1207" s="19" t="s">
        <v>55</v>
      </c>
      <c r="I1207" s="19">
        <v>2</v>
      </c>
      <c r="J1207" s="21">
        <v>614.79999999999995</v>
      </c>
      <c r="K1207" s="22">
        <v>0</v>
      </c>
      <c r="L1207" s="21">
        <v>1229.5999999999999</v>
      </c>
    </row>
    <row r="1208" spans="1:12">
      <c r="A1208" s="19" t="s">
        <v>1278</v>
      </c>
      <c r="B1208" s="20">
        <v>46093</v>
      </c>
      <c r="C1208" s="19" t="s">
        <v>13</v>
      </c>
      <c r="D1208" s="19" t="s">
        <v>35</v>
      </c>
      <c r="E1208" s="19" t="s">
        <v>22</v>
      </c>
      <c r="F1208" s="19" t="s">
        <v>27</v>
      </c>
      <c r="G1208" s="19" t="s">
        <v>155</v>
      </c>
      <c r="H1208" s="19" t="s">
        <v>43</v>
      </c>
      <c r="I1208" s="19">
        <v>7</v>
      </c>
      <c r="J1208" s="21">
        <v>180</v>
      </c>
      <c r="K1208" s="22">
        <v>0</v>
      </c>
      <c r="L1208" s="21">
        <v>1260</v>
      </c>
    </row>
    <row r="1209" spans="1:12">
      <c r="A1209" s="19" t="s">
        <v>1279</v>
      </c>
      <c r="B1209" s="20">
        <v>46192</v>
      </c>
      <c r="C1209" s="19" t="s">
        <v>20</v>
      </c>
      <c r="D1209" s="19" t="s">
        <v>41</v>
      </c>
      <c r="E1209" s="19" t="s">
        <v>15</v>
      </c>
      <c r="F1209" s="19" t="s">
        <v>60</v>
      </c>
      <c r="G1209" s="19" t="s">
        <v>91</v>
      </c>
      <c r="H1209" s="19" t="s">
        <v>25</v>
      </c>
      <c r="I1209" s="19">
        <v>1</v>
      </c>
      <c r="J1209" s="21">
        <v>591.6</v>
      </c>
      <c r="K1209" s="22">
        <v>0.1</v>
      </c>
      <c r="L1209" s="21">
        <v>532.44000000000005</v>
      </c>
    </row>
    <row r="1210" spans="1:12">
      <c r="A1210" s="19" t="s">
        <v>1280</v>
      </c>
      <c r="B1210" s="20">
        <v>46268</v>
      </c>
      <c r="C1210" s="19" t="s">
        <v>47</v>
      </c>
      <c r="D1210" s="19" t="s">
        <v>14</v>
      </c>
      <c r="E1210" s="19" t="s">
        <v>15</v>
      </c>
      <c r="F1210" s="19" t="s">
        <v>73</v>
      </c>
      <c r="G1210" s="19" t="s">
        <v>127</v>
      </c>
      <c r="H1210" s="19" t="s">
        <v>50</v>
      </c>
      <c r="I1210" s="19">
        <v>2</v>
      </c>
      <c r="J1210" s="21">
        <v>26.5</v>
      </c>
      <c r="K1210" s="22">
        <v>0.08</v>
      </c>
      <c r="L1210" s="21">
        <v>48.760000000000005</v>
      </c>
    </row>
    <row r="1211" spans="1:12">
      <c r="A1211" s="19" t="s">
        <v>1281</v>
      </c>
      <c r="B1211" s="20">
        <v>46363</v>
      </c>
      <c r="C1211" s="19" t="s">
        <v>13</v>
      </c>
      <c r="D1211" s="19" t="s">
        <v>14</v>
      </c>
      <c r="E1211" s="19" t="s">
        <v>22</v>
      </c>
      <c r="F1211" s="19" t="s">
        <v>48</v>
      </c>
      <c r="G1211" s="19" t="s">
        <v>96</v>
      </c>
      <c r="H1211" s="19" t="s">
        <v>43</v>
      </c>
      <c r="I1211" s="19">
        <v>1</v>
      </c>
      <c r="J1211" s="21">
        <v>2600</v>
      </c>
      <c r="K1211" s="22">
        <v>0.08</v>
      </c>
      <c r="L1211" s="21">
        <v>2392</v>
      </c>
    </row>
    <row r="1212" spans="1:12">
      <c r="A1212" s="19" t="s">
        <v>1282</v>
      </c>
      <c r="B1212" s="20">
        <v>46262</v>
      </c>
      <c r="C1212" s="19" t="s">
        <v>31</v>
      </c>
      <c r="D1212" s="19" t="s">
        <v>21</v>
      </c>
      <c r="E1212" s="19" t="s">
        <v>22</v>
      </c>
      <c r="F1212" s="19" t="s">
        <v>48</v>
      </c>
      <c r="G1212" s="19" t="s">
        <v>71</v>
      </c>
      <c r="H1212" s="19" t="s">
        <v>39</v>
      </c>
      <c r="I1212" s="19">
        <v>1</v>
      </c>
      <c r="J1212" s="21">
        <v>3104</v>
      </c>
      <c r="K1212" s="22">
        <v>0.05</v>
      </c>
      <c r="L1212" s="21">
        <v>2948.7999999999997</v>
      </c>
    </row>
    <row r="1213" spans="1:12">
      <c r="A1213" s="19" t="s">
        <v>1283</v>
      </c>
      <c r="B1213" s="20">
        <v>46088</v>
      </c>
      <c r="C1213" s="19" t="s">
        <v>86</v>
      </c>
      <c r="D1213" s="19" t="s">
        <v>21</v>
      </c>
      <c r="E1213" s="19" t="s">
        <v>22</v>
      </c>
      <c r="F1213" s="19" t="s">
        <v>16</v>
      </c>
      <c r="G1213" s="19" t="s">
        <v>112</v>
      </c>
      <c r="H1213" s="19" t="s">
        <v>93</v>
      </c>
      <c r="I1213" s="19">
        <v>3</v>
      </c>
      <c r="J1213" s="21">
        <v>61.75</v>
      </c>
      <c r="K1213" s="22">
        <v>0.05</v>
      </c>
      <c r="L1213" s="21">
        <v>175.98749999999998</v>
      </c>
    </row>
    <row r="1214" spans="1:12">
      <c r="A1214" s="19" t="s">
        <v>1284</v>
      </c>
      <c r="B1214" s="20">
        <v>46146</v>
      </c>
      <c r="C1214" s="19" t="s">
        <v>47</v>
      </c>
      <c r="D1214" s="19" t="s">
        <v>21</v>
      </c>
      <c r="E1214" s="19" t="s">
        <v>22</v>
      </c>
      <c r="F1214" s="19" t="s">
        <v>48</v>
      </c>
      <c r="G1214" s="19" t="s">
        <v>49</v>
      </c>
      <c r="H1214" s="19" t="s">
        <v>83</v>
      </c>
      <c r="I1214" s="19">
        <v>1</v>
      </c>
      <c r="J1214" s="21">
        <v>4368</v>
      </c>
      <c r="K1214" s="22">
        <v>0</v>
      </c>
      <c r="L1214" s="21">
        <v>4368</v>
      </c>
    </row>
    <row r="1215" spans="1:12">
      <c r="A1215" s="19" t="s">
        <v>1285</v>
      </c>
      <c r="B1215" s="20">
        <v>46091</v>
      </c>
      <c r="C1215" s="19" t="s">
        <v>86</v>
      </c>
      <c r="D1215" s="19" t="s">
        <v>35</v>
      </c>
      <c r="E1215" s="19" t="s">
        <v>22</v>
      </c>
      <c r="F1215" s="19" t="s">
        <v>60</v>
      </c>
      <c r="G1215" s="19" t="s">
        <v>61</v>
      </c>
      <c r="H1215" s="19" t="s">
        <v>87</v>
      </c>
      <c r="I1215" s="19">
        <v>1</v>
      </c>
      <c r="J1215" s="21">
        <v>850</v>
      </c>
      <c r="K1215" s="22">
        <v>0.03</v>
      </c>
      <c r="L1215" s="21">
        <v>824.5</v>
      </c>
    </row>
    <row r="1216" spans="1:12">
      <c r="A1216" s="19" t="s">
        <v>1286</v>
      </c>
      <c r="B1216" s="20">
        <v>46276</v>
      </c>
      <c r="C1216" s="19" t="s">
        <v>20</v>
      </c>
      <c r="D1216" s="19" t="s">
        <v>14</v>
      </c>
      <c r="E1216" s="19" t="s">
        <v>15</v>
      </c>
      <c r="F1216" s="19" t="s">
        <v>73</v>
      </c>
      <c r="G1216" s="19" t="s">
        <v>127</v>
      </c>
      <c r="H1216" s="19" t="s">
        <v>25</v>
      </c>
      <c r="I1216" s="19">
        <v>4</v>
      </c>
      <c r="J1216" s="21">
        <v>23.75</v>
      </c>
      <c r="K1216" s="22">
        <v>0</v>
      </c>
      <c r="L1216" s="21">
        <v>95</v>
      </c>
    </row>
    <row r="1217" spans="1:12">
      <c r="A1217" s="19" t="s">
        <v>1287</v>
      </c>
      <c r="B1217" s="20">
        <v>46373</v>
      </c>
      <c r="C1217" s="19" t="s">
        <v>31</v>
      </c>
      <c r="D1217" s="19" t="s">
        <v>14</v>
      </c>
      <c r="E1217" s="19" t="s">
        <v>15</v>
      </c>
      <c r="F1217" s="19" t="s">
        <v>73</v>
      </c>
      <c r="G1217" s="19" t="s">
        <v>74</v>
      </c>
      <c r="H1217" s="19" t="s">
        <v>79</v>
      </c>
      <c r="I1217" s="19">
        <v>5</v>
      </c>
      <c r="J1217" s="21">
        <v>8.16</v>
      </c>
      <c r="K1217" s="22">
        <v>0.2</v>
      </c>
      <c r="L1217" s="21">
        <v>32.64</v>
      </c>
    </row>
    <row r="1218" spans="1:12">
      <c r="A1218" s="19" t="s">
        <v>1288</v>
      </c>
      <c r="B1218" s="20">
        <v>46281</v>
      </c>
      <c r="C1218" s="19" t="s">
        <v>31</v>
      </c>
      <c r="D1218" s="19" t="s">
        <v>14</v>
      </c>
      <c r="E1218" s="19" t="s">
        <v>15</v>
      </c>
      <c r="F1218" s="19" t="s">
        <v>73</v>
      </c>
      <c r="G1218" s="19" t="s">
        <v>81</v>
      </c>
      <c r="H1218" s="19" t="s">
        <v>39</v>
      </c>
      <c r="I1218" s="19">
        <v>3</v>
      </c>
      <c r="J1218" s="21">
        <v>12.24</v>
      </c>
      <c r="K1218" s="22">
        <v>0.1</v>
      </c>
      <c r="L1218" s="21">
        <v>33.048000000000002</v>
      </c>
    </row>
    <row r="1219" spans="1:12">
      <c r="A1219" s="19" t="s">
        <v>1289</v>
      </c>
      <c r="B1219" s="20">
        <v>46351</v>
      </c>
      <c r="C1219" s="19" t="s">
        <v>31</v>
      </c>
      <c r="D1219" s="19" t="s">
        <v>14</v>
      </c>
      <c r="E1219" s="19" t="s">
        <v>22</v>
      </c>
      <c r="F1219" s="19" t="s">
        <v>16</v>
      </c>
      <c r="G1219" s="19" t="s">
        <v>42</v>
      </c>
      <c r="H1219" s="19" t="s">
        <v>33</v>
      </c>
      <c r="I1219" s="19">
        <v>5</v>
      </c>
      <c r="J1219" s="21">
        <v>43.65</v>
      </c>
      <c r="K1219" s="22">
        <v>0.05</v>
      </c>
      <c r="L1219" s="21">
        <v>207.33749999999998</v>
      </c>
    </row>
    <row r="1220" spans="1:12">
      <c r="A1220" s="19" t="s">
        <v>1290</v>
      </c>
      <c r="B1220" s="20">
        <v>46075</v>
      </c>
      <c r="C1220" s="19" t="s">
        <v>31</v>
      </c>
      <c r="D1220" s="19" t="s">
        <v>21</v>
      </c>
      <c r="E1220" s="19" t="s">
        <v>22</v>
      </c>
      <c r="F1220" s="19" t="s">
        <v>60</v>
      </c>
      <c r="G1220" s="19" t="s">
        <v>61</v>
      </c>
      <c r="H1220" s="19" t="s">
        <v>39</v>
      </c>
      <c r="I1220" s="19">
        <v>4</v>
      </c>
      <c r="J1220" s="21">
        <v>867</v>
      </c>
      <c r="K1220" s="22">
        <v>0.15</v>
      </c>
      <c r="L1220" s="21">
        <v>2947.7999999999997</v>
      </c>
    </row>
    <row r="1221" spans="1:12">
      <c r="A1221" s="19" t="s">
        <v>1291</v>
      </c>
      <c r="B1221" s="20">
        <v>46352</v>
      </c>
      <c r="C1221" s="19" t="s">
        <v>20</v>
      </c>
      <c r="D1221" s="19" t="s">
        <v>14</v>
      </c>
      <c r="E1221" s="19" t="s">
        <v>22</v>
      </c>
      <c r="F1221" s="19" t="s">
        <v>48</v>
      </c>
      <c r="G1221" s="19" t="s">
        <v>54</v>
      </c>
      <c r="H1221" s="19" t="s">
        <v>25</v>
      </c>
      <c r="I1221" s="19">
        <v>1</v>
      </c>
      <c r="J1221" s="21">
        <v>1800</v>
      </c>
      <c r="K1221" s="22">
        <v>0.15</v>
      </c>
      <c r="L1221" s="21">
        <v>1530</v>
      </c>
    </row>
    <row r="1222" spans="1:12">
      <c r="A1222" s="19" t="s">
        <v>1292</v>
      </c>
      <c r="B1222" s="20">
        <v>46297</v>
      </c>
      <c r="C1222" s="19" t="s">
        <v>86</v>
      </c>
      <c r="D1222" s="19" t="s">
        <v>41</v>
      </c>
      <c r="E1222" s="19" t="s">
        <v>22</v>
      </c>
      <c r="F1222" s="19" t="s">
        <v>73</v>
      </c>
      <c r="G1222" s="19" t="s">
        <v>74</v>
      </c>
      <c r="H1222" s="19" t="s">
        <v>87</v>
      </c>
      <c r="I1222" s="19">
        <v>5</v>
      </c>
      <c r="J1222" s="21">
        <v>7.76</v>
      </c>
      <c r="K1222" s="22">
        <v>0</v>
      </c>
      <c r="L1222" s="21">
        <v>38.799999999999997</v>
      </c>
    </row>
    <row r="1223" spans="1:12">
      <c r="A1223" s="19" t="s">
        <v>1293</v>
      </c>
      <c r="B1223" s="20">
        <v>46159</v>
      </c>
      <c r="C1223" s="19" t="s">
        <v>20</v>
      </c>
      <c r="D1223" s="19" t="s">
        <v>35</v>
      </c>
      <c r="E1223" s="19" t="s">
        <v>22</v>
      </c>
      <c r="F1223" s="19" t="s">
        <v>73</v>
      </c>
      <c r="G1223" s="19" t="s">
        <v>81</v>
      </c>
      <c r="H1223" s="19" t="s">
        <v>25</v>
      </c>
      <c r="I1223" s="19">
        <v>5</v>
      </c>
      <c r="J1223" s="21">
        <v>12</v>
      </c>
      <c r="K1223" s="22">
        <v>0.05</v>
      </c>
      <c r="L1223" s="21">
        <v>57</v>
      </c>
    </row>
    <row r="1224" spans="1:12">
      <c r="A1224" s="19" t="s">
        <v>1294</v>
      </c>
      <c r="B1224" s="20">
        <v>46133</v>
      </c>
      <c r="C1224" s="19" t="s">
        <v>20</v>
      </c>
      <c r="D1224" s="19" t="s">
        <v>21</v>
      </c>
      <c r="E1224" s="19" t="s">
        <v>15</v>
      </c>
      <c r="F1224" s="19" t="s">
        <v>16</v>
      </c>
      <c r="G1224" s="19" t="s">
        <v>42</v>
      </c>
      <c r="H1224" s="19" t="s">
        <v>63</v>
      </c>
      <c r="I1224" s="19">
        <v>3</v>
      </c>
      <c r="J1224" s="21">
        <v>45.9</v>
      </c>
      <c r="K1224" s="22">
        <v>0.05</v>
      </c>
      <c r="L1224" s="21">
        <v>130.81499999999997</v>
      </c>
    </row>
    <row r="1225" spans="1:12">
      <c r="A1225" s="19" t="s">
        <v>1295</v>
      </c>
      <c r="B1225" s="20">
        <v>46229</v>
      </c>
      <c r="C1225" s="19" t="s">
        <v>13</v>
      </c>
      <c r="D1225" s="19" t="s">
        <v>35</v>
      </c>
      <c r="E1225" s="19" t="s">
        <v>22</v>
      </c>
      <c r="F1225" s="19" t="s">
        <v>60</v>
      </c>
      <c r="G1225" s="19" t="s">
        <v>91</v>
      </c>
      <c r="H1225" s="19" t="s">
        <v>43</v>
      </c>
      <c r="I1225" s="19">
        <v>4</v>
      </c>
      <c r="J1225" s="21">
        <v>580</v>
      </c>
      <c r="K1225" s="22">
        <v>0.05</v>
      </c>
      <c r="L1225" s="21">
        <v>2204</v>
      </c>
    </row>
    <row r="1226" spans="1:12">
      <c r="A1226" s="19" t="s">
        <v>1296</v>
      </c>
      <c r="B1226" s="20">
        <v>46314</v>
      </c>
      <c r="C1226" s="19" t="s">
        <v>20</v>
      </c>
      <c r="D1226" s="19" t="s">
        <v>35</v>
      </c>
      <c r="E1226" s="19" t="s">
        <v>22</v>
      </c>
      <c r="F1226" s="19" t="s">
        <v>60</v>
      </c>
      <c r="G1226" s="19" t="s">
        <v>91</v>
      </c>
      <c r="H1226" s="19" t="s">
        <v>58</v>
      </c>
      <c r="I1226" s="19">
        <v>1</v>
      </c>
      <c r="J1226" s="21">
        <v>580</v>
      </c>
      <c r="K1226" s="22">
        <v>0.05</v>
      </c>
      <c r="L1226" s="21">
        <v>551</v>
      </c>
    </row>
    <row r="1227" spans="1:12">
      <c r="A1227" s="19" t="s">
        <v>1297</v>
      </c>
      <c r="B1227" s="20">
        <v>46049</v>
      </c>
      <c r="C1227" s="19" t="s">
        <v>13</v>
      </c>
      <c r="D1227" s="19" t="s">
        <v>21</v>
      </c>
      <c r="E1227" s="19" t="s">
        <v>22</v>
      </c>
      <c r="F1227" s="19" t="s">
        <v>73</v>
      </c>
      <c r="G1227" s="19" t="s">
        <v>74</v>
      </c>
      <c r="H1227" s="19" t="s">
        <v>18</v>
      </c>
      <c r="I1227" s="19">
        <v>4</v>
      </c>
      <c r="J1227" s="21">
        <v>8.16</v>
      </c>
      <c r="K1227" s="22">
        <v>0</v>
      </c>
      <c r="L1227" s="21">
        <v>32.64</v>
      </c>
    </row>
    <row r="1228" spans="1:12">
      <c r="A1228" s="19" t="s">
        <v>1298</v>
      </c>
      <c r="B1228" s="20">
        <v>46059</v>
      </c>
      <c r="C1228" s="19" t="s">
        <v>47</v>
      </c>
      <c r="D1228" s="19" t="s">
        <v>35</v>
      </c>
      <c r="E1228" s="19" t="s">
        <v>15</v>
      </c>
      <c r="F1228" s="19" t="s">
        <v>48</v>
      </c>
      <c r="G1228" s="19" t="s">
        <v>96</v>
      </c>
      <c r="H1228" s="19" t="s">
        <v>55</v>
      </c>
      <c r="I1228" s="19">
        <v>1</v>
      </c>
      <c r="J1228" s="21">
        <v>2375</v>
      </c>
      <c r="K1228" s="22">
        <v>0.05</v>
      </c>
      <c r="L1228" s="21">
        <v>2256.25</v>
      </c>
    </row>
    <row r="1229" spans="1:12">
      <c r="A1229" s="19" t="s">
        <v>1299</v>
      </c>
      <c r="B1229" s="20">
        <v>46063</v>
      </c>
      <c r="C1229" s="19" t="s">
        <v>31</v>
      </c>
      <c r="D1229" s="19" t="s">
        <v>14</v>
      </c>
      <c r="E1229" s="19" t="s">
        <v>22</v>
      </c>
      <c r="F1229" s="19" t="s">
        <v>73</v>
      </c>
      <c r="G1229" s="19" t="s">
        <v>81</v>
      </c>
      <c r="H1229" s="19" t="s">
        <v>33</v>
      </c>
      <c r="I1229" s="19">
        <v>5</v>
      </c>
      <c r="J1229" s="21">
        <v>12.48</v>
      </c>
      <c r="K1229" s="22">
        <v>0.05</v>
      </c>
      <c r="L1229" s="21">
        <v>59.28</v>
      </c>
    </row>
    <row r="1230" spans="1:12">
      <c r="A1230" s="19" t="s">
        <v>1300</v>
      </c>
      <c r="B1230" s="20">
        <v>46027</v>
      </c>
      <c r="C1230" s="19" t="s">
        <v>20</v>
      </c>
      <c r="D1230" s="19" t="s">
        <v>21</v>
      </c>
      <c r="E1230" s="19" t="s">
        <v>15</v>
      </c>
      <c r="F1230" s="19" t="s">
        <v>27</v>
      </c>
      <c r="G1230" s="19" t="s">
        <v>28</v>
      </c>
      <c r="H1230" s="19" t="s">
        <v>63</v>
      </c>
      <c r="I1230" s="19">
        <v>7</v>
      </c>
      <c r="J1230" s="21">
        <v>20</v>
      </c>
      <c r="K1230" s="22">
        <v>0.05</v>
      </c>
      <c r="L1230" s="21">
        <v>133</v>
      </c>
    </row>
    <row r="1231" spans="1:12">
      <c r="A1231" s="19" t="s">
        <v>1301</v>
      </c>
      <c r="B1231" s="20">
        <v>46174</v>
      </c>
      <c r="C1231" s="19" t="s">
        <v>86</v>
      </c>
      <c r="D1231" s="19" t="s">
        <v>21</v>
      </c>
      <c r="E1231" s="19" t="s">
        <v>15</v>
      </c>
      <c r="F1231" s="19" t="s">
        <v>73</v>
      </c>
      <c r="G1231" s="19" t="s">
        <v>145</v>
      </c>
      <c r="H1231" s="19" t="s">
        <v>102</v>
      </c>
      <c r="I1231" s="19">
        <v>3</v>
      </c>
      <c r="J1231" s="21">
        <v>18</v>
      </c>
      <c r="K1231" s="22">
        <v>0.1</v>
      </c>
      <c r="L1231" s="21">
        <v>48.6</v>
      </c>
    </row>
    <row r="1232" spans="1:12">
      <c r="A1232" s="19" t="s">
        <v>1302</v>
      </c>
      <c r="B1232" s="20">
        <v>46047</v>
      </c>
      <c r="C1232" s="19" t="s">
        <v>20</v>
      </c>
      <c r="D1232" s="19" t="s">
        <v>35</v>
      </c>
      <c r="E1232" s="19" t="s">
        <v>15</v>
      </c>
      <c r="F1232" s="19" t="s">
        <v>23</v>
      </c>
      <c r="G1232" s="19" t="s">
        <v>52</v>
      </c>
      <c r="H1232" s="19" t="s">
        <v>25</v>
      </c>
      <c r="I1232" s="19">
        <v>12</v>
      </c>
      <c r="J1232" s="21">
        <v>450</v>
      </c>
      <c r="K1232" s="22">
        <v>0.08</v>
      </c>
      <c r="L1232" s="21">
        <v>4968</v>
      </c>
    </row>
    <row r="1233" spans="1:12">
      <c r="A1233" s="19" t="s">
        <v>1303</v>
      </c>
      <c r="B1233" s="20">
        <v>46209</v>
      </c>
      <c r="C1233" s="19" t="s">
        <v>47</v>
      </c>
      <c r="D1233" s="19" t="s">
        <v>14</v>
      </c>
      <c r="E1233" s="19" t="s">
        <v>22</v>
      </c>
      <c r="F1233" s="19" t="s">
        <v>27</v>
      </c>
      <c r="G1233" s="19" t="s">
        <v>155</v>
      </c>
      <c r="H1233" s="19" t="s">
        <v>55</v>
      </c>
      <c r="I1233" s="19">
        <v>3</v>
      </c>
      <c r="J1233" s="21">
        <v>180</v>
      </c>
      <c r="K1233" s="22">
        <v>0.03</v>
      </c>
      <c r="L1233" s="21">
        <v>523.79999999999995</v>
      </c>
    </row>
    <row r="1234" spans="1:12">
      <c r="A1234" s="19" t="s">
        <v>1304</v>
      </c>
      <c r="B1234" s="20">
        <v>46137</v>
      </c>
      <c r="C1234" s="19" t="s">
        <v>31</v>
      </c>
      <c r="D1234" s="19" t="s">
        <v>41</v>
      </c>
      <c r="E1234" s="19" t="s">
        <v>22</v>
      </c>
      <c r="F1234" s="19" t="s">
        <v>27</v>
      </c>
      <c r="G1234" s="19" t="s">
        <v>155</v>
      </c>
      <c r="H1234" s="19" t="s">
        <v>33</v>
      </c>
      <c r="I1234" s="19">
        <v>1</v>
      </c>
      <c r="J1234" s="21">
        <v>180</v>
      </c>
      <c r="K1234" s="22">
        <v>0.2</v>
      </c>
      <c r="L1234" s="21">
        <v>144</v>
      </c>
    </row>
    <row r="1235" spans="1:12">
      <c r="A1235" s="19" t="s">
        <v>1305</v>
      </c>
      <c r="B1235" s="20">
        <v>46177</v>
      </c>
      <c r="C1235" s="19" t="s">
        <v>31</v>
      </c>
      <c r="D1235" s="19" t="s">
        <v>41</v>
      </c>
      <c r="E1235" s="19" t="s">
        <v>15</v>
      </c>
      <c r="F1235" s="19" t="s">
        <v>23</v>
      </c>
      <c r="G1235" s="19" t="s">
        <v>52</v>
      </c>
      <c r="H1235" s="19" t="s">
        <v>39</v>
      </c>
      <c r="I1235" s="19">
        <v>2</v>
      </c>
      <c r="J1235" s="21">
        <v>450</v>
      </c>
      <c r="K1235" s="22">
        <v>0.08</v>
      </c>
      <c r="L1235" s="21">
        <v>828</v>
      </c>
    </row>
    <row r="1236" spans="1:12">
      <c r="A1236" s="19" t="s">
        <v>1306</v>
      </c>
      <c r="B1236" s="20">
        <v>46101</v>
      </c>
      <c r="C1236" s="19" t="s">
        <v>13</v>
      </c>
      <c r="D1236" s="19" t="s">
        <v>35</v>
      </c>
      <c r="E1236" s="19" t="s">
        <v>22</v>
      </c>
      <c r="F1236" s="19" t="s">
        <v>27</v>
      </c>
      <c r="G1236" s="19" t="s">
        <v>36</v>
      </c>
      <c r="H1236" s="19" t="s">
        <v>18</v>
      </c>
      <c r="I1236" s="19">
        <v>2</v>
      </c>
      <c r="J1236" s="21">
        <v>765</v>
      </c>
      <c r="K1236" s="22">
        <v>0</v>
      </c>
      <c r="L1236" s="21">
        <v>1530</v>
      </c>
    </row>
    <row r="1237" spans="1:12">
      <c r="A1237" s="19" t="s">
        <v>1307</v>
      </c>
      <c r="B1237" s="20">
        <v>46173</v>
      </c>
      <c r="C1237" s="19" t="s">
        <v>86</v>
      </c>
      <c r="D1237" s="19" t="s">
        <v>14</v>
      </c>
      <c r="E1237" s="19" t="s">
        <v>22</v>
      </c>
      <c r="F1237" s="19" t="s">
        <v>27</v>
      </c>
      <c r="G1237" s="19" t="s">
        <v>32</v>
      </c>
      <c r="H1237" s="19" t="s">
        <v>87</v>
      </c>
      <c r="I1237" s="19">
        <v>2</v>
      </c>
      <c r="J1237" s="21">
        <v>291.2</v>
      </c>
      <c r="K1237" s="22">
        <v>0.15</v>
      </c>
      <c r="L1237" s="21">
        <v>495.03999999999996</v>
      </c>
    </row>
    <row r="1238" spans="1:12">
      <c r="A1238" s="19" t="s">
        <v>1308</v>
      </c>
      <c r="B1238" s="20">
        <v>46028</v>
      </c>
      <c r="C1238" s="19" t="s">
        <v>13</v>
      </c>
      <c r="D1238" s="19" t="s">
        <v>14</v>
      </c>
      <c r="E1238" s="19" t="s">
        <v>22</v>
      </c>
      <c r="F1238" s="19" t="s">
        <v>16</v>
      </c>
      <c r="G1238" s="19" t="s">
        <v>69</v>
      </c>
      <c r="H1238" s="19" t="s">
        <v>29</v>
      </c>
      <c r="I1238" s="19">
        <v>5</v>
      </c>
      <c r="J1238" s="21">
        <v>53.35</v>
      </c>
      <c r="K1238" s="22">
        <v>0.08</v>
      </c>
      <c r="L1238" s="21">
        <v>245.41</v>
      </c>
    </row>
    <row r="1239" spans="1:12">
      <c r="A1239" s="19" t="s">
        <v>1309</v>
      </c>
      <c r="B1239" s="20">
        <v>46239</v>
      </c>
      <c r="C1239" s="19" t="s">
        <v>20</v>
      </c>
      <c r="D1239" s="19" t="s">
        <v>14</v>
      </c>
      <c r="E1239" s="19" t="s">
        <v>15</v>
      </c>
      <c r="F1239" s="19" t="s">
        <v>16</v>
      </c>
      <c r="G1239" s="19" t="s">
        <v>65</v>
      </c>
      <c r="H1239" s="19" t="s">
        <v>63</v>
      </c>
      <c r="I1239" s="19">
        <v>3</v>
      </c>
      <c r="J1239" s="21">
        <v>76</v>
      </c>
      <c r="K1239" s="22">
        <v>0</v>
      </c>
      <c r="L1239" s="21">
        <v>228</v>
      </c>
    </row>
    <row r="1240" spans="1:12">
      <c r="A1240" s="19" t="s">
        <v>1310</v>
      </c>
      <c r="B1240" s="20">
        <v>46147</v>
      </c>
      <c r="C1240" s="19" t="s">
        <v>47</v>
      </c>
      <c r="D1240" s="19" t="s">
        <v>35</v>
      </c>
      <c r="E1240" s="19" t="s">
        <v>15</v>
      </c>
      <c r="F1240" s="19" t="s">
        <v>16</v>
      </c>
      <c r="G1240" s="19" t="s">
        <v>42</v>
      </c>
      <c r="H1240" s="19" t="s">
        <v>50</v>
      </c>
      <c r="I1240" s="19">
        <v>10</v>
      </c>
      <c r="J1240" s="21">
        <v>46.8</v>
      </c>
      <c r="K1240" s="22">
        <v>0</v>
      </c>
      <c r="L1240" s="21">
        <v>468</v>
      </c>
    </row>
    <row r="1241" spans="1:12">
      <c r="A1241" s="19" t="s">
        <v>1311</v>
      </c>
      <c r="B1241" s="20">
        <v>46297</v>
      </c>
      <c r="C1241" s="19" t="s">
        <v>20</v>
      </c>
      <c r="D1241" s="19" t="s">
        <v>14</v>
      </c>
      <c r="E1241" s="19" t="s">
        <v>22</v>
      </c>
      <c r="F1241" s="19" t="s">
        <v>27</v>
      </c>
      <c r="G1241" s="19" t="s">
        <v>155</v>
      </c>
      <c r="H1241" s="19" t="s">
        <v>58</v>
      </c>
      <c r="I1241" s="19">
        <v>4</v>
      </c>
      <c r="J1241" s="21">
        <v>180</v>
      </c>
      <c r="K1241" s="22">
        <v>0.05</v>
      </c>
      <c r="L1241" s="21">
        <v>684</v>
      </c>
    </row>
    <row r="1242" spans="1:12">
      <c r="A1242" s="19" t="s">
        <v>1312</v>
      </c>
      <c r="B1242" s="20">
        <v>46128</v>
      </c>
      <c r="C1242" s="19" t="s">
        <v>20</v>
      </c>
      <c r="D1242" s="19" t="s">
        <v>14</v>
      </c>
      <c r="E1242" s="19" t="s">
        <v>22</v>
      </c>
      <c r="F1242" s="19" t="s">
        <v>60</v>
      </c>
      <c r="G1242" s="19" t="s">
        <v>61</v>
      </c>
      <c r="H1242" s="19" t="s">
        <v>25</v>
      </c>
      <c r="I1242" s="19">
        <v>2</v>
      </c>
      <c r="J1242" s="21">
        <v>901</v>
      </c>
      <c r="K1242" s="22">
        <v>0.05</v>
      </c>
      <c r="L1242" s="21">
        <v>1711.8999999999999</v>
      </c>
    </row>
    <row r="1243" spans="1:12">
      <c r="A1243" s="19" t="s">
        <v>1313</v>
      </c>
      <c r="B1243" s="20">
        <v>46136</v>
      </c>
      <c r="C1243" s="19" t="s">
        <v>31</v>
      </c>
      <c r="D1243" s="19" t="s">
        <v>41</v>
      </c>
      <c r="E1243" s="19" t="s">
        <v>22</v>
      </c>
      <c r="F1243" s="19" t="s">
        <v>73</v>
      </c>
      <c r="G1243" s="19" t="s">
        <v>129</v>
      </c>
      <c r="H1243" s="19" t="s">
        <v>79</v>
      </c>
      <c r="I1243" s="19">
        <v>2</v>
      </c>
      <c r="J1243" s="21">
        <v>33.25</v>
      </c>
      <c r="K1243" s="22">
        <v>0.05</v>
      </c>
      <c r="L1243" s="21">
        <v>63.174999999999997</v>
      </c>
    </row>
    <row r="1244" spans="1:12">
      <c r="A1244" s="19" t="s">
        <v>1314</v>
      </c>
      <c r="B1244" s="20">
        <v>46196</v>
      </c>
      <c r="C1244" s="19" t="s">
        <v>47</v>
      </c>
      <c r="D1244" s="19" t="s">
        <v>41</v>
      </c>
      <c r="E1244" s="19" t="s">
        <v>22</v>
      </c>
      <c r="F1244" s="19" t="s">
        <v>16</v>
      </c>
      <c r="G1244" s="19" t="s">
        <v>17</v>
      </c>
      <c r="H1244" s="19" t="s">
        <v>83</v>
      </c>
      <c r="I1244" s="19">
        <v>1</v>
      </c>
      <c r="J1244" s="21">
        <v>15.3</v>
      </c>
      <c r="K1244" s="22">
        <v>0.08</v>
      </c>
      <c r="L1244" s="21">
        <v>14.076000000000001</v>
      </c>
    </row>
    <row r="1245" spans="1:12">
      <c r="A1245" s="19" t="s">
        <v>1315</v>
      </c>
      <c r="B1245" s="20">
        <v>46188</v>
      </c>
      <c r="C1245" s="19" t="s">
        <v>20</v>
      </c>
      <c r="D1245" s="19" t="s">
        <v>21</v>
      </c>
      <c r="E1245" s="19" t="s">
        <v>22</v>
      </c>
      <c r="F1245" s="19" t="s">
        <v>48</v>
      </c>
      <c r="G1245" s="19" t="s">
        <v>49</v>
      </c>
      <c r="H1245" s="19" t="s">
        <v>25</v>
      </c>
      <c r="I1245" s="19">
        <v>2</v>
      </c>
      <c r="J1245" s="21">
        <v>4200</v>
      </c>
      <c r="K1245" s="22">
        <v>0.05</v>
      </c>
      <c r="L1245" s="21">
        <v>7980</v>
      </c>
    </row>
    <row r="1246" spans="1:12">
      <c r="A1246" s="19" t="s">
        <v>1316</v>
      </c>
      <c r="B1246" s="20">
        <v>46284</v>
      </c>
      <c r="C1246" s="19" t="s">
        <v>31</v>
      </c>
      <c r="D1246" s="19" t="s">
        <v>41</v>
      </c>
      <c r="E1246" s="19" t="s">
        <v>22</v>
      </c>
      <c r="F1246" s="19" t="s">
        <v>23</v>
      </c>
      <c r="G1246" s="19" t="s">
        <v>24</v>
      </c>
      <c r="H1246" s="19" t="s">
        <v>33</v>
      </c>
      <c r="I1246" s="19">
        <v>2</v>
      </c>
      <c r="J1246" s="21">
        <v>93.6</v>
      </c>
      <c r="K1246" s="22">
        <v>0.05</v>
      </c>
      <c r="L1246" s="21">
        <v>177.83999999999997</v>
      </c>
    </row>
    <row r="1247" spans="1:12">
      <c r="A1247" s="19" t="s">
        <v>1317</v>
      </c>
      <c r="B1247" s="20">
        <v>46085</v>
      </c>
      <c r="C1247" s="19" t="s">
        <v>20</v>
      </c>
      <c r="D1247" s="19" t="s">
        <v>21</v>
      </c>
      <c r="E1247" s="19" t="s">
        <v>22</v>
      </c>
      <c r="F1247" s="19" t="s">
        <v>27</v>
      </c>
      <c r="G1247" s="19" t="s">
        <v>155</v>
      </c>
      <c r="H1247" s="19" t="s">
        <v>25</v>
      </c>
      <c r="I1247" s="19">
        <v>1</v>
      </c>
      <c r="J1247" s="21">
        <v>171</v>
      </c>
      <c r="K1247" s="22">
        <v>0.05</v>
      </c>
      <c r="L1247" s="21">
        <v>162.44999999999999</v>
      </c>
    </row>
    <row r="1248" spans="1:12">
      <c r="A1248" s="19" t="s">
        <v>1318</v>
      </c>
      <c r="B1248" s="20">
        <v>46295</v>
      </c>
      <c r="C1248" s="19" t="s">
        <v>20</v>
      </c>
      <c r="D1248" s="19" t="s">
        <v>14</v>
      </c>
      <c r="E1248" s="19" t="s">
        <v>22</v>
      </c>
      <c r="F1248" s="19" t="s">
        <v>23</v>
      </c>
      <c r="G1248" s="19" t="s">
        <v>24</v>
      </c>
      <c r="H1248" s="19" t="s">
        <v>58</v>
      </c>
      <c r="I1248" s="19">
        <v>2</v>
      </c>
      <c r="J1248" s="21">
        <v>90</v>
      </c>
      <c r="K1248" s="22">
        <v>0.1</v>
      </c>
      <c r="L1248" s="21">
        <v>162</v>
      </c>
    </row>
    <row r="1249" spans="1:12">
      <c r="A1249" s="19" t="s">
        <v>1319</v>
      </c>
      <c r="B1249" s="20">
        <v>46316</v>
      </c>
      <c r="C1249" s="19" t="s">
        <v>86</v>
      </c>
      <c r="D1249" s="19" t="s">
        <v>35</v>
      </c>
      <c r="E1249" s="19" t="s">
        <v>15</v>
      </c>
      <c r="F1249" s="19" t="s">
        <v>60</v>
      </c>
      <c r="G1249" s="19" t="s">
        <v>76</v>
      </c>
      <c r="H1249" s="19" t="s">
        <v>102</v>
      </c>
      <c r="I1249" s="19">
        <v>3</v>
      </c>
      <c r="J1249" s="21">
        <v>700</v>
      </c>
      <c r="K1249" s="22">
        <v>0.03</v>
      </c>
      <c r="L1249" s="21">
        <v>2037</v>
      </c>
    </row>
    <row r="1250" spans="1:12">
      <c r="A1250" s="19" t="s">
        <v>1320</v>
      </c>
      <c r="B1250" s="20">
        <v>46172</v>
      </c>
      <c r="C1250" s="19" t="s">
        <v>13</v>
      </c>
      <c r="D1250" s="19" t="s">
        <v>21</v>
      </c>
      <c r="E1250" s="19" t="s">
        <v>22</v>
      </c>
      <c r="F1250" s="19" t="s">
        <v>16</v>
      </c>
      <c r="G1250" s="19" t="s">
        <v>42</v>
      </c>
      <c r="H1250" s="19" t="s">
        <v>18</v>
      </c>
      <c r="I1250" s="19">
        <v>1</v>
      </c>
      <c r="J1250" s="21">
        <v>43.65</v>
      </c>
      <c r="K1250" s="22">
        <v>0</v>
      </c>
      <c r="L1250" s="21">
        <v>43.65</v>
      </c>
    </row>
    <row r="1251" spans="1:12">
      <c r="A1251" s="19" t="s">
        <v>1321</v>
      </c>
      <c r="B1251" s="20">
        <v>46145</v>
      </c>
      <c r="C1251" s="19" t="s">
        <v>86</v>
      </c>
      <c r="D1251" s="19" t="s">
        <v>41</v>
      </c>
      <c r="E1251" s="19" t="s">
        <v>15</v>
      </c>
      <c r="F1251" s="19" t="s">
        <v>16</v>
      </c>
      <c r="G1251" s="19" t="s">
        <v>112</v>
      </c>
      <c r="H1251" s="19" t="s">
        <v>102</v>
      </c>
      <c r="I1251" s="19">
        <v>5</v>
      </c>
      <c r="J1251" s="21">
        <v>65</v>
      </c>
      <c r="K1251" s="22">
        <v>0.05</v>
      </c>
      <c r="L1251" s="21">
        <v>308.75</v>
      </c>
    </row>
    <row r="1252" spans="1:12">
      <c r="A1252" s="19" t="s">
        <v>1322</v>
      </c>
      <c r="B1252" s="20">
        <v>46261</v>
      </c>
      <c r="C1252" s="19" t="s">
        <v>20</v>
      </c>
      <c r="D1252" s="19" t="s">
        <v>14</v>
      </c>
      <c r="E1252" s="19" t="s">
        <v>15</v>
      </c>
      <c r="F1252" s="19" t="s">
        <v>48</v>
      </c>
      <c r="G1252" s="19" t="s">
        <v>99</v>
      </c>
      <c r="H1252" s="19" t="s">
        <v>63</v>
      </c>
      <c r="I1252" s="19">
        <v>3</v>
      </c>
      <c r="J1252" s="21">
        <v>3000</v>
      </c>
      <c r="K1252" s="22">
        <v>0</v>
      </c>
      <c r="L1252" s="21">
        <v>9000</v>
      </c>
    </row>
    <row r="1253" spans="1:12">
      <c r="A1253" s="19" t="s">
        <v>1323</v>
      </c>
      <c r="B1253" s="20">
        <v>46073</v>
      </c>
      <c r="C1253" s="19" t="s">
        <v>86</v>
      </c>
      <c r="D1253" s="19" t="s">
        <v>21</v>
      </c>
      <c r="E1253" s="19" t="s">
        <v>22</v>
      </c>
      <c r="F1253" s="19" t="s">
        <v>23</v>
      </c>
      <c r="G1253" s="19" t="s">
        <v>138</v>
      </c>
      <c r="H1253" s="19" t="s">
        <v>93</v>
      </c>
      <c r="I1253" s="19">
        <v>7</v>
      </c>
      <c r="J1253" s="21">
        <v>60</v>
      </c>
      <c r="K1253" s="22">
        <v>0.08</v>
      </c>
      <c r="L1253" s="21">
        <v>386.40000000000003</v>
      </c>
    </row>
    <row r="1254" spans="1:12">
      <c r="A1254" s="19" t="s">
        <v>1324</v>
      </c>
      <c r="B1254" s="20">
        <v>46360</v>
      </c>
      <c r="C1254" s="19" t="s">
        <v>13</v>
      </c>
      <c r="D1254" s="19" t="s">
        <v>14</v>
      </c>
      <c r="E1254" s="19" t="s">
        <v>22</v>
      </c>
      <c r="F1254" s="19" t="s">
        <v>48</v>
      </c>
      <c r="G1254" s="19" t="s">
        <v>96</v>
      </c>
      <c r="H1254" s="19" t="s">
        <v>29</v>
      </c>
      <c r="I1254" s="19">
        <v>1</v>
      </c>
      <c r="J1254" s="21">
        <v>2375</v>
      </c>
      <c r="K1254" s="22">
        <v>0.2</v>
      </c>
      <c r="L1254" s="21">
        <v>1900</v>
      </c>
    </row>
    <row r="1255" spans="1:12">
      <c r="A1255" s="19" t="s">
        <v>1325</v>
      </c>
      <c r="B1255" s="20">
        <v>46375</v>
      </c>
      <c r="C1255" s="19" t="s">
        <v>20</v>
      </c>
      <c r="D1255" s="19" t="s">
        <v>21</v>
      </c>
      <c r="E1255" s="19" t="s">
        <v>15</v>
      </c>
      <c r="F1255" s="19" t="s">
        <v>60</v>
      </c>
      <c r="G1255" s="19" t="s">
        <v>67</v>
      </c>
      <c r="H1255" s="19" t="s">
        <v>25</v>
      </c>
      <c r="I1255" s="19">
        <v>5</v>
      </c>
      <c r="J1255" s="21">
        <v>1530</v>
      </c>
      <c r="K1255" s="22">
        <v>0.15</v>
      </c>
      <c r="L1255" s="21">
        <v>6502.5</v>
      </c>
    </row>
    <row r="1256" spans="1:12">
      <c r="A1256" s="19" t="s">
        <v>1326</v>
      </c>
      <c r="B1256" s="20">
        <v>46101</v>
      </c>
      <c r="C1256" s="19" t="s">
        <v>86</v>
      </c>
      <c r="D1256" s="19" t="s">
        <v>21</v>
      </c>
      <c r="E1256" s="19" t="s">
        <v>15</v>
      </c>
      <c r="F1256" s="19" t="s">
        <v>27</v>
      </c>
      <c r="G1256" s="19" t="s">
        <v>36</v>
      </c>
      <c r="H1256" s="19" t="s">
        <v>93</v>
      </c>
      <c r="I1256" s="19">
        <v>2</v>
      </c>
      <c r="J1256" s="21">
        <v>765</v>
      </c>
      <c r="K1256" s="22">
        <v>0.08</v>
      </c>
      <c r="L1256" s="21">
        <v>1407.6000000000001</v>
      </c>
    </row>
    <row r="1257" spans="1:12">
      <c r="A1257" s="19" t="s">
        <v>1327</v>
      </c>
      <c r="B1257" s="20">
        <v>46168</v>
      </c>
      <c r="C1257" s="19" t="s">
        <v>20</v>
      </c>
      <c r="D1257" s="19" t="s">
        <v>21</v>
      </c>
      <c r="E1257" s="19" t="s">
        <v>22</v>
      </c>
      <c r="F1257" s="19" t="s">
        <v>27</v>
      </c>
      <c r="G1257" s="19" t="s">
        <v>28</v>
      </c>
      <c r="H1257" s="19" t="s">
        <v>58</v>
      </c>
      <c r="I1257" s="19">
        <v>1</v>
      </c>
      <c r="J1257" s="21">
        <v>20</v>
      </c>
      <c r="K1257" s="22">
        <v>0.03</v>
      </c>
      <c r="L1257" s="21">
        <v>19.399999999999999</v>
      </c>
    </row>
    <row r="1258" spans="1:12">
      <c r="A1258" s="19" t="s">
        <v>1328</v>
      </c>
      <c r="B1258" s="20">
        <v>46327</v>
      </c>
      <c r="C1258" s="19" t="s">
        <v>20</v>
      </c>
      <c r="D1258" s="19" t="s">
        <v>41</v>
      </c>
      <c r="E1258" s="19" t="s">
        <v>15</v>
      </c>
      <c r="F1258" s="19" t="s">
        <v>16</v>
      </c>
      <c r="G1258" s="19" t="s">
        <v>57</v>
      </c>
      <c r="H1258" s="19" t="s">
        <v>25</v>
      </c>
      <c r="I1258" s="19">
        <v>2</v>
      </c>
      <c r="J1258" s="21">
        <v>38</v>
      </c>
      <c r="K1258" s="22">
        <v>0.08</v>
      </c>
      <c r="L1258" s="21">
        <v>69.92</v>
      </c>
    </row>
    <row r="1259" spans="1:12">
      <c r="A1259" s="19" t="s">
        <v>1329</v>
      </c>
      <c r="B1259" s="20">
        <v>46137</v>
      </c>
      <c r="C1259" s="19" t="s">
        <v>13</v>
      </c>
      <c r="D1259" s="19" t="s">
        <v>35</v>
      </c>
      <c r="E1259" s="19" t="s">
        <v>15</v>
      </c>
      <c r="F1259" s="19" t="s">
        <v>16</v>
      </c>
      <c r="G1259" s="19" t="s">
        <v>65</v>
      </c>
      <c r="H1259" s="19" t="s">
        <v>29</v>
      </c>
      <c r="I1259" s="19">
        <v>9</v>
      </c>
      <c r="J1259" s="21">
        <v>76</v>
      </c>
      <c r="K1259" s="22">
        <v>0</v>
      </c>
      <c r="L1259" s="21">
        <v>684</v>
      </c>
    </row>
    <row r="1260" spans="1:12">
      <c r="A1260" s="19" t="s">
        <v>1330</v>
      </c>
      <c r="B1260" s="20">
        <v>46097</v>
      </c>
      <c r="C1260" s="19" t="s">
        <v>86</v>
      </c>
      <c r="D1260" s="19" t="s">
        <v>14</v>
      </c>
      <c r="E1260" s="19" t="s">
        <v>22</v>
      </c>
      <c r="F1260" s="19" t="s">
        <v>23</v>
      </c>
      <c r="G1260" s="19" t="s">
        <v>138</v>
      </c>
      <c r="H1260" s="19" t="s">
        <v>102</v>
      </c>
      <c r="I1260" s="19">
        <v>5</v>
      </c>
      <c r="J1260" s="21">
        <v>61.2</v>
      </c>
      <c r="K1260" s="22">
        <v>0.1</v>
      </c>
      <c r="L1260" s="21">
        <v>275.40000000000003</v>
      </c>
    </row>
    <row r="1261" spans="1:12">
      <c r="A1261" s="19" t="s">
        <v>1331</v>
      </c>
      <c r="B1261" s="20">
        <v>46184</v>
      </c>
      <c r="C1261" s="19" t="s">
        <v>31</v>
      </c>
      <c r="D1261" s="19" t="s">
        <v>14</v>
      </c>
      <c r="E1261" s="19" t="s">
        <v>15</v>
      </c>
      <c r="F1261" s="19" t="s">
        <v>16</v>
      </c>
      <c r="G1261" s="19" t="s">
        <v>57</v>
      </c>
      <c r="H1261" s="19" t="s">
        <v>39</v>
      </c>
      <c r="I1261" s="19">
        <v>1</v>
      </c>
      <c r="J1261" s="21">
        <v>38</v>
      </c>
      <c r="K1261" s="22">
        <v>0.08</v>
      </c>
      <c r="L1261" s="21">
        <v>34.96</v>
      </c>
    </row>
    <row r="1262" spans="1:12">
      <c r="A1262" s="19" t="s">
        <v>1332</v>
      </c>
      <c r="B1262" s="20">
        <v>46075</v>
      </c>
      <c r="C1262" s="19" t="s">
        <v>47</v>
      </c>
      <c r="D1262" s="19" t="s">
        <v>41</v>
      </c>
      <c r="E1262" s="19" t="s">
        <v>22</v>
      </c>
      <c r="F1262" s="19" t="s">
        <v>16</v>
      </c>
      <c r="G1262" s="19" t="s">
        <v>112</v>
      </c>
      <c r="H1262" s="19" t="s">
        <v>50</v>
      </c>
      <c r="I1262" s="19">
        <v>1</v>
      </c>
      <c r="J1262" s="21">
        <v>63.05</v>
      </c>
      <c r="K1262" s="22">
        <v>0.03</v>
      </c>
      <c r="L1262" s="21">
        <v>61.158499999999997</v>
      </c>
    </row>
    <row r="1263" spans="1:12">
      <c r="A1263" s="19" t="s">
        <v>1333</v>
      </c>
      <c r="B1263" s="20">
        <v>46107</v>
      </c>
      <c r="C1263" s="19" t="s">
        <v>31</v>
      </c>
      <c r="D1263" s="19" t="s">
        <v>14</v>
      </c>
      <c r="E1263" s="19" t="s">
        <v>15</v>
      </c>
      <c r="F1263" s="19" t="s">
        <v>23</v>
      </c>
      <c r="G1263" s="19" t="s">
        <v>138</v>
      </c>
      <c r="H1263" s="19" t="s">
        <v>33</v>
      </c>
      <c r="I1263" s="19">
        <v>1</v>
      </c>
      <c r="J1263" s="21">
        <v>58.2</v>
      </c>
      <c r="K1263" s="22">
        <v>0.05</v>
      </c>
      <c r="L1263" s="21">
        <v>55.29</v>
      </c>
    </row>
    <row r="1264" spans="1:12">
      <c r="A1264" s="19" t="s">
        <v>1334</v>
      </c>
      <c r="B1264" s="20">
        <v>46276</v>
      </c>
      <c r="C1264" s="19" t="s">
        <v>47</v>
      </c>
      <c r="D1264" s="19" t="s">
        <v>14</v>
      </c>
      <c r="E1264" s="19" t="s">
        <v>15</v>
      </c>
      <c r="F1264" s="19" t="s">
        <v>23</v>
      </c>
      <c r="G1264" s="19" t="s">
        <v>38</v>
      </c>
      <c r="H1264" s="19" t="s">
        <v>50</v>
      </c>
      <c r="I1264" s="19">
        <v>1</v>
      </c>
      <c r="J1264" s="21">
        <v>310.39999999999998</v>
      </c>
      <c r="K1264" s="22">
        <v>0.08</v>
      </c>
      <c r="L1264" s="21">
        <v>285.56799999999998</v>
      </c>
    </row>
    <row r="1265" spans="1:12">
      <c r="A1265" s="19" t="s">
        <v>1335</v>
      </c>
      <c r="B1265" s="20">
        <v>46048</v>
      </c>
      <c r="C1265" s="19" t="s">
        <v>13</v>
      </c>
      <c r="D1265" s="19" t="s">
        <v>14</v>
      </c>
      <c r="E1265" s="19" t="s">
        <v>22</v>
      </c>
      <c r="F1265" s="19" t="s">
        <v>48</v>
      </c>
      <c r="G1265" s="19" t="s">
        <v>99</v>
      </c>
      <c r="H1265" s="19" t="s">
        <v>29</v>
      </c>
      <c r="I1265" s="19">
        <v>1</v>
      </c>
      <c r="J1265" s="21">
        <v>3000</v>
      </c>
      <c r="K1265" s="22">
        <v>0.03</v>
      </c>
      <c r="L1265" s="21">
        <v>2910</v>
      </c>
    </row>
    <row r="1266" spans="1:12">
      <c r="A1266" s="19" t="s">
        <v>1336</v>
      </c>
      <c r="B1266" s="20">
        <v>46240</v>
      </c>
      <c r="C1266" s="19" t="s">
        <v>20</v>
      </c>
      <c r="D1266" s="19" t="s">
        <v>35</v>
      </c>
      <c r="E1266" s="19" t="s">
        <v>22</v>
      </c>
      <c r="F1266" s="19" t="s">
        <v>27</v>
      </c>
      <c r="G1266" s="19" t="s">
        <v>155</v>
      </c>
      <c r="H1266" s="19" t="s">
        <v>25</v>
      </c>
      <c r="I1266" s="19">
        <v>7</v>
      </c>
      <c r="J1266" s="21">
        <v>180</v>
      </c>
      <c r="K1266" s="22">
        <v>0</v>
      </c>
      <c r="L1266" s="21">
        <v>1260</v>
      </c>
    </row>
    <row r="1267" spans="1:12">
      <c r="A1267" s="19" t="s">
        <v>1337</v>
      </c>
      <c r="B1267" s="20">
        <v>46141</v>
      </c>
      <c r="C1267" s="19" t="s">
        <v>20</v>
      </c>
      <c r="D1267" s="19" t="s">
        <v>41</v>
      </c>
      <c r="E1267" s="19" t="s">
        <v>22</v>
      </c>
      <c r="F1267" s="19" t="s">
        <v>23</v>
      </c>
      <c r="G1267" s="19" t="s">
        <v>52</v>
      </c>
      <c r="H1267" s="19" t="s">
        <v>25</v>
      </c>
      <c r="I1267" s="19">
        <v>1</v>
      </c>
      <c r="J1267" s="21">
        <v>450</v>
      </c>
      <c r="K1267" s="22">
        <v>0.05</v>
      </c>
      <c r="L1267" s="21">
        <v>427.5</v>
      </c>
    </row>
    <row r="1268" spans="1:12">
      <c r="A1268" s="19" t="s">
        <v>1338</v>
      </c>
      <c r="B1268" s="20">
        <v>46102</v>
      </c>
      <c r="C1268" s="19" t="s">
        <v>47</v>
      </c>
      <c r="D1268" s="19" t="s">
        <v>14</v>
      </c>
      <c r="E1268" s="19" t="s">
        <v>22</v>
      </c>
      <c r="F1268" s="19" t="s">
        <v>23</v>
      </c>
      <c r="G1268" s="19" t="s">
        <v>38</v>
      </c>
      <c r="H1268" s="19" t="s">
        <v>50</v>
      </c>
      <c r="I1268" s="19">
        <v>2</v>
      </c>
      <c r="J1268" s="21">
        <v>332.8</v>
      </c>
      <c r="K1268" s="22">
        <v>0.05</v>
      </c>
      <c r="L1268" s="21">
        <v>632.31999999999994</v>
      </c>
    </row>
    <row r="1269" spans="1:12">
      <c r="A1269" s="19" t="s">
        <v>1339</v>
      </c>
      <c r="B1269" s="20">
        <v>46224</v>
      </c>
      <c r="C1269" s="19" t="s">
        <v>47</v>
      </c>
      <c r="D1269" s="19" t="s">
        <v>35</v>
      </c>
      <c r="E1269" s="19" t="s">
        <v>15</v>
      </c>
      <c r="F1269" s="19" t="s">
        <v>48</v>
      </c>
      <c r="G1269" s="19" t="s">
        <v>71</v>
      </c>
      <c r="H1269" s="19" t="s">
        <v>50</v>
      </c>
      <c r="I1269" s="19">
        <v>1</v>
      </c>
      <c r="J1269" s="21">
        <v>3104</v>
      </c>
      <c r="K1269" s="22">
        <v>0.15</v>
      </c>
      <c r="L1269" s="21">
        <v>2638.4</v>
      </c>
    </row>
    <row r="1270" spans="1:12">
      <c r="A1270" s="19" t="s">
        <v>1340</v>
      </c>
      <c r="B1270" s="20">
        <v>46261</v>
      </c>
      <c r="C1270" s="19" t="s">
        <v>20</v>
      </c>
      <c r="D1270" s="19" t="s">
        <v>35</v>
      </c>
      <c r="E1270" s="19" t="s">
        <v>22</v>
      </c>
      <c r="F1270" s="19" t="s">
        <v>60</v>
      </c>
      <c r="G1270" s="19" t="s">
        <v>91</v>
      </c>
      <c r="H1270" s="19" t="s">
        <v>63</v>
      </c>
      <c r="I1270" s="19">
        <v>2</v>
      </c>
      <c r="J1270" s="21">
        <v>591.6</v>
      </c>
      <c r="K1270" s="22">
        <v>0.15</v>
      </c>
      <c r="L1270" s="21">
        <v>1005.72</v>
      </c>
    </row>
    <row r="1271" spans="1:12">
      <c r="A1271" s="19" t="s">
        <v>1341</v>
      </c>
      <c r="B1271" s="20">
        <v>46285</v>
      </c>
      <c r="C1271" s="19" t="s">
        <v>13</v>
      </c>
      <c r="D1271" s="19" t="s">
        <v>14</v>
      </c>
      <c r="E1271" s="19" t="s">
        <v>15</v>
      </c>
      <c r="F1271" s="19" t="s">
        <v>73</v>
      </c>
      <c r="G1271" s="19" t="s">
        <v>145</v>
      </c>
      <c r="H1271" s="19" t="s">
        <v>29</v>
      </c>
      <c r="I1271" s="19">
        <v>4</v>
      </c>
      <c r="J1271" s="21">
        <v>18.36</v>
      </c>
      <c r="K1271" s="22">
        <v>0.05</v>
      </c>
      <c r="L1271" s="21">
        <v>69.768000000000001</v>
      </c>
    </row>
    <row r="1272" spans="1:12">
      <c r="A1272" s="19" t="s">
        <v>1342</v>
      </c>
      <c r="B1272" s="20">
        <v>46128</v>
      </c>
      <c r="C1272" s="19" t="s">
        <v>86</v>
      </c>
      <c r="D1272" s="19" t="s">
        <v>41</v>
      </c>
      <c r="E1272" s="19" t="s">
        <v>15</v>
      </c>
      <c r="F1272" s="19" t="s">
        <v>23</v>
      </c>
      <c r="G1272" s="19" t="s">
        <v>52</v>
      </c>
      <c r="H1272" s="19" t="s">
        <v>102</v>
      </c>
      <c r="I1272" s="19">
        <v>2</v>
      </c>
      <c r="J1272" s="21">
        <v>459</v>
      </c>
      <c r="K1272" s="22">
        <v>0.15</v>
      </c>
      <c r="L1272" s="21">
        <v>780.3</v>
      </c>
    </row>
    <row r="1273" spans="1:12">
      <c r="A1273" s="19" t="s">
        <v>1343</v>
      </c>
      <c r="B1273" s="20">
        <v>46384</v>
      </c>
      <c r="C1273" s="19" t="s">
        <v>47</v>
      </c>
      <c r="D1273" s="19" t="s">
        <v>21</v>
      </c>
      <c r="E1273" s="19" t="s">
        <v>22</v>
      </c>
      <c r="F1273" s="19" t="s">
        <v>60</v>
      </c>
      <c r="G1273" s="19" t="s">
        <v>61</v>
      </c>
      <c r="H1273" s="19" t="s">
        <v>50</v>
      </c>
      <c r="I1273" s="19">
        <v>2</v>
      </c>
      <c r="J1273" s="21">
        <v>850</v>
      </c>
      <c r="K1273" s="22">
        <v>0.08</v>
      </c>
      <c r="L1273" s="21">
        <v>1564</v>
      </c>
    </row>
    <row r="1274" spans="1:12">
      <c r="A1274" s="19" t="s">
        <v>1344</v>
      </c>
      <c r="B1274" s="20">
        <v>46352</v>
      </c>
      <c r="C1274" s="19" t="s">
        <v>86</v>
      </c>
      <c r="D1274" s="19" t="s">
        <v>41</v>
      </c>
      <c r="E1274" s="19" t="s">
        <v>22</v>
      </c>
      <c r="F1274" s="19" t="s">
        <v>48</v>
      </c>
      <c r="G1274" s="19" t="s">
        <v>71</v>
      </c>
      <c r="H1274" s="19" t="s">
        <v>93</v>
      </c>
      <c r="I1274" s="19">
        <v>2</v>
      </c>
      <c r="J1274" s="21">
        <v>3328</v>
      </c>
      <c r="K1274" s="22">
        <v>0.1</v>
      </c>
      <c r="L1274" s="21">
        <v>5990.4000000000005</v>
      </c>
    </row>
    <row r="1275" spans="1:12">
      <c r="A1275" s="19" t="s">
        <v>1345</v>
      </c>
      <c r="B1275" s="20">
        <v>46112</v>
      </c>
      <c r="C1275" s="19" t="s">
        <v>31</v>
      </c>
      <c r="D1275" s="19" t="s">
        <v>14</v>
      </c>
      <c r="E1275" s="19" t="s">
        <v>22</v>
      </c>
      <c r="F1275" s="19" t="s">
        <v>16</v>
      </c>
      <c r="G1275" s="19" t="s">
        <v>57</v>
      </c>
      <c r="H1275" s="19" t="s">
        <v>33</v>
      </c>
      <c r="I1275" s="19">
        <v>1</v>
      </c>
      <c r="J1275" s="21">
        <v>38</v>
      </c>
      <c r="K1275" s="22">
        <v>0.05</v>
      </c>
      <c r="L1275" s="21">
        <v>36.1</v>
      </c>
    </row>
    <row r="1276" spans="1:12">
      <c r="A1276" s="19" t="s">
        <v>1346</v>
      </c>
      <c r="B1276" s="20">
        <v>46354</v>
      </c>
      <c r="C1276" s="19" t="s">
        <v>20</v>
      </c>
      <c r="D1276" s="19" t="s">
        <v>14</v>
      </c>
      <c r="E1276" s="19" t="s">
        <v>22</v>
      </c>
      <c r="F1276" s="19" t="s">
        <v>23</v>
      </c>
      <c r="G1276" s="19" t="s">
        <v>24</v>
      </c>
      <c r="H1276" s="19" t="s">
        <v>58</v>
      </c>
      <c r="I1276" s="19">
        <v>7</v>
      </c>
      <c r="J1276" s="21">
        <v>93.6</v>
      </c>
      <c r="K1276" s="22">
        <v>0.03</v>
      </c>
      <c r="L1276" s="21">
        <v>635.54399999999987</v>
      </c>
    </row>
    <row r="1277" spans="1:12">
      <c r="A1277" s="19" t="s">
        <v>1347</v>
      </c>
      <c r="B1277" s="20">
        <v>46053</v>
      </c>
      <c r="C1277" s="19" t="s">
        <v>31</v>
      </c>
      <c r="D1277" s="19" t="s">
        <v>41</v>
      </c>
      <c r="E1277" s="19" t="s">
        <v>22</v>
      </c>
      <c r="F1277" s="19" t="s">
        <v>23</v>
      </c>
      <c r="G1277" s="19" t="s">
        <v>38</v>
      </c>
      <c r="H1277" s="19" t="s">
        <v>79</v>
      </c>
      <c r="I1277" s="19">
        <v>3</v>
      </c>
      <c r="J1277" s="21">
        <v>320</v>
      </c>
      <c r="K1277" s="22">
        <v>0.08</v>
      </c>
      <c r="L1277" s="21">
        <v>883.2</v>
      </c>
    </row>
    <row r="1278" spans="1:12">
      <c r="A1278" s="19" t="s">
        <v>1348</v>
      </c>
      <c r="B1278" s="20">
        <v>46174</v>
      </c>
      <c r="C1278" s="19" t="s">
        <v>47</v>
      </c>
      <c r="D1278" s="19" t="s">
        <v>21</v>
      </c>
      <c r="E1278" s="19" t="s">
        <v>15</v>
      </c>
      <c r="F1278" s="19" t="s">
        <v>48</v>
      </c>
      <c r="G1278" s="19" t="s">
        <v>99</v>
      </c>
      <c r="H1278" s="19" t="s">
        <v>55</v>
      </c>
      <c r="I1278" s="19">
        <v>1</v>
      </c>
      <c r="J1278" s="21">
        <v>3120</v>
      </c>
      <c r="K1278" s="22">
        <v>0.1</v>
      </c>
      <c r="L1278" s="21">
        <v>2808</v>
      </c>
    </row>
    <row r="1279" spans="1:12">
      <c r="A1279" s="19" t="s">
        <v>1349</v>
      </c>
      <c r="B1279" s="20">
        <v>46136</v>
      </c>
      <c r="C1279" s="19" t="s">
        <v>86</v>
      </c>
      <c r="D1279" s="19" t="s">
        <v>35</v>
      </c>
      <c r="E1279" s="19" t="s">
        <v>15</v>
      </c>
      <c r="F1279" s="19" t="s">
        <v>60</v>
      </c>
      <c r="G1279" s="19" t="s">
        <v>76</v>
      </c>
      <c r="H1279" s="19" t="s">
        <v>93</v>
      </c>
      <c r="I1279" s="19">
        <v>1</v>
      </c>
      <c r="J1279" s="21">
        <v>679</v>
      </c>
      <c r="K1279" s="22">
        <v>0.05</v>
      </c>
      <c r="L1279" s="21">
        <v>645.04999999999995</v>
      </c>
    </row>
    <row r="1280" spans="1:12">
      <c r="A1280" s="19" t="s">
        <v>1350</v>
      </c>
      <c r="B1280" s="20">
        <v>46092</v>
      </c>
      <c r="C1280" s="19" t="s">
        <v>13</v>
      </c>
      <c r="D1280" s="19" t="s">
        <v>41</v>
      </c>
      <c r="E1280" s="19" t="s">
        <v>22</v>
      </c>
      <c r="F1280" s="19" t="s">
        <v>23</v>
      </c>
      <c r="G1280" s="19" t="s">
        <v>24</v>
      </c>
      <c r="H1280" s="19" t="s">
        <v>29</v>
      </c>
      <c r="I1280" s="19">
        <v>3</v>
      </c>
      <c r="J1280" s="21">
        <v>90</v>
      </c>
      <c r="K1280" s="22">
        <v>0.08</v>
      </c>
      <c r="L1280" s="21">
        <v>248.4</v>
      </c>
    </row>
    <row r="1281" spans="1:12">
      <c r="A1281" s="19" t="s">
        <v>1351</v>
      </c>
      <c r="B1281" s="20">
        <v>46294</v>
      </c>
      <c r="C1281" s="19" t="s">
        <v>31</v>
      </c>
      <c r="D1281" s="19" t="s">
        <v>14</v>
      </c>
      <c r="E1281" s="19" t="s">
        <v>22</v>
      </c>
      <c r="F1281" s="19" t="s">
        <v>27</v>
      </c>
      <c r="G1281" s="19" t="s">
        <v>36</v>
      </c>
      <c r="H1281" s="19" t="s">
        <v>39</v>
      </c>
      <c r="I1281" s="19">
        <v>5</v>
      </c>
      <c r="J1281" s="21">
        <v>750</v>
      </c>
      <c r="K1281" s="22">
        <v>0.03</v>
      </c>
      <c r="L1281" s="21">
        <v>3637.5</v>
      </c>
    </row>
    <row r="1282" spans="1:12">
      <c r="A1282" s="19" t="s">
        <v>1352</v>
      </c>
      <c r="B1282" s="20">
        <v>46174</v>
      </c>
      <c r="C1282" s="19" t="s">
        <v>86</v>
      </c>
      <c r="D1282" s="19" t="s">
        <v>41</v>
      </c>
      <c r="E1282" s="19" t="s">
        <v>22</v>
      </c>
      <c r="F1282" s="19" t="s">
        <v>16</v>
      </c>
      <c r="G1282" s="19" t="s">
        <v>57</v>
      </c>
      <c r="H1282" s="19" t="s">
        <v>87</v>
      </c>
      <c r="I1282" s="19">
        <v>3</v>
      </c>
      <c r="J1282" s="21">
        <v>36.86</v>
      </c>
      <c r="K1282" s="22">
        <v>0.08</v>
      </c>
      <c r="L1282" s="21">
        <v>101.73360000000001</v>
      </c>
    </row>
    <row r="1283" spans="1:12">
      <c r="A1283" s="19" t="s">
        <v>1353</v>
      </c>
      <c r="B1283" s="20">
        <v>46127</v>
      </c>
      <c r="C1283" s="19" t="s">
        <v>86</v>
      </c>
      <c r="D1283" s="19" t="s">
        <v>14</v>
      </c>
      <c r="E1283" s="19" t="s">
        <v>22</v>
      </c>
      <c r="F1283" s="19" t="s">
        <v>23</v>
      </c>
      <c r="G1283" s="19" t="s">
        <v>138</v>
      </c>
      <c r="H1283" s="19" t="s">
        <v>93</v>
      </c>
      <c r="I1283" s="19">
        <v>2</v>
      </c>
      <c r="J1283" s="21">
        <v>57</v>
      </c>
      <c r="K1283" s="22">
        <v>0.03</v>
      </c>
      <c r="L1283" s="21">
        <v>110.58</v>
      </c>
    </row>
    <row r="1284" spans="1:12">
      <c r="A1284" s="19" t="s">
        <v>1354</v>
      </c>
      <c r="B1284" s="20">
        <v>46169</v>
      </c>
      <c r="C1284" s="19" t="s">
        <v>13</v>
      </c>
      <c r="D1284" s="19" t="s">
        <v>21</v>
      </c>
      <c r="E1284" s="19" t="s">
        <v>22</v>
      </c>
      <c r="F1284" s="19" t="s">
        <v>27</v>
      </c>
      <c r="G1284" s="19" t="s">
        <v>155</v>
      </c>
      <c r="H1284" s="19" t="s">
        <v>43</v>
      </c>
      <c r="I1284" s="19">
        <v>3</v>
      </c>
      <c r="J1284" s="21">
        <v>183.6</v>
      </c>
      <c r="K1284" s="22">
        <v>0.05</v>
      </c>
      <c r="L1284" s="21">
        <v>523.25999999999988</v>
      </c>
    </row>
    <row r="1285" spans="1:12">
      <c r="A1285" s="19" t="s">
        <v>1355</v>
      </c>
      <c r="B1285" s="20">
        <v>46111</v>
      </c>
      <c r="C1285" s="19" t="s">
        <v>20</v>
      </c>
      <c r="D1285" s="19" t="s">
        <v>14</v>
      </c>
      <c r="E1285" s="19" t="s">
        <v>22</v>
      </c>
      <c r="F1285" s="19" t="s">
        <v>23</v>
      </c>
      <c r="G1285" s="19" t="s">
        <v>38</v>
      </c>
      <c r="H1285" s="19" t="s">
        <v>58</v>
      </c>
      <c r="I1285" s="19">
        <v>1</v>
      </c>
      <c r="J1285" s="21">
        <v>320</v>
      </c>
      <c r="K1285" s="22">
        <v>0.05</v>
      </c>
      <c r="L1285" s="21">
        <v>304</v>
      </c>
    </row>
    <row r="1286" spans="1:12">
      <c r="A1286" s="19" t="s">
        <v>1356</v>
      </c>
      <c r="B1286" s="20">
        <v>46327</v>
      </c>
      <c r="C1286" s="19" t="s">
        <v>86</v>
      </c>
      <c r="D1286" s="19" t="s">
        <v>14</v>
      </c>
      <c r="E1286" s="19" t="s">
        <v>15</v>
      </c>
      <c r="F1286" s="19" t="s">
        <v>16</v>
      </c>
      <c r="G1286" s="19" t="s">
        <v>17</v>
      </c>
      <c r="H1286" s="19" t="s">
        <v>93</v>
      </c>
      <c r="I1286" s="19">
        <v>1</v>
      </c>
      <c r="J1286" s="21">
        <v>15.6</v>
      </c>
      <c r="K1286" s="22">
        <v>0.08</v>
      </c>
      <c r="L1286" s="21">
        <v>14.352</v>
      </c>
    </row>
    <row r="1287" spans="1:12">
      <c r="A1287" s="19" t="s">
        <v>1357</v>
      </c>
      <c r="B1287" s="20">
        <v>46186</v>
      </c>
      <c r="C1287" s="19" t="s">
        <v>20</v>
      </c>
      <c r="D1287" s="19" t="s">
        <v>21</v>
      </c>
      <c r="E1287" s="19" t="s">
        <v>22</v>
      </c>
      <c r="F1287" s="19" t="s">
        <v>16</v>
      </c>
      <c r="G1287" s="19" t="s">
        <v>57</v>
      </c>
      <c r="H1287" s="19" t="s">
        <v>63</v>
      </c>
      <c r="I1287" s="19">
        <v>2</v>
      </c>
      <c r="J1287" s="21">
        <v>40.28</v>
      </c>
      <c r="K1287" s="22">
        <v>0.1</v>
      </c>
      <c r="L1287" s="21">
        <v>72.504000000000005</v>
      </c>
    </row>
    <row r="1288" spans="1:12">
      <c r="A1288" s="19" t="s">
        <v>1358</v>
      </c>
      <c r="B1288" s="20">
        <v>46131</v>
      </c>
      <c r="C1288" s="19" t="s">
        <v>31</v>
      </c>
      <c r="D1288" s="19" t="s">
        <v>41</v>
      </c>
      <c r="E1288" s="19" t="s">
        <v>15</v>
      </c>
      <c r="F1288" s="19" t="s">
        <v>73</v>
      </c>
      <c r="G1288" s="19" t="s">
        <v>74</v>
      </c>
      <c r="H1288" s="19" t="s">
        <v>39</v>
      </c>
      <c r="I1288" s="19">
        <v>2</v>
      </c>
      <c r="J1288" s="21">
        <v>8.48</v>
      </c>
      <c r="K1288" s="22">
        <v>0.05</v>
      </c>
      <c r="L1288" s="21">
        <v>16.111999999999998</v>
      </c>
    </row>
    <row r="1289" spans="1:12">
      <c r="A1289" s="19" t="s">
        <v>1359</v>
      </c>
      <c r="B1289" s="20">
        <v>46143</v>
      </c>
      <c r="C1289" s="19" t="s">
        <v>13</v>
      </c>
      <c r="D1289" s="19" t="s">
        <v>35</v>
      </c>
      <c r="E1289" s="19" t="s">
        <v>22</v>
      </c>
      <c r="F1289" s="19" t="s">
        <v>48</v>
      </c>
      <c r="G1289" s="19" t="s">
        <v>71</v>
      </c>
      <c r="H1289" s="19" t="s">
        <v>18</v>
      </c>
      <c r="I1289" s="19">
        <v>1</v>
      </c>
      <c r="J1289" s="21">
        <v>3200</v>
      </c>
      <c r="K1289" s="22">
        <v>0.1</v>
      </c>
      <c r="L1289" s="21">
        <v>2880</v>
      </c>
    </row>
    <row r="1290" spans="1:12">
      <c r="A1290" s="19" t="s">
        <v>1360</v>
      </c>
      <c r="B1290" s="20">
        <v>46328</v>
      </c>
      <c r="C1290" s="19" t="s">
        <v>13</v>
      </c>
      <c r="D1290" s="19" t="s">
        <v>35</v>
      </c>
      <c r="E1290" s="19" t="s">
        <v>22</v>
      </c>
      <c r="F1290" s="19" t="s">
        <v>27</v>
      </c>
      <c r="G1290" s="19" t="s">
        <v>36</v>
      </c>
      <c r="H1290" s="19" t="s">
        <v>43</v>
      </c>
      <c r="I1290" s="19">
        <v>3</v>
      </c>
      <c r="J1290" s="21">
        <v>750</v>
      </c>
      <c r="K1290" s="22">
        <v>0.03</v>
      </c>
      <c r="L1290" s="21">
        <v>2182.5</v>
      </c>
    </row>
    <row r="1291" spans="1:12">
      <c r="A1291" s="19" t="s">
        <v>1361</v>
      </c>
      <c r="B1291" s="20">
        <v>46137</v>
      </c>
      <c r="C1291" s="19" t="s">
        <v>86</v>
      </c>
      <c r="D1291" s="19" t="s">
        <v>14</v>
      </c>
      <c r="E1291" s="19" t="s">
        <v>15</v>
      </c>
      <c r="F1291" s="19" t="s">
        <v>48</v>
      </c>
      <c r="G1291" s="19" t="s">
        <v>71</v>
      </c>
      <c r="H1291" s="19" t="s">
        <v>102</v>
      </c>
      <c r="I1291" s="19">
        <v>1</v>
      </c>
      <c r="J1291" s="21">
        <v>3392</v>
      </c>
      <c r="K1291" s="22">
        <v>0</v>
      </c>
      <c r="L1291" s="21">
        <v>3392</v>
      </c>
    </row>
    <row r="1292" spans="1:12">
      <c r="A1292" s="19" t="s">
        <v>1362</v>
      </c>
      <c r="B1292" s="20">
        <v>46278</v>
      </c>
      <c r="C1292" s="19" t="s">
        <v>13</v>
      </c>
      <c r="D1292" s="19" t="s">
        <v>21</v>
      </c>
      <c r="E1292" s="19" t="s">
        <v>15</v>
      </c>
      <c r="F1292" s="19" t="s">
        <v>16</v>
      </c>
      <c r="G1292" s="19" t="s">
        <v>112</v>
      </c>
      <c r="H1292" s="19" t="s">
        <v>18</v>
      </c>
      <c r="I1292" s="19">
        <v>4</v>
      </c>
      <c r="J1292" s="21">
        <v>63.05</v>
      </c>
      <c r="K1292" s="22">
        <v>0.1</v>
      </c>
      <c r="L1292" s="21">
        <v>226.98</v>
      </c>
    </row>
    <row r="1293" spans="1:12">
      <c r="A1293" s="19" t="s">
        <v>1363</v>
      </c>
      <c r="B1293" s="20">
        <v>46133</v>
      </c>
      <c r="C1293" s="19" t="s">
        <v>13</v>
      </c>
      <c r="D1293" s="19" t="s">
        <v>14</v>
      </c>
      <c r="E1293" s="19" t="s">
        <v>22</v>
      </c>
      <c r="F1293" s="19" t="s">
        <v>23</v>
      </c>
      <c r="G1293" s="19" t="s">
        <v>24</v>
      </c>
      <c r="H1293" s="19" t="s">
        <v>18</v>
      </c>
      <c r="I1293" s="19">
        <v>1</v>
      </c>
      <c r="J1293" s="21">
        <v>85.5</v>
      </c>
      <c r="K1293" s="22">
        <v>0.1</v>
      </c>
      <c r="L1293" s="21">
        <v>76.95</v>
      </c>
    </row>
    <row r="1294" spans="1:12">
      <c r="A1294" s="19" t="s">
        <v>1364</v>
      </c>
      <c r="B1294" s="20">
        <v>46361</v>
      </c>
      <c r="C1294" s="19" t="s">
        <v>20</v>
      </c>
      <c r="D1294" s="19" t="s">
        <v>14</v>
      </c>
      <c r="E1294" s="19" t="s">
        <v>22</v>
      </c>
      <c r="F1294" s="19" t="s">
        <v>23</v>
      </c>
      <c r="G1294" s="19" t="s">
        <v>52</v>
      </c>
      <c r="H1294" s="19" t="s">
        <v>58</v>
      </c>
      <c r="I1294" s="19">
        <v>3</v>
      </c>
      <c r="J1294" s="21">
        <v>450</v>
      </c>
      <c r="K1294" s="22">
        <v>0.1</v>
      </c>
      <c r="L1294" s="21">
        <v>1215</v>
      </c>
    </row>
    <row r="1295" spans="1:12">
      <c r="A1295" s="19" t="s">
        <v>1365</v>
      </c>
      <c r="B1295" s="20">
        <v>46176</v>
      </c>
      <c r="C1295" s="19" t="s">
        <v>31</v>
      </c>
      <c r="D1295" s="19" t="s">
        <v>21</v>
      </c>
      <c r="E1295" s="19" t="s">
        <v>15</v>
      </c>
      <c r="F1295" s="19" t="s">
        <v>60</v>
      </c>
      <c r="G1295" s="19" t="s">
        <v>91</v>
      </c>
      <c r="H1295" s="19" t="s">
        <v>33</v>
      </c>
      <c r="I1295" s="19">
        <v>2</v>
      </c>
      <c r="J1295" s="21">
        <v>591.6</v>
      </c>
      <c r="K1295" s="22">
        <v>0.1</v>
      </c>
      <c r="L1295" s="21">
        <v>1064.8800000000001</v>
      </c>
    </row>
    <row r="1296" spans="1:12">
      <c r="A1296" s="19" t="s">
        <v>1366</v>
      </c>
      <c r="B1296" s="20">
        <v>46230</v>
      </c>
      <c r="C1296" s="19" t="s">
        <v>31</v>
      </c>
      <c r="D1296" s="19" t="s">
        <v>14</v>
      </c>
      <c r="E1296" s="19" t="s">
        <v>22</v>
      </c>
      <c r="F1296" s="19" t="s">
        <v>27</v>
      </c>
      <c r="G1296" s="19" t="s">
        <v>28</v>
      </c>
      <c r="H1296" s="19" t="s">
        <v>79</v>
      </c>
      <c r="I1296" s="19">
        <v>3</v>
      </c>
      <c r="J1296" s="21">
        <v>20</v>
      </c>
      <c r="K1296" s="22">
        <v>0.05</v>
      </c>
      <c r="L1296" s="21">
        <v>57</v>
      </c>
    </row>
    <row r="1297" spans="1:12">
      <c r="A1297" s="19" t="s">
        <v>1367</v>
      </c>
      <c r="B1297" s="20">
        <v>46351</v>
      </c>
      <c r="C1297" s="19" t="s">
        <v>20</v>
      </c>
      <c r="D1297" s="19" t="s">
        <v>14</v>
      </c>
      <c r="E1297" s="19" t="s">
        <v>15</v>
      </c>
      <c r="F1297" s="19" t="s">
        <v>16</v>
      </c>
      <c r="G1297" s="19" t="s">
        <v>42</v>
      </c>
      <c r="H1297" s="19" t="s">
        <v>58</v>
      </c>
      <c r="I1297" s="19">
        <v>2</v>
      </c>
      <c r="J1297" s="21">
        <v>45</v>
      </c>
      <c r="K1297" s="22">
        <v>0.08</v>
      </c>
      <c r="L1297" s="21">
        <v>82.8</v>
      </c>
    </row>
    <row r="1298" spans="1:12">
      <c r="A1298" s="19" t="s">
        <v>1368</v>
      </c>
      <c r="B1298" s="20">
        <v>46290</v>
      </c>
      <c r="C1298" s="19" t="s">
        <v>86</v>
      </c>
      <c r="D1298" s="19" t="s">
        <v>14</v>
      </c>
      <c r="E1298" s="19" t="s">
        <v>15</v>
      </c>
      <c r="F1298" s="19" t="s">
        <v>73</v>
      </c>
      <c r="G1298" s="19" t="s">
        <v>81</v>
      </c>
      <c r="H1298" s="19" t="s">
        <v>102</v>
      </c>
      <c r="I1298" s="19">
        <v>4</v>
      </c>
      <c r="J1298" s="21">
        <v>12</v>
      </c>
      <c r="K1298" s="22">
        <v>0.08</v>
      </c>
      <c r="L1298" s="21">
        <v>44.160000000000004</v>
      </c>
    </row>
    <row r="1299" spans="1:12">
      <c r="A1299" s="19" t="s">
        <v>1369</v>
      </c>
      <c r="B1299" s="20">
        <v>46348</v>
      </c>
      <c r="C1299" s="19" t="s">
        <v>31</v>
      </c>
      <c r="D1299" s="19" t="s">
        <v>21</v>
      </c>
      <c r="E1299" s="19" t="s">
        <v>15</v>
      </c>
      <c r="F1299" s="19" t="s">
        <v>60</v>
      </c>
      <c r="G1299" s="19" t="s">
        <v>61</v>
      </c>
      <c r="H1299" s="19" t="s">
        <v>79</v>
      </c>
      <c r="I1299" s="19">
        <v>1</v>
      </c>
      <c r="J1299" s="21">
        <v>850</v>
      </c>
      <c r="K1299" s="22">
        <v>0</v>
      </c>
      <c r="L1299" s="21">
        <v>850</v>
      </c>
    </row>
    <row r="1300" spans="1:12">
      <c r="A1300" s="19" t="s">
        <v>1370</v>
      </c>
      <c r="B1300" s="20">
        <v>46087</v>
      </c>
      <c r="C1300" s="19" t="s">
        <v>47</v>
      </c>
      <c r="D1300" s="19" t="s">
        <v>14</v>
      </c>
      <c r="E1300" s="19" t="s">
        <v>22</v>
      </c>
      <c r="F1300" s="19" t="s">
        <v>48</v>
      </c>
      <c r="G1300" s="19" t="s">
        <v>54</v>
      </c>
      <c r="H1300" s="19" t="s">
        <v>50</v>
      </c>
      <c r="I1300" s="19">
        <v>4</v>
      </c>
      <c r="J1300" s="21">
        <v>1908</v>
      </c>
      <c r="K1300" s="22">
        <v>0.08</v>
      </c>
      <c r="L1300" s="21">
        <v>7021.4400000000005</v>
      </c>
    </row>
    <row r="1301" spans="1:12">
      <c r="A1301" s="19" t="s">
        <v>1371</v>
      </c>
      <c r="B1301" s="20">
        <v>46372</v>
      </c>
      <c r="C1301" s="19" t="s">
        <v>20</v>
      </c>
      <c r="D1301" s="19" t="s">
        <v>14</v>
      </c>
      <c r="E1301" s="19" t="s">
        <v>22</v>
      </c>
      <c r="F1301" s="19" t="s">
        <v>73</v>
      </c>
      <c r="G1301" s="19" t="s">
        <v>81</v>
      </c>
      <c r="H1301" s="19" t="s">
        <v>25</v>
      </c>
      <c r="I1301" s="19">
        <v>3</v>
      </c>
      <c r="J1301" s="21">
        <v>11.64</v>
      </c>
      <c r="K1301" s="22">
        <v>0.15</v>
      </c>
      <c r="L1301" s="21">
        <v>29.682000000000002</v>
      </c>
    </row>
    <row r="1302" spans="1:12">
      <c r="A1302" s="19" t="s">
        <v>1372</v>
      </c>
      <c r="B1302" s="20">
        <v>46262</v>
      </c>
      <c r="C1302" s="19" t="s">
        <v>31</v>
      </c>
      <c r="D1302" s="19" t="s">
        <v>14</v>
      </c>
      <c r="E1302" s="19" t="s">
        <v>15</v>
      </c>
      <c r="F1302" s="19" t="s">
        <v>60</v>
      </c>
      <c r="G1302" s="19" t="s">
        <v>61</v>
      </c>
      <c r="H1302" s="19" t="s">
        <v>79</v>
      </c>
      <c r="I1302" s="19">
        <v>1</v>
      </c>
      <c r="J1302" s="21">
        <v>824.5</v>
      </c>
      <c r="K1302" s="22">
        <v>0</v>
      </c>
      <c r="L1302" s="21">
        <v>824.5</v>
      </c>
    </row>
    <row r="1303" spans="1:12">
      <c r="A1303" s="19" t="s">
        <v>1373</v>
      </c>
      <c r="B1303" s="20">
        <v>46380</v>
      </c>
      <c r="C1303" s="19" t="s">
        <v>47</v>
      </c>
      <c r="D1303" s="19" t="s">
        <v>14</v>
      </c>
      <c r="E1303" s="19" t="s">
        <v>22</v>
      </c>
      <c r="F1303" s="19" t="s">
        <v>16</v>
      </c>
      <c r="G1303" s="19" t="s">
        <v>42</v>
      </c>
      <c r="H1303" s="19" t="s">
        <v>50</v>
      </c>
      <c r="I1303" s="19">
        <v>2</v>
      </c>
      <c r="J1303" s="21">
        <v>43.65</v>
      </c>
      <c r="K1303" s="22">
        <v>0.05</v>
      </c>
      <c r="L1303" s="21">
        <v>82.934999999999988</v>
      </c>
    </row>
    <row r="1304" spans="1:12">
      <c r="A1304" s="19" t="s">
        <v>1374</v>
      </c>
      <c r="B1304" s="20">
        <v>46074</v>
      </c>
      <c r="C1304" s="19" t="s">
        <v>13</v>
      </c>
      <c r="D1304" s="19" t="s">
        <v>35</v>
      </c>
      <c r="E1304" s="19" t="s">
        <v>15</v>
      </c>
      <c r="F1304" s="19" t="s">
        <v>27</v>
      </c>
      <c r="G1304" s="19" t="s">
        <v>155</v>
      </c>
      <c r="H1304" s="19" t="s">
        <v>18</v>
      </c>
      <c r="I1304" s="19">
        <v>2</v>
      </c>
      <c r="J1304" s="21">
        <v>180</v>
      </c>
      <c r="K1304" s="22">
        <v>0</v>
      </c>
      <c r="L1304" s="21">
        <v>360</v>
      </c>
    </row>
    <row r="1305" spans="1:12">
      <c r="A1305" s="19" t="s">
        <v>1375</v>
      </c>
      <c r="B1305" s="20">
        <v>46202</v>
      </c>
      <c r="C1305" s="19" t="s">
        <v>20</v>
      </c>
      <c r="D1305" s="19" t="s">
        <v>21</v>
      </c>
      <c r="E1305" s="19" t="s">
        <v>15</v>
      </c>
      <c r="F1305" s="19" t="s">
        <v>23</v>
      </c>
      <c r="G1305" s="19" t="s">
        <v>24</v>
      </c>
      <c r="H1305" s="19" t="s">
        <v>25</v>
      </c>
      <c r="I1305" s="19">
        <v>4</v>
      </c>
      <c r="J1305" s="21">
        <v>87.3</v>
      </c>
      <c r="K1305" s="22">
        <v>0.03</v>
      </c>
      <c r="L1305" s="21">
        <v>338.72399999999999</v>
      </c>
    </row>
    <row r="1306" spans="1:12">
      <c r="A1306" s="19" t="s">
        <v>1376</v>
      </c>
      <c r="B1306" s="20">
        <v>46186</v>
      </c>
      <c r="C1306" s="19" t="s">
        <v>31</v>
      </c>
      <c r="D1306" s="19" t="s">
        <v>21</v>
      </c>
      <c r="E1306" s="19" t="s">
        <v>22</v>
      </c>
      <c r="F1306" s="19" t="s">
        <v>48</v>
      </c>
      <c r="G1306" s="19" t="s">
        <v>71</v>
      </c>
      <c r="H1306" s="19" t="s">
        <v>33</v>
      </c>
      <c r="I1306" s="19">
        <v>1</v>
      </c>
      <c r="J1306" s="21">
        <v>3040</v>
      </c>
      <c r="K1306" s="22">
        <v>0.2</v>
      </c>
      <c r="L1306" s="21">
        <v>2432</v>
      </c>
    </row>
    <row r="1307" spans="1:12">
      <c r="A1307" s="19" t="s">
        <v>1377</v>
      </c>
      <c r="B1307" s="20">
        <v>46289</v>
      </c>
      <c r="C1307" s="19" t="s">
        <v>20</v>
      </c>
      <c r="D1307" s="19" t="s">
        <v>41</v>
      </c>
      <c r="E1307" s="19" t="s">
        <v>15</v>
      </c>
      <c r="F1307" s="19" t="s">
        <v>16</v>
      </c>
      <c r="G1307" s="19" t="s">
        <v>112</v>
      </c>
      <c r="H1307" s="19" t="s">
        <v>58</v>
      </c>
      <c r="I1307" s="19">
        <v>4</v>
      </c>
      <c r="J1307" s="21">
        <v>65</v>
      </c>
      <c r="K1307" s="22">
        <v>0.15</v>
      </c>
      <c r="L1307" s="21">
        <v>221</v>
      </c>
    </row>
    <row r="1308" spans="1:12">
      <c r="A1308" s="19" t="s">
        <v>1378</v>
      </c>
      <c r="B1308" s="20">
        <v>46041</v>
      </c>
      <c r="C1308" s="19" t="s">
        <v>47</v>
      </c>
      <c r="D1308" s="19" t="s">
        <v>21</v>
      </c>
      <c r="E1308" s="19" t="s">
        <v>22</v>
      </c>
      <c r="F1308" s="19" t="s">
        <v>60</v>
      </c>
      <c r="G1308" s="19" t="s">
        <v>61</v>
      </c>
      <c r="H1308" s="19" t="s">
        <v>83</v>
      </c>
      <c r="I1308" s="19">
        <v>1</v>
      </c>
      <c r="J1308" s="21">
        <v>807.5</v>
      </c>
      <c r="K1308" s="22">
        <v>0</v>
      </c>
      <c r="L1308" s="21">
        <v>807.5</v>
      </c>
    </row>
    <row r="1309" spans="1:12">
      <c r="A1309" s="19" t="s">
        <v>1379</v>
      </c>
      <c r="B1309" s="20">
        <v>46189</v>
      </c>
      <c r="C1309" s="19" t="s">
        <v>20</v>
      </c>
      <c r="D1309" s="19" t="s">
        <v>14</v>
      </c>
      <c r="E1309" s="19" t="s">
        <v>22</v>
      </c>
      <c r="F1309" s="19" t="s">
        <v>23</v>
      </c>
      <c r="G1309" s="19" t="s">
        <v>38</v>
      </c>
      <c r="H1309" s="19" t="s">
        <v>25</v>
      </c>
      <c r="I1309" s="19">
        <v>4</v>
      </c>
      <c r="J1309" s="21">
        <v>326.39999999999998</v>
      </c>
      <c r="K1309" s="22">
        <v>0.05</v>
      </c>
      <c r="L1309" s="21">
        <v>1240.32</v>
      </c>
    </row>
    <row r="1310" spans="1:12">
      <c r="A1310" s="19" t="s">
        <v>1380</v>
      </c>
      <c r="B1310" s="20">
        <v>46246</v>
      </c>
      <c r="C1310" s="19" t="s">
        <v>20</v>
      </c>
      <c r="D1310" s="19" t="s">
        <v>14</v>
      </c>
      <c r="E1310" s="19" t="s">
        <v>15</v>
      </c>
      <c r="F1310" s="19" t="s">
        <v>73</v>
      </c>
      <c r="G1310" s="19" t="s">
        <v>145</v>
      </c>
      <c r="H1310" s="19" t="s">
        <v>58</v>
      </c>
      <c r="I1310" s="19">
        <v>2</v>
      </c>
      <c r="J1310" s="21">
        <v>18.72</v>
      </c>
      <c r="K1310" s="22">
        <v>0.03</v>
      </c>
      <c r="L1310" s="21">
        <v>36.316799999999994</v>
      </c>
    </row>
    <row r="1311" spans="1:12">
      <c r="A1311" s="19" t="s">
        <v>1381</v>
      </c>
      <c r="B1311" s="20">
        <v>46117</v>
      </c>
      <c r="C1311" s="19" t="s">
        <v>86</v>
      </c>
      <c r="D1311" s="19" t="s">
        <v>14</v>
      </c>
      <c r="E1311" s="19" t="s">
        <v>22</v>
      </c>
      <c r="F1311" s="19" t="s">
        <v>23</v>
      </c>
      <c r="G1311" s="19" t="s">
        <v>38</v>
      </c>
      <c r="H1311" s="19" t="s">
        <v>87</v>
      </c>
      <c r="I1311" s="19">
        <v>2</v>
      </c>
      <c r="J1311" s="21">
        <v>304</v>
      </c>
      <c r="K1311" s="22">
        <v>0.15</v>
      </c>
      <c r="L1311" s="21">
        <v>516.79999999999995</v>
      </c>
    </row>
    <row r="1312" spans="1:12">
      <c r="A1312" s="19" t="s">
        <v>1382</v>
      </c>
      <c r="B1312" s="20">
        <v>46092</v>
      </c>
      <c r="C1312" s="19" t="s">
        <v>20</v>
      </c>
      <c r="D1312" s="19" t="s">
        <v>41</v>
      </c>
      <c r="E1312" s="19" t="s">
        <v>15</v>
      </c>
      <c r="F1312" s="19" t="s">
        <v>73</v>
      </c>
      <c r="G1312" s="19" t="s">
        <v>81</v>
      </c>
      <c r="H1312" s="19" t="s">
        <v>63</v>
      </c>
      <c r="I1312" s="19">
        <v>5</v>
      </c>
      <c r="J1312" s="21">
        <v>12</v>
      </c>
      <c r="K1312" s="22">
        <v>0.05</v>
      </c>
      <c r="L1312" s="21">
        <v>57</v>
      </c>
    </row>
    <row r="1313" spans="1:12">
      <c r="A1313" s="19" t="s">
        <v>1383</v>
      </c>
      <c r="B1313" s="20">
        <v>46343</v>
      </c>
      <c r="C1313" s="19" t="s">
        <v>20</v>
      </c>
      <c r="D1313" s="19" t="s">
        <v>21</v>
      </c>
      <c r="E1313" s="19" t="s">
        <v>22</v>
      </c>
      <c r="F1313" s="19" t="s">
        <v>48</v>
      </c>
      <c r="G1313" s="19" t="s">
        <v>99</v>
      </c>
      <c r="H1313" s="19" t="s">
        <v>63</v>
      </c>
      <c r="I1313" s="19">
        <v>2</v>
      </c>
      <c r="J1313" s="21">
        <v>3000</v>
      </c>
      <c r="K1313" s="22">
        <v>0.1</v>
      </c>
      <c r="L1313" s="21">
        <v>5400</v>
      </c>
    </row>
    <row r="1314" spans="1:12">
      <c r="A1314" s="19" t="s">
        <v>1384</v>
      </c>
      <c r="B1314" s="20">
        <v>46214</v>
      </c>
      <c r="C1314" s="19" t="s">
        <v>13</v>
      </c>
      <c r="D1314" s="19" t="s">
        <v>35</v>
      </c>
      <c r="E1314" s="19" t="s">
        <v>22</v>
      </c>
      <c r="F1314" s="19" t="s">
        <v>60</v>
      </c>
      <c r="G1314" s="19" t="s">
        <v>76</v>
      </c>
      <c r="H1314" s="19" t="s">
        <v>43</v>
      </c>
      <c r="I1314" s="19">
        <v>2</v>
      </c>
      <c r="J1314" s="21">
        <v>700</v>
      </c>
      <c r="K1314" s="22">
        <v>0.1</v>
      </c>
      <c r="L1314" s="21">
        <v>1260</v>
      </c>
    </row>
    <row r="1315" spans="1:12">
      <c r="A1315" s="19" t="s">
        <v>1385</v>
      </c>
      <c r="B1315" s="20">
        <v>46299</v>
      </c>
      <c r="C1315" s="19" t="s">
        <v>31</v>
      </c>
      <c r="D1315" s="19" t="s">
        <v>35</v>
      </c>
      <c r="E1315" s="19" t="s">
        <v>15</v>
      </c>
      <c r="F1315" s="19" t="s">
        <v>23</v>
      </c>
      <c r="G1315" s="19" t="s">
        <v>38</v>
      </c>
      <c r="H1315" s="19" t="s">
        <v>79</v>
      </c>
      <c r="I1315" s="19">
        <v>12</v>
      </c>
      <c r="J1315" s="21">
        <v>304</v>
      </c>
      <c r="K1315" s="22">
        <v>0.2</v>
      </c>
      <c r="L1315" s="21">
        <v>2918.4</v>
      </c>
    </row>
    <row r="1316" spans="1:12">
      <c r="A1316" s="19" t="s">
        <v>1386</v>
      </c>
      <c r="B1316" s="20">
        <v>46233</v>
      </c>
      <c r="C1316" s="19" t="s">
        <v>31</v>
      </c>
      <c r="D1316" s="19" t="s">
        <v>41</v>
      </c>
      <c r="E1316" s="19" t="s">
        <v>15</v>
      </c>
      <c r="F1316" s="19" t="s">
        <v>48</v>
      </c>
      <c r="G1316" s="19" t="s">
        <v>96</v>
      </c>
      <c r="H1316" s="19" t="s">
        <v>79</v>
      </c>
      <c r="I1316" s="19">
        <v>3</v>
      </c>
      <c r="J1316" s="21">
        <v>2425</v>
      </c>
      <c r="K1316" s="22">
        <v>0.03</v>
      </c>
      <c r="L1316" s="21">
        <v>7056.75</v>
      </c>
    </row>
    <row r="1317" spans="1:12">
      <c r="A1317" s="19" t="s">
        <v>1387</v>
      </c>
      <c r="B1317" s="20">
        <v>46026</v>
      </c>
      <c r="C1317" s="19" t="s">
        <v>31</v>
      </c>
      <c r="D1317" s="19" t="s">
        <v>41</v>
      </c>
      <c r="E1317" s="19" t="s">
        <v>22</v>
      </c>
      <c r="F1317" s="19" t="s">
        <v>16</v>
      </c>
      <c r="G1317" s="19" t="s">
        <v>69</v>
      </c>
      <c r="H1317" s="19" t="s">
        <v>33</v>
      </c>
      <c r="I1317" s="19">
        <v>2</v>
      </c>
      <c r="J1317" s="21">
        <v>53.35</v>
      </c>
      <c r="K1317" s="22">
        <v>0.05</v>
      </c>
      <c r="L1317" s="21">
        <v>101.36499999999999</v>
      </c>
    </row>
    <row r="1318" spans="1:12">
      <c r="A1318" s="19" t="s">
        <v>1388</v>
      </c>
      <c r="B1318" s="20">
        <v>46042</v>
      </c>
      <c r="C1318" s="19" t="s">
        <v>86</v>
      </c>
      <c r="D1318" s="19" t="s">
        <v>21</v>
      </c>
      <c r="E1318" s="19" t="s">
        <v>15</v>
      </c>
      <c r="F1318" s="19" t="s">
        <v>60</v>
      </c>
      <c r="G1318" s="19" t="s">
        <v>76</v>
      </c>
      <c r="H1318" s="19" t="s">
        <v>102</v>
      </c>
      <c r="I1318" s="19">
        <v>2</v>
      </c>
      <c r="J1318" s="21">
        <v>665</v>
      </c>
      <c r="K1318" s="22">
        <v>0.2</v>
      </c>
      <c r="L1318" s="21">
        <v>1064</v>
      </c>
    </row>
    <row r="1319" spans="1:12">
      <c r="A1319" s="19" t="s">
        <v>1389</v>
      </c>
      <c r="B1319" s="20">
        <v>46143</v>
      </c>
      <c r="C1319" s="19" t="s">
        <v>86</v>
      </c>
      <c r="D1319" s="19" t="s">
        <v>21</v>
      </c>
      <c r="E1319" s="19" t="s">
        <v>22</v>
      </c>
      <c r="F1319" s="19" t="s">
        <v>73</v>
      </c>
      <c r="G1319" s="19" t="s">
        <v>127</v>
      </c>
      <c r="H1319" s="19" t="s">
        <v>102</v>
      </c>
      <c r="I1319" s="19">
        <v>4</v>
      </c>
      <c r="J1319" s="21">
        <v>26</v>
      </c>
      <c r="K1319" s="22">
        <v>0.08</v>
      </c>
      <c r="L1319" s="21">
        <v>95.68</v>
      </c>
    </row>
    <row r="1320" spans="1:12">
      <c r="A1320" s="19" t="s">
        <v>1390</v>
      </c>
      <c r="B1320" s="20">
        <v>46378</v>
      </c>
      <c r="C1320" s="19" t="s">
        <v>20</v>
      </c>
      <c r="D1320" s="19" t="s">
        <v>14</v>
      </c>
      <c r="E1320" s="19" t="s">
        <v>15</v>
      </c>
      <c r="F1320" s="19" t="s">
        <v>60</v>
      </c>
      <c r="G1320" s="19" t="s">
        <v>91</v>
      </c>
      <c r="H1320" s="19" t="s">
        <v>25</v>
      </c>
      <c r="I1320" s="19">
        <v>1</v>
      </c>
      <c r="J1320" s="21">
        <v>614.79999999999995</v>
      </c>
      <c r="K1320" s="22">
        <v>0.03</v>
      </c>
      <c r="L1320" s="21">
        <v>596.35599999999999</v>
      </c>
    </row>
    <row r="1321" spans="1:12">
      <c r="A1321" s="19" t="s">
        <v>1391</v>
      </c>
      <c r="B1321" s="20">
        <v>46318</v>
      </c>
      <c r="C1321" s="19" t="s">
        <v>13</v>
      </c>
      <c r="D1321" s="19" t="s">
        <v>14</v>
      </c>
      <c r="E1321" s="19" t="s">
        <v>22</v>
      </c>
      <c r="F1321" s="19" t="s">
        <v>48</v>
      </c>
      <c r="G1321" s="19" t="s">
        <v>99</v>
      </c>
      <c r="H1321" s="19" t="s">
        <v>43</v>
      </c>
      <c r="I1321" s="19">
        <v>1</v>
      </c>
      <c r="J1321" s="21">
        <v>3180</v>
      </c>
      <c r="K1321" s="22">
        <v>0.03</v>
      </c>
      <c r="L1321" s="21">
        <v>3084.6</v>
      </c>
    </row>
    <row r="1322" spans="1:12">
      <c r="A1322" s="19" t="s">
        <v>1392</v>
      </c>
      <c r="B1322" s="20">
        <v>46333</v>
      </c>
      <c r="C1322" s="19" t="s">
        <v>20</v>
      </c>
      <c r="D1322" s="19" t="s">
        <v>14</v>
      </c>
      <c r="E1322" s="19" t="s">
        <v>22</v>
      </c>
      <c r="F1322" s="19" t="s">
        <v>60</v>
      </c>
      <c r="G1322" s="19" t="s">
        <v>91</v>
      </c>
      <c r="H1322" s="19" t="s">
        <v>63</v>
      </c>
      <c r="I1322" s="19">
        <v>1</v>
      </c>
      <c r="J1322" s="21">
        <v>614.79999999999995</v>
      </c>
      <c r="K1322" s="22">
        <v>0.05</v>
      </c>
      <c r="L1322" s="21">
        <v>584.05999999999995</v>
      </c>
    </row>
    <row r="1323" spans="1:12">
      <c r="A1323" s="19" t="s">
        <v>1393</v>
      </c>
      <c r="B1323" s="20">
        <v>46278</v>
      </c>
      <c r="C1323" s="19" t="s">
        <v>47</v>
      </c>
      <c r="D1323" s="19" t="s">
        <v>21</v>
      </c>
      <c r="E1323" s="19" t="s">
        <v>22</v>
      </c>
      <c r="F1323" s="19" t="s">
        <v>48</v>
      </c>
      <c r="G1323" s="19" t="s">
        <v>71</v>
      </c>
      <c r="H1323" s="19" t="s">
        <v>50</v>
      </c>
      <c r="I1323" s="19">
        <v>1</v>
      </c>
      <c r="J1323" s="21">
        <v>3392</v>
      </c>
      <c r="K1323" s="22">
        <v>0.05</v>
      </c>
      <c r="L1323" s="21">
        <v>3222.3999999999996</v>
      </c>
    </row>
    <row r="1324" spans="1:12">
      <c r="A1324" s="19" t="s">
        <v>1394</v>
      </c>
      <c r="B1324" s="20">
        <v>46042</v>
      </c>
      <c r="C1324" s="19" t="s">
        <v>86</v>
      </c>
      <c r="D1324" s="19" t="s">
        <v>14</v>
      </c>
      <c r="E1324" s="19" t="s">
        <v>15</v>
      </c>
      <c r="F1324" s="19" t="s">
        <v>73</v>
      </c>
      <c r="G1324" s="19" t="s">
        <v>81</v>
      </c>
      <c r="H1324" s="19" t="s">
        <v>87</v>
      </c>
      <c r="I1324" s="19">
        <v>2</v>
      </c>
      <c r="J1324" s="21">
        <v>12.72</v>
      </c>
      <c r="K1324" s="22">
        <v>0</v>
      </c>
      <c r="L1324" s="21">
        <v>25.44</v>
      </c>
    </row>
    <row r="1325" spans="1:12">
      <c r="A1325" s="19" t="s">
        <v>1395</v>
      </c>
      <c r="B1325" s="20">
        <v>46355</v>
      </c>
      <c r="C1325" s="19" t="s">
        <v>31</v>
      </c>
      <c r="D1325" s="19" t="s">
        <v>14</v>
      </c>
      <c r="E1325" s="19" t="s">
        <v>15</v>
      </c>
      <c r="F1325" s="19" t="s">
        <v>16</v>
      </c>
      <c r="G1325" s="19" t="s">
        <v>17</v>
      </c>
      <c r="H1325" s="19" t="s">
        <v>39</v>
      </c>
      <c r="I1325" s="19">
        <v>1</v>
      </c>
      <c r="J1325" s="21">
        <v>15.9</v>
      </c>
      <c r="K1325" s="22">
        <v>0.08</v>
      </c>
      <c r="L1325" s="21">
        <v>14.628</v>
      </c>
    </row>
    <row r="1326" spans="1:12">
      <c r="A1326" s="19" t="s">
        <v>1396</v>
      </c>
      <c r="B1326" s="20">
        <v>46360</v>
      </c>
      <c r="C1326" s="19" t="s">
        <v>31</v>
      </c>
      <c r="D1326" s="19" t="s">
        <v>14</v>
      </c>
      <c r="E1326" s="19" t="s">
        <v>22</v>
      </c>
      <c r="F1326" s="19" t="s">
        <v>27</v>
      </c>
      <c r="G1326" s="19" t="s">
        <v>32</v>
      </c>
      <c r="H1326" s="19" t="s">
        <v>33</v>
      </c>
      <c r="I1326" s="19">
        <v>3</v>
      </c>
      <c r="J1326" s="21">
        <v>296.8</v>
      </c>
      <c r="K1326" s="22">
        <v>0.15</v>
      </c>
      <c r="L1326" s="21">
        <v>756.84</v>
      </c>
    </row>
    <row r="1327" spans="1:12">
      <c r="A1327" s="19" t="s">
        <v>1397</v>
      </c>
      <c r="B1327" s="20">
        <v>46039</v>
      </c>
      <c r="C1327" s="19" t="s">
        <v>47</v>
      </c>
      <c r="D1327" s="19" t="s">
        <v>14</v>
      </c>
      <c r="E1327" s="19" t="s">
        <v>22</v>
      </c>
      <c r="F1327" s="19" t="s">
        <v>48</v>
      </c>
      <c r="G1327" s="19" t="s">
        <v>71</v>
      </c>
      <c r="H1327" s="19" t="s">
        <v>50</v>
      </c>
      <c r="I1327" s="19">
        <v>1</v>
      </c>
      <c r="J1327" s="21">
        <v>3200</v>
      </c>
      <c r="K1327" s="22">
        <v>0.08</v>
      </c>
      <c r="L1327" s="21">
        <v>2944</v>
      </c>
    </row>
    <row r="1328" spans="1:12">
      <c r="A1328" s="19" t="s">
        <v>1398</v>
      </c>
      <c r="B1328" s="20">
        <v>46031</v>
      </c>
      <c r="C1328" s="19" t="s">
        <v>47</v>
      </c>
      <c r="D1328" s="19" t="s">
        <v>35</v>
      </c>
      <c r="E1328" s="19" t="s">
        <v>22</v>
      </c>
      <c r="F1328" s="19" t="s">
        <v>60</v>
      </c>
      <c r="G1328" s="19" t="s">
        <v>61</v>
      </c>
      <c r="H1328" s="19" t="s">
        <v>55</v>
      </c>
      <c r="I1328" s="19">
        <v>1</v>
      </c>
      <c r="J1328" s="21">
        <v>850</v>
      </c>
      <c r="K1328" s="22">
        <v>0.03</v>
      </c>
      <c r="L1328" s="21">
        <v>824.5</v>
      </c>
    </row>
    <row r="1329" spans="1:12">
      <c r="A1329" s="19" t="s">
        <v>1399</v>
      </c>
      <c r="B1329" s="20">
        <v>46088</v>
      </c>
      <c r="C1329" s="19" t="s">
        <v>20</v>
      </c>
      <c r="D1329" s="19" t="s">
        <v>41</v>
      </c>
      <c r="E1329" s="19" t="s">
        <v>22</v>
      </c>
      <c r="F1329" s="19" t="s">
        <v>16</v>
      </c>
      <c r="G1329" s="19" t="s">
        <v>42</v>
      </c>
      <c r="H1329" s="19" t="s">
        <v>25</v>
      </c>
      <c r="I1329" s="19">
        <v>3</v>
      </c>
      <c r="J1329" s="21">
        <v>45</v>
      </c>
      <c r="K1329" s="22">
        <v>0</v>
      </c>
      <c r="L1329" s="21">
        <v>135</v>
      </c>
    </row>
    <row r="1330" spans="1:12">
      <c r="A1330" s="19" t="s">
        <v>1400</v>
      </c>
      <c r="B1330" s="20">
        <v>46117</v>
      </c>
      <c r="C1330" s="19" t="s">
        <v>86</v>
      </c>
      <c r="D1330" s="19" t="s">
        <v>35</v>
      </c>
      <c r="E1330" s="19" t="s">
        <v>22</v>
      </c>
      <c r="F1330" s="19" t="s">
        <v>48</v>
      </c>
      <c r="G1330" s="19" t="s">
        <v>99</v>
      </c>
      <c r="H1330" s="19" t="s">
        <v>87</v>
      </c>
      <c r="I1330" s="19">
        <v>1</v>
      </c>
      <c r="J1330" s="21">
        <v>2850</v>
      </c>
      <c r="K1330" s="22">
        <v>0.1</v>
      </c>
      <c r="L1330" s="21">
        <v>2565</v>
      </c>
    </row>
    <row r="1331" spans="1:12">
      <c r="A1331" s="19" t="s">
        <v>1401</v>
      </c>
      <c r="B1331" s="20">
        <v>46213</v>
      </c>
      <c r="C1331" s="19" t="s">
        <v>47</v>
      </c>
      <c r="D1331" s="19" t="s">
        <v>14</v>
      </c>
      <c r="E1331" s="19" t="s">
        <v>22</v>
      </c>
      <c r="F1331" s="19" t="s">
        <v>73</v>
      </c>
      <c r="G1331" s="19" t="s">
        <v>81</v>
      </c>
      <c r="H1331" s="19" t="s">
        <v>50</v>
      </c>
      <c r="I1331" s="19">
        <v>3</v>
      </c>
      <c r="J1331" s="21">
        <v>12</v>
      </c>
      <c r="K1331" s="22">
        <v>0.05</v>
      </c>
      <c r="L1331" s="21">
        <v>34.199999999999996</v>
      </c>
    </row>
    <row r="1332" spans="1:12">
      <c r="A1332" s="19" t="s">
        <v>1402</v>
      </c>
      <c r="B1332" s="20">
        <v>46066</v>
      </c>
      <c r="C1332" s="19" t="s">
        <v>20</v>
      </c>
      <c r="D1332" s="19" t="s">
        <v>21</v>
      </c>
      <c r="E1332" s="19" t="s">
        <v>22</v>
      </c>
      <c r="F1332" s="19" t="s">
        <v>16</v>
      </c>
      <c r="G1332" s="19" t="s">
        <v>17</v>
      </c>
      <c r="H1332" s="19" t="s">
        <v>25</v>
      </c>
      <c r="I1332" s="19">
        <v>5</v>
      </c>
      <c r="J1332" s="21">
        <v>15</v>
      </c>
      <c r="K1332" s="22">
        <v>0</v>
      </c>
      <c r="L1332" s="21">
        <v>75</v>
      </c>
    </row>
    <row r="1333" spans="1:12">
      <c r="A1333" s="19" t="s">
        <v>1403</v>
      </c>
      <c r="B1333" s="20">
        <v>46176</v>
      </c>
      <c r="C1333" s="19" t="s">
        <v>20</v>
      </c>
      <c r="D1333" s="19" t="s">
        <v>14</v>
      </c>
      <c r="E1333" s="19" t="s">
        <v>22</v>
      </c>
      <c r="F1333" s="19" t="s">
        <v>73</v>
      </c>
      <c r="G1333" s="19" t="s">
        <v>129</v>
      </c>
      <c r="H1333" s="19" t="s">
        <v>63</v>
      </c>
      <c r="I1333" s="19">
        <v>5</v>
      </c>
      <c r="J1333" s="21">
        <v>35</v>
      </c>
      <c r="K1333" s="22">
        <v>0.08</v>
      </c>
      <c r="L1333" s="21">
        <v>161</v>
      </c>
    </row>
    <row r="1334" spans="1:12">
      <c r="A1334" s="19" t="s">
        <v>1404</v>
      </c>
      <c r="B1334" s="20">
        <v>46033</v>
      </c>
      <c r="C1334" s="19" t="s">
        <v>47</v>
      </c>
      <c r="D1334" s="19" t="s">
        <v>14</v>
      </c>
      <c r="E1334" s="19" t="s">
        <v>22</v>
      </c>
      <c r="F1334" s="19" t="s">
        <v>27</v>
      </c>
      <c r="G1334" s="19" t="s">
        <v>155</v>
      </c>
      <c r="H1334" s="19" t="s">
        <v>55</v>
      </c>
      <c r="I1334" s="19">
        <v>3</v>
      </c>
      <c r="J1334" s="21">
        <v>190.8</v>
      </c>
      <c r="K1334" s="22">
        <v>0.15</v>
      </c>
      <c r="L1334" s="21">
        <v>486.54000000000008</v>
      </c>
    </row>
    <row r="1335" spans="1:12">
      <c r="A1335" s="19" t="s">
        <v>1405</v>
      </c>
      <c r="B1335" s="20">
        <v>46372</v>
      </c>
      <c r="C1335" s="19" t="s">
        <v>20</v>
      </c>
      <c r="D1335" s="19" t="s">
        <v>35</v>
      </c>
      <c r="E1335" s="19" t="s">
        <v>22</v>
      </c>
      <c r="F1335" s="19" t="s">
        <v>23</v>
      </c>
      <c r="G1335" s="19" t="s">
        <v>38</v>
      </c>
      <c r="H1335" s="19" t="s">
        <v>25</v>
      </c>
      <c r="I1335" s="19">
        <v>8</v>
      </c>
      <c r="J1335" s="21">
        <v>320</v>
      </c>
      <c r="K1335" s="22">
        <v>0.05</v>
      </c>
      <c r="L1335" s="21">
        <v>2432</v>
      </c>
    </row>
    <row r="1336" spans="1:12">
      <c r="A1336" s="19" t="s">
        <v>1406</v>
      </c>
      <c r="B1336" s="20">
        <v>46174</v>
      </c>
      <c r="C1336" s="19" t="s">
        <v>86</v>
      </c>
      <c r="D1336" s="19" t="s">
        <v>21</v>
      </c>
      <c r="E1336" s="19" t="s">
        <v>22</v>
      </c>
      <c r="F1336" s="19" t="s">
        <v>73</v>
      </c>
      <c r="G1336" s="19" t="s">
        <v>127</v>
      </c>
      <c r="H1336" s="19" t="s">
        <v>87</v>
      </c>
      <c r="I1336" s="19">
        <v>2</v>
      </c>
      <c r="J1336" s="21">
        <v>25.5</v>
      </c>
      <c r="K1336" s="22">
        <v>0.05</v>
      </c>
      <c r="L1336" s="21">
        <v>48.449999999999996</v>
      </c>
    </row>
    <row r="1337" spans="1:12">
      <c r="A1337" s="19" t="s">
        <v>1407</v>
      </c>
      <c r="B1337" s="20">
        <v>46356</v>
      </c>
      <c r="C1337" s="19" t="s">
        <v>86</v>
      </c>
      <c r="D1337" s="19" t="s">
        <v>41</v>
      </c>
      <c r="E1337" s="19" t="s">
        <v>22</v>
      </c>
      <c r="F1337" s="19" t="s">
        <v>73</v>
      </c>
      <c r="G1337" s="19" t="s">
        <v>145</v>
      </c>
      <c r="H1337" s="19" t="s">
        <v>87</v>
      </c>
      <c r="I1337" s="19">
        <v>2</v>
      </c>
      <c r="J1337" s="21">
        <v>19.079999999999998</v>
      </c>
      <c r="K1337" s="22">
        <v>0.15</v>
      </c>
      <c r="L1337" s="21">
        <v>32.435999999999993</v>
      </c>
    </row>
    <row r="1338" spans="1:12">
      <c r="A1338" s="19" t="s">
        <v>1408</v>
      </c>
      <c r="B1338" s="20">
        <v>46252</v>
      </c>
      <c r="C1338" s="19" t="s">
        <v>47</v>
      </c>
      <c r="D1338" s="19" t="s">
        <v>21</v>
      </c>
      <c r="E1338" s="19" t="s">
        <v>22</v>
      </c>
      <c r="F1338" s="19" t="s">
        <v>60</v>
      </c>
      <c r="G1338" s="19" t="s">
        <v>76</v>
      </c>
      <c r="H1338" s="19" t="s">
        <v>83</v>
      </c>
      <c r="I1338" s="19">
        <v>1</v>
      </c>
      <c r="J1338" s="21">
        <v>714</v>
      </c>
      <c r="K1338" s="22">
        <v>0.05</v>
      </c>
      <c r="L1338" s="21">
        <v>678.3</v>
      </c>
    </row>
    <row r="1339" spans="1:12">
      <c r="A1339" s="19" t="s">
        <v>1409</v>
      </c>
      <c r="B1339" s="20">
        <v>46223</v>
      </c>
      <c r="C1339" s="19" t="s">
        <v>13</v>
      </c>
      <c r="D1339" s="19" t="s">
        <v>14</v>
      </c>
      <c r="E1339" s="19" t="s">
        <v>15</v>
      </c>
      <c r="F1339" s="19" t="s">
        <v>16</v>
      </c>
      <c r="G1339" s="19" t="s">
        <v>57</v>
      </c>
      <c r="H1339" s="19" t="s">
        <v>18</v>
      </c>
      <c r="I1339" s="19">
        <v>2</v>
      </c>
      <c r="J1339" s="21">
        <v>38</v>
      </c>
      <c r="K1339" s="22">
        <v>0.15</v>
      </c>
      <c r="L1339" s="21">
        <v>64.599999999999994</v>
      </c>
    </row>
    <row r="1340" spans="1:12">
      <c r="A1340" s="19" t="s">
        <v>1410</v>
      </c>
      <c r="B1340" s="20">
        <v>46246</v>
      </c>
      <c r="C1340" s="19" t="s">
        <v>47</v>
      </c>
      <c r="D1340" s="19" t="s">
        <v>14</v>
      </c>
      <c r="E1340" s="19" t="s">
        <v>15</v>
      </c>
      <c r="F1340" s="19" t="s">
        <v>23</v>
      </c>
      <c r="G1340" s="19" t="s">
        <v>138</v>
      </c>
      <c r="H1340" s="19" t="s">
        <v>50</v>
      </c>
      <c r="I1340" s="19">
        <v>3</v>
      </c>
      <c r="J1340" s="21">
        <v>60</v>
      </c>
      <c r="K1340" s="22">
        <v>0.08</v>
      </c>
      <c r="L1340" s="21">
        <v>165.6</v>
      </c>
    </row>
    <row r="1341" spans="1:12">
      <c r="A1341" s="19" t="s">
        <v>1411</v>
      </c>
      <c r="B1341" s="20">
        <v>46324</v>
      </c>
      <c r="C1341" s="19" t="s">
        <v>47</v>
      </c>
      <c r="D1341" s="19" t="s">
        <v>41</v>
      </c>
      <c r="E1341" s="19" t="s">
        <v>22</v>
      </c>
      <c r="F1341" s="19" t="s">
        <v>16</v>
      </c>
      <c r="G1341" s="19" t="s">
        <v>17</v>
      </c>
      <c r="H1341" s="19" t="s">
        <v>50</v>
      </c>
      <c r="I1341" s="19">
        <v>4</v>
      </c>
      <c r="J1341" s="21">
        <v>15.3</v>
      </c>
      <c r="K1341" s="22">
        <v>0.08</v>
      </c>
      <c r="L1341" s="21">
        <v>56.304000000000002</v>
      </c>
    </row>
    <row r="1342" spans="1:12">
      <c r="A1342" s="19" t="s">
        <v>1412</v>
      </c>
      <c r="B1342" s="20">
        <v>46345</v>
      </c>
      <c r="C1342" s="19" t="s">
        <v>20</v>
      </c>
      <c r="D1342" s="19" t="s">
        <v>14</v>
      </c>
      <c r="E1342" s="19" t="s">
        <v>22</v>
      </c>
      <c r="F1342" s="19" t="s">
        <v>16</v>
      </c>
      <c r="G1342" s="19" t="s">
        <v>112</v>
      </c>
      <c r="H1342" s="19" t="s">
        <v>63</v>
      </c>
      <c r="I1342" s="19">
        <v>3</v>
      </c>
      <c r="J1342" s="21">
        <v>65</v>
      </c>
      <c r="K1342" s="22">
        <v>0.1</v>
      </c>
      <c r="L1342" s="21">
        <v>175.5</v>
      </c>
    </row>
    <row r="1343" spans="1:12">
      <c r="A1343" s="19" t="s">
        <v>1413</v>
      </c>
      <c r="B1343" s="20">
        <v>46102</v>
      </c>
      <c r="C1343" s="19" t="s">
        <v>47</v>
      </c>
      <c r="D1343" s="19" t="s">
        <v>14</v>
      </c>
      <c r="E1343" s="19" t="s">
        <v>22</v>
      </c>
      <c r="F1343" s="19" t="s">
        <v>23</v>
      </c>
      <c r="G1343" s="19" t="s">
        <v>24</v>
      </c>
      <c r="H1343" s="19" t="s">
        <v>83</v>
      </c>
      <c r="I1343" s="19">
        <v>1</v>
      </c>
      <c r="J1343" s="21">
        <v>91.8</v>
      </c>
      <c r="K1343" s="22">
        <v>0.08</v>
      </c>
      <c r="L1343" s="21">
        <v>84.456000000000003</v>
      </c>
    </row>
    <row r="1344" spans="1:12">
      <c r="A1344" s="19" t="s">
        <v>1414</v>
      </c>
      <c r="B1344" s="20">
        <v>46066</v>
      </c>
      <c r="C1344" s="19" t="s">
        <v>47</v>
      </c>
      <c r="D1344" s="19" t="s">
        <v>41</v>
      </c>
      <c r="E1344" s="19" t="s">
        <v>15</v>
      </c>
      <c r="F1344" s="19" t="s">
        <v>16</v>
      </c>
      <c r="G1344" s="19" t="s">
        <v>57</v>
      </c>
      <c r="H1344" s="19" t="s">
        <v>55</v>
      </c>
      <c r="I1344" s="19">
        <v>2</v>
      </c>
      <c r="J1344" s="21">
        <v>40.28</v>
      </c>
      <c r="K1344" s="22">
        <v>0.2</v>
      </c>
      <c r="L1344" s="21">
        <v>64.448000000000008</v>
      </c>
    </row>
    <row r="1345" spans="1:12">
      <c r="A1345" s="19" t="s">
        <v>1415</v>
      </c>
      <c r="B1345" s="20">
        <v>46343</v>
      </c>
      <c r="C1345" s="19" t="s">
        <v>20</v>
      </c>
      <c r="D1345" s="19" t="s">
        <v>14</v>
      </c>
      <c r="E1345" s="19" t="s">
        <v>15</v>
      </c>
      <c r="F1345" s="19" t="s">
        <v>48</v>
      </c>
      <c r="G1345" s="19" t="s">
        <v>49</v>
      </c>
      <c r="H1345" s="19" t="s">
        <v>25</v>
      </c>
      <c r="I1345" s="19">
        <v>1</v>
      </c>
      <c r="J1345" s="21">
        <v>4074</v>
      </c>
      <c r="K1345" s="22">
        <v>0.08</v>
      </c>
      <c r="L1345" s="21">
        <v>3748.0800000000004</v>
      </c>
    </row>
    <row r="1346" spans="1:12">
      <c r="A1346" s="19" t="s">
        <v>1416</v>
      </c>
      <c r="B1346" s="20">
        <v>46085</v>
      </c>
      <c r="C1346" s="19" t="s">
        <v>86</v>
      </c>
      <c r="D1346" s="19" t="s">
        <v>41</v>
      </c>
      <c r="E1346" s="19" t="s">
        <v>15</v>
      </c>
      <c r="F1346" s="19" t="s">
        <v>73</v>
      </c>
      <c r="G1346" s="19" t="s">
        <v>129</v>
      </c>
      <c r="H1346" s="19" t="s">
        <v>93</v>
      </c>
      <c r="I1346" s="19">
        <v>3</v>
      </c>
      <c r="J1346" s="21">
        <v>33.950000000000003</v>
      </c>
      <c r="K1346" s="22">
        <v>0.05</v>
      </c>
      <c r="L1346" s="21">
        <v>96.757500000000007</v>
      </c>
    </row>
    <row r="1347" spans="1:12">
      <c r="A1347" s="19" t="s">
        <v>1417</v>
      </c>
      <c r="B1347" s="20">
        <v>46378</v>
      </c>
      <c r="C1347" s="19" t="s">
        <v>20</v>
      </c>
      <c r="D1347" s="19" t="s">
        <v>14</v>
      </c>
      <c r="E1347" s="19" t="s">
        <v>22</v>
      </c>
      <c r="F1347" s="19" t="s">
        <v>16</v>
      </c>
      <c r="G1347" s="19" t="s">
        <v>42</v>
      </c>
      <c r="H1347" s="19" t="s">
        <v>63</v>
      </c>
      <c r="I1347" s="19">
        <v>7</v>
      </c>
      <c r="J1347" s="21">
        <v>45.9</v>
      </c>
      <c r="K1347" s="22">
        <v>0.1</v>
      </c>
      <c r="L1347" s="21">
        <v>289.17</v>
      </c>
    </row>
    <row r="1348" spans="1:12">
      <c r="A1348" s="19" t="s">
        <v>1418</v>
      </c>
      <c r="B1348" s="20">
        <v>46181</v>
      </c>
      <c r="C1348" s="19" t="s">
        <v>31</v>
      </c>
      <c r="D1348" s="19" t="s">
        <v>21</v>
      </c>
      <c r="E1348" s="19" t="s">
        <v>22</v>
      </c>
      <c r="F1348" s="19" t="s">
        <v>27</v>
      </c>
      <c r="G1348" s="19" t="s">
        <v>28</v>
      </c>
      <c r="H1348" s="19" t="s">
        <v>33</v>
      </c>
      <c r="I1348" s="19">
        <v>1</v>
      </c>
      <c r="J1348" s="21">
        <v>20</v>
      </c>
      <c r="K1348" s="22">
        <v>0.08</v>
      </c>
      <c r="L1348" s="21">
        <v>18.400000000000002</v>
      </c>
    </row>
    <row r="1349" spans="1:12">
      <c r="A1349" s="19" t="s">
        <v>1419</v>
      </c>
      <c r="B1349" s="20">
        <v>46301</v>
      </c>
      <c r="C1349" s="19" t="s">
        <v>47</v>
      </c>
      <c r="D1349" s="19" t="s">
        <v>41</v>
      </c>
      <c r="E1349" s="19" t="s">
        <v>15</v>
      </c>
      <c r="F1349" s="19" t="s">
        <v>23</v>
      </c>
      <c r="G1349" s="19" t="s">
        <v>38</v>
      </c>
      <c r="H1349" s="19" t="s">
        <v>83</v>
      </c>
      <c r="I1349" s="19">
        <v>3</v>
      </c>
      <c r="J1349" s="21">
        <v>310.39999999999998</v>
      </c>
      <c r="K1349" s="22">
        <v>0.08</v>
      </c>
      <c r="L1349" s="21">
        <v>856.70399999999995</v>
      </c>
    </row>
    <row r="1350" spans="1:12">
      <c r="A1350" s="19" t="s">
        <v>1420</v>
      </c>
      <c r="B1350" s="20">
        <v>46330</v>
      </c>
      <c r="C1350" s="19" t="s">
        <v>31</v>
      </c>
      <c r="D1350" s="19" t="s">
        <v>41</v>
      </c>
      <c r="E1350" s="19" t="s">
        <v>15</v>
      </c>
      <c r="F1350" s="19" t="s">
        <v>60</v>
      </c>
      <c r="G1350" s="19" t="s">
        <v>61</v>
      </c>
      <c r="H1350" s="19" t="s">
        <v>79</v>
      </c>
      <c r="I1350" s="19">
        <v>4</v>
      </c>
      <c r="J1350" s="21">
        <v>850</v>
      </c>
      <c r="K1350" s="22">
        <v>0.05</v>
      </c>
      <c r="L1350" s="21">
        <v>3230</v>
      </c>
    </row>
    <row r="1351" spans="1:12">
      <c r="A1351" s="19" t="s">
        <v>1421</v>
      </c>
      <c r="B1351" s="20">
        <v>46122</v>
      </c>
      <c r="C1351" s="19" t="s">
        <v>20</v>
      </c>
      <c r="D1351" s="19" t="s">
        <v>41</v>
      </c>
      <c r="E1351" s="19" t="s">
        <v>22</v>
      </c>
      <c r="F1351" s="19" t="s">
        <v>48</v>
      </c>
      <c r="G1351" s="19" t="s">
        <v>96</v>
      </c>
      <c r="H1351" s="19" t="s">
        <v>63</v>
      </c>
      <c r="I1351" s="19">
        <v>2</v>
      </c>
      <c r="J1351" s="21">
        <v>2425</v>
      </c>
      <c r="K1351" s="22">
        <v>0.05</v>
      </c>
      <c r="L1351" s="21">
        <v>4607.5</v>
      </c>
    </row>
    <row r="1352" spans="1:12">
      <c r="A1352" s="19" t="s">
        <v>1422</v>
      </c>
      <c r="B1352" s="20">
        <v>46197</v>
      </c>
      <c r="C1352" s="19" t="s">
        <v>47</v>
      </c>
      <c r="D1352" s="19" t="s">
        <v>41</v>
      </c>
      <c r="E1352" s="19" t="s">
        <v>22</v>
      </c>
      <c r="F1352" s="19" t="s">
        <v>16</v>
      </c>
      <c r="G1352" s="19" t="s">
        <v>57</v>
      </c>
      <c r="H1352" s="19" t="s">
        <v>55</v>
      </c>
      <c r="I1352" s="19">
        <v>6</v>
      </c>
      <c r="J1352" s="21">
        <v>38</v>
      </c>
      <c r="K1352" s="22">
        <v>0.08</v>
      </c>
      <c r="L1352" s="21">
        <v>209.76000000000002</v>
      </c>
    </row>
    <row r="1353" spans="1:12">
      <c r="A1353" s="19" t="s">
        <v>1423</v>
      </c>
      <c r="B1353" s="20">
        <v>46143</v>
      </c>
      <c r="C1353" s="19" t="s">
        <v>20</v>
      </c>
      <c r="D1353" s="19" t="s">
        <v>21</v>
      </c>
      <c r="E1353" s="19" t="s">
        <v>22</v>
      </c>
      <c r="F1353" s="19" t="s">
        <v>23</v>
      </c>
      <c r="G1353" s="19" t="s">
        <v>138</v>
      </c>
      <c r="H1353" s="19" t="s">
        <v>58</v>
      </c>
      <c r="I1353" s="19">
        <v>4</v>
      </c>
      <c r="J1353" s="21">
        <v>60</v>
      </c>
      <c r="K1353" s="22">
        <v>0.08</v>
      </c>
      <c r="L1353" s="21">
        <v>220.8</v>
      </c>
    </row>
    <row r="1354" spans="1:12">
      <c r="A1354" s="19" t="s">
        <v>1424</v>
      </c>
      <c r="B1354" s="20">
        <v>46271</v>
      </c>
      <c r="C1354" s="19" t="s">
        <v>47</v>
      </c>
      <c r="D1354" s="19" t="s">
        <v>14</v>
      </c>
      <c r="E1354" s="19" t="s">
        <v>15</v>
      </c>
      <c r="F1354" s="19" t="s">
        <v>48</v>
      </c>
      <c r="G1354" s="19" t="s">
        <v>96</v>
      </c>
      <c r="H1354" s="19" t="s">
        <v>83</v>
      </c>
      <c r="I1354" s="19">
        <v>2</v>
      </c>
      <c r="J1354" s="21">
        <v>2500</v>
      </c>
      <c r="K1354" s="22">
        <v>0.03</v>
      </c>
      <c r="L1354" s="21">
        <v>4850</v>
      </c>
    </row>
    <row r="1355" spans="1:12">
      <c r="A1355" s="19" t="s">
        <v>1425</v>
      </c>
      <c r="B1355" s="20">
        <v>46378</v>
      </c>
      <c r="C1355" s="19" t="s">
        <v>47</v>
      </c>
      <c r="D1355" s="19" t="s">
        <v>14</v>
      </c>
      <c r="E1355" s="19" t="s">
        <v>22</v>
      </c>
      <c r="F1355" s="19" t="s">
        <v>60</v>
      </c>
      <c r="G1355" s="19" t="s">
        <v>91</v>
      </c>
      <c r="H1355" s="19" t="s">
        <v>50</v>
      </c>
      <c r="I1355" s="19">
        <v>2</v>
      </c>
      <c r="J1355" s="21">
        <v>603.20000000000005</v>
      </c>
      <c r="K1355" s="22">
        <v>0.05</v>
      </c>
      <c r="L1355" s="21">
        <v>1146.08</v>
      </c>
    </row>
    <row r="1356" spans="1:12">
      <c r="A1356" s="19" t="s">
        <v>1426</v>
      </c>
      <c r="B1356" s="20">
        <v>46227</v>
      </c>
      <c r="C1356" s="19" t="s">
        <v>20</v>
      </c>
      <c r="D1356" s="19" t="s">
        <v>21</v>
      </c>
      <c r="E1356" s="19" t="s">
        <v>22</v>
      </c>
      <c r="F1356" s="19" t="s">
        <v>48</v>
      </c>
      <c r="G1356" s="19" t="s">
        <v>54</v>
      </c>
      <c r="H1356" s="19" t="s">
        <v>25</v>
      </c>
      <c r="I1356" s="19">
        <v>3</v>
      </c>
      <c r="J1356" s="21">
        <v>1836</v>
      </c>
      <c r="K1356" s="22">
        <v>0.03</v>
      </c>
      <c r="L1356" s="21">
        <v>5342.76</v>
      </c>
    </row>
    <row r="1357" spans="1:12">
      <c r="A1357" s="19" t="s">
        <v>1427</v>
      </c>
      <c r="B1357" s="20">
        <v>46109</v>
      </c>
      <c r="C1357" s="19" t="s">
        <v>20</v>
      </c>
      <c r="D1357" s="19" t="s">
        <v>21</v>
      </c>
      <c r="E1357" s="19" t="s">
        <v>22</v>
      </c>
      <c r="F1357" s="19" t="s">
        <v>16</v>
      </c>
      <c r="G1357" s="19" t="s">
        <v>42</v>
      </c>
      <c r="H1357" s="19" t="s">
        <v>25</v>
      </c>
      <c r="I1357" s="19">
        <v>2</v>
      </c>
      <c r="J1357" s="21">
        <v>46.8</v>
      </c>
      <c r="K1357" s="22">
        <v>0.1</v>
      </c>
      <c r="L1357" s="21">
        <v>84.24</v>
      </c>
    </row>
    <row r="1358" spans="1:12">
      <c r="A1358" s="19" t="s">
        <v>1428</v>
      </c>
      <c r="B1358" s="20">
        <v>46271</v>
      </c>
      <c r="C1358" s="19" t="s">
        <v>31</v>
      </c>
      <c r="D1358" s="19" t="s">
        <v>35</v>
      </c>
      <c r="E1358" s="19" t="s">
        <v>15</v>
      </c>
      <c r="F1358" s="19" t="s">
        <v>16</v>
      </c>
      <c r="G1358" s="19" t="s">
        <v>57</v>
      </c>
      <c r="H1358" s="19" t="s">
        <v>33</v>
      </c>
      <c r="I1358" s="19">
        <v>4</v>
      </c>
      <c r="J1358" s="21">
        <v>40.28</v>
      </c>
      <c r="K1358" s="22">
        <v>0.03</v>
      </c>
      <c r="L1358" s="21">
        <v>156.28639999999999</v>
      </c>
    </row>
    <row r="1359" spans="1:12">
      <c r="A1359" s="19" t="s">
        <v>1429</v>
      </c>
      <c r="B1359" s="20">
        <v>46142</v>
      </c>
      <c r="C1359" s="19" t="s">
        <v>31</v>
      </c>
      <c r="D1359" s="19" t="s">
        <v>21</v>
      </c>
      <c r="E1359" s="19" t="s">
        <v>15</v>
      </c>
      <c r="F1359" s="19" t="s">
        <v>16</v>
      </c>
      <c r="G1359" s="19" t="s">
        <v>42</v>
      </c>
      <c r="H1359" s="19" t="s">
        <v>39</v>
      </c>
      <c r="I1359" s="19">
        <v>3</v>
      </c>
      <c r="J1359" s="21">
        <v>42.75</v>
      </c>
      <c r="K1359" s="22">
        <v>0.08</v>
      </c>
      <c r="L1359" s="21">
        <v>117.99000000000001</v>
      </c>
    </row>
    <row r="1360" spans="1:12">
      <c r="A1360" s="19" t="s">
        <v>1430</v>
      </c>
      <c r="B1360" s="20">
        <v>46099</v>
      </c>
      <c r="C1360" s="19" t="s">
        <v>20</v>
      </c>
      <c r="D1360" s="19" t="s">
        <v>21</v>
      </c>
      <c r="E1360" s="19" t="s">
        <v>15</v>
      </c>
      <c r="F1360" s="19" t="s">
        <v>16</v>
      </c>
      <c r="G1360" s="19" t="s">
        <v>112</v>
      </c>
      <c r="H1360" s="19" t="s">
        <v>25</v>
      </c>
      <c r="I1360" s="19">
        <v>1</v>
      </c>
      <c r="J1360" s="21">
        <v>63.05</v>
      </c>
      <c r="K1360" s="22">
        <v>0</v>
      </c>
      <c r="L1360" s="21">
        <v>63.05</v>
      </c>
    </row>
    <row r="1361" spans="1:12">
      <c r="A1361" s="19" t="s">
        <v>1431</v>
      </c>
      <c r="B1361" s="20">
        <v>46228</v>
      </c>
      <c r="C1361" s="19" t="s">
        <v>20</v>
      </c>
      <c r="D1361" s="19" t="s">
        <v>35</v>
      </c>
      <c r="E1361" s="19" t="s">
        <v>22</v>
      </c>
      <c r="F1361" s="19" t="s">
        <v>48</v>
      </c>
      <c r="G1361" s="19" t="s">
        <v>96</v>
      </c>
      <c r="H1361" s="19" t="s">
        <v>25</v>
      </c>
      <c r="I1361" s="19">
        <v>2</v>
      </c>
      <c r="J1361" s="21">
        <v>2500</v>
      </c>
      <c r="K1361" s="22">
        <v>0.05</v>
      </c>
      <c r="L1361" s="21">
        <v>4750</v>
      </c>
    </row>
    <row r="1362" spans="1:12">
      <c r="A1362" s="19" t="s">
        <v>1432</v>
      </c>
      <c r="B1362" s="20">
        <v>46312</v>
      </c>
      <c r="C1362" s="19" t="s">
        <v>47</v>
      </c>
      <c r="D1362" s="19" t="s">
        <v>21</v>
      </c>
      <c r="E1362" s="19" t="s">
        <v>22</v>
      </c>
      <c r="F1362" s="19" t="s">
        <v>48</v>
      </c>
      <c r="G1362" s="19" t="s">
        <v>96</v>
      </c>
      <c r="H1362" s="19" t="s">
        <v>50</v>
      </c>
      <c r="I1362" s="19">
        <v>1</v>
      </c>
      <c r="J1362" s="21">
        <v>2375</v>
      </c>
      <c r="K1362" s="22">
        <v>0.1</v>
      </c>
      <c r="L1362" s="21">
        <v>2137.5</v>
      </c>
    </row>
    <row r="1363" spans="1:12">
      <c r="A1363" s="19" t="s">
        <v>1433</v>
      </c>
      <c r="B1363" s="20">
        <v>46353</v>
      </c>
      <c r="C1363" s="19" t="s">
        <v>86</v>
      </c>
      <c r="D1363" s="19" t="s">
        <v>35</v>
      </c>
      <c r="E1363" s="19" t="s">
        <v>22</v>
      </c>
      <c r="F1363" s="19" t="s">
        <v>60</v>
      </c>
      <c r="G1363" s="19" t="s">
        <v>91</v>
      </c>
      <c r="H1363" s="19" t="s">
        <v>93</v>
      </c>
      <c r="I1363" s="19">
        <v>1</v>
      </c>
      <c r="J1363" s="21">
        <v>580</v>
      </c>
      <c r="K1363" s="22">
        <v>0.1</v>
      </c>
      <c r="L1363" s="21">
        <v>522</v>
      </c>
    </row>
    <row r="1364" spans="1:12">
      <c r="A1364" s="19" t="s">
        <v>1434</v>
      </c>
      <c r="B1364" s="20">
        <v>46035</v>
      </c>
      <c r="C1364" s="19" t="s">
        <v>31</v>
      </c>
      <c r="D1364" s="19" t="s">
        <v>14</v>
      </c>
      <c r="E1364" s="19" t="s">
        <v>22</v>
      </c>
      <c r="F1364" s="19" t="s">
        <v>60</v>
      </c>
      <c r="G1364" s="19" t="s">
        <v>76</v>
      </c>
      <c r="H1364" s="19" t="s">
        <v>39</v>
      </c>
      <c r="I1364" s="19">
        <v>3</v>
      </c>
      <c r="J1364" s="21">
        <v>728</v>
      </c>
      <c r="K1364" s="22">
        <v>0.05</v>
      </c>
      <c r="L1364" s="21">
        <v>2074.7999999999997</v>
      </c>
    </row>
    <row r="1365" spans="1:12">
      <c r="A1365" s="19" t="s">
        <v>1435</v>
      </c>
      <c r="B1365" s="20">
        <v>46368</v>
      </c>
      <c r="C1365" s="19" t="s">
        <v>47</v>
      </c>
      <c r="D1365" s="19" t="s">
        <v>21</v>
      </c>
      <c r="E1365" s="19" t="s">
        <v>22</v>
      </c>
      <c r="F1365" s="19" t="s">
        <v>48</v>
      </c>
      <c r="G1365" s="19" t="s">
        <v>54</v>
      </c>
      <c r="H1365" s="19" t="s">
        <v>50</v>
      </c>
      <c r="I1365" s="19">
        <v>1</v>
      </c>
      <c r="J1365" s="21">
        <v>1872</v>
      </c>
      <c r="K1365" s="22">
        <v>0.15</v>
      </c>
      <c r="L1365" s="21">
        <v>1591.2</v>
      </c>
    </row>
    <row r="1366" spans="1:12">
      <c r="A1366" s="19" t="s">
        <v>1436</v>
      </c>
      <c r="B1366" s="20">
        <v>46333</v>
      </c>
      <c r="C1366" s="19" t="s">
        <v>31</v>
      </c>
      <c r="D1366" s="19" t="s">
        <v>41</v>
      </c>
      <c r="E1366" s="19" t="s">
        <v>22</v>
      </c>
      <c r="F1366" s="19" t="s">
        <v>16</v>
      </c>
      <c r="G1366" s="19" t="s">
        <v>69</v>
      </c>
      <c r="H1366" s="19" t="s">
        <v>33</v>
      </c>
      <c r="I1366" s="19">
        <v>2</v>
      </c>
      <c r="J1366" s="21">
        <v>57.2</v>
      </c>
      <c r="K1366" s="22">
        <v>0.08</v>
      </c>
      <c r="L1366" s="21">
        <v>105.248</v>
      </c>
    </row>
    <row r="1367" spans="1:12">
      <c r="A1367" s="19" t="s">
        <v>1437</v>
      </c>
      <c r="B1367" s="20">
        <v>46228</v>
      </c>
      <c r="C1367" s="19" t="s">
        <v>31</v>
      </c>
      <c r="D1367" s="19" t="s">
        <v>21</v>
      </c>
      <c r="E1367" s="19" t="s">
        <v>22</v>
      </c>
      <c r="F1367" s="19" t="s">
        <v>16</v>
      </c>
      <c r="G1367" s="19" t="s">
        <v>65</v>
      </c>
      <c r="H1367" s="19" t="s">
        <v>79</v>
      </c>
      <c r="I1367" s="19">
        <v>3</v>
      </c>
      <c r="J1367" s="21">
        <v>80</v>
      </c>
      <c r="K1367" s="22">
        <v>0.03</v>
      </c>
      <c r="L1367" s="21">
        <v>232.79999999999998</v>
      </c>
    </row>
    <row r="1368" spans="1:12">
      <c r="A1368" s="19" t="s">
        <v>1438</v>
      </c>
      <c r="B1368" s="20">
        <v>46110</v>
      </c>
      <c r="C1368" s="19" t="s">
        <v>31</v>
      </c>
      <c r="D1368" s="19" t="s">
        <v>21</v>
      </c>
      <c r="E1368" s="19" t="s">
        <v>22</v>
      </c>
      <c r="F1368" s="19" t="s">
        <v>60</v>
      </c>
      <c r="G1368" s="19" t="s">
        <v>76</v>
      </c>
      <c r="H1368" s="19" t="s">
        <v>33</v>
      </c>
      <c r="I1368" s="19">
        <v>3</v>
      </c>
      <c r="J1368" s="21">
        <v>714</v>
      </c>
      <c r="K1368" s="22">
        <v>0.05</v>
      </c>
      <c r="L1368" s="21">
        <v>2034.8999999999999</v>
      </c>
    </row>
    <row r="1369" spans="1:12">
      <c r="A1369" s="19" t="s">
        <v>1439</v>
      </c>
      <c r="B1369" s="20">
        <v>46364</v>
      </c>
      <c r="C1369" s="19" t="s">
        <v>47</v>
      </c>
      <c r="D1369" s="19" t="s">
        <v>41</v>
      </c>
      <c r="E1369" s="19" t="s">
        <v>22</v>
      </c>
      <c r="F1369" s="19" t="s">
        <v>16</v>
      </c>
      <c r="G1369" s="19" t="s">
        <v>42</v>
      </c>
      <c r="H1369" s="19" t="s">
        <v>55</v>
      </c>
      <c r="I1369" s="19">
        <v>2</v>
      </c>
      <c r="J1369" s="21">
        <v>45.9</v>
      </c>
      <c r="K1369" s="22">
        <v>0.08</v>
      </c>
      <c r="L1369" s="21">
        <v>84.456000000000003</v>
      </c>
    </row>
    <row r="1370" spans="1:12">
      <c r="A1370" s="19" t="s">
        <v>1440</v>
      </c>
      <c r="B1370" s="20">
        <v>46329</v>
      </c>
      <c r="C1370" s="19" t="s">
        <v>20</v>
      </c>
      <c r="D1370" s="19" t="s">
        <v>14</v>
      </c>
      <c r="E1370" s="19" t="s">
        <v>22</v>
      </c>
      <c r="F1370" s="19" t="s">
        <v>60</v>
      </c>
      <c r="G1370" s="19" t="s">
        <v>76</v>
      </c>
      <c r="H1370" s="19" t="s">
        <v>58</v>
      </c>
      <c r="I1370" s="19">
        <v>1</v>
      </c>
      <c r="J1370" s="21">
        <v>679</v>
      </c>
      <c r="K1370" s="22">
        <v>0.05</v>
      </c>
      <c r="L1370" s="21">
        <v>645.04999999999995</v>
      </c>
    </row>
    <row r="1371" spans="1:12">
      <c r="A1371" s="19" t="s">
        <v>1441</v>
      </c>
      <c r="B1371" s="20">
        <v>46085</v>
      </c>
      <c r="C1371" s="19" t="s">
        <v>31</v>
      </c>
      <c r="D1371" s="19" t="s">
        <v>35</v>
      </c>
      <c r="E1371" s="19" t="s">
        <v>15</v>
      </c>
      <c r="F1371" s="19" t="s">
        <v>16</v>
      </c>
      <c r="G1371" s="19" t="s">
        <v>112</v>
      </c>
      <c r="H1371" s="19" t="s">
        <v>39</v>
      </c>
      <c r="I1371" s="19">
        <v>2</v>
      </c>
      <c r="J1371" s="21">
        <v>66.3</v>
      </c>
      <c r="K1371" s="22">
        <v>0.05</v>
      </c>
      <c r="L1371" s="21">
        <v>125.96999999999998</v>
      </c>
    </row>
    <row r="1372" spans="1:12">
      <c r="A1372" s="19" t="s">
        <v>1442</v>
      </c>
      <c r="B1372" s="20">
        <v>46193</v>
      </c>
      <c r="C1372" s="19" t="s">
        <v>86</v>
      </c>
      <c r="D1372" s="19" t="s">
        <v>14</v>
      </c>
      <c r="E1372" s="19" t="s">
        <v>22</v>
      </c>
      <c r="F1372" s="19" t="s">
        <v>60</v>
      </c>
      <c r="G1372" s="19" t="s">
        <v>76</v>
      </c>
      <c r="H1372" s="19" t="s">
        <v>87</v>
      </c>
      <c r="I1372" s="19">
        <v>1</v>
      </c>
      <c r="J1372" s="21">
        <v>742</v>
      </c>
      <c r="K1372" s="22">
        <v>0.08</v>
      </c>
      <c r="L1372" s="21">
        <v>682.64</v>
      </c>
    </row>
    <row r="1373" spans="1:12">
      <c r="A1373" s="19" t="s">
        <v>1443</v>
      </c>
      <c r="B1373" s="20">
        <v>46319</v>
      </c>
      <c r="C1373" s="19" t="s">
        <v>13</v>
      </c>
      <c r="D1373" s="19" t="s">
        <v>21</v>
      </c>
      <c r="E1373" s="19" t="s">
        <v>22</v>
      </c>
      <c r="F1373" s="19" t="s">
        <v>16</v>
      </c>
      <c r="G1373" s="19" t="s">
        <v>69</v>
      </c>
      <c r="H1373" s="19" t="s">
        <v>43</v>
      </c>
      <c r="I1373" s="19">
        <v>3</v>
      </c>
      <c r="J1373" s="21">
        <v>56.1</v>
      </c>
      <c r="K1373" s="22">
        <v>0.05</v>
      </c>
      <c r="L1373" s="21">
        <v>159.88499999999999</v>
      </c>
    </row>
    <row r="1374" spans="1:12">
      <c r="A1374" s="19" t="s">
        <v>1444</v>
      </c>
      <c r="B1374" s="20">
        <v>46270</v>
      </c>
      <c r="C1374" s="19" t="s">
        <v>31</v>
      </c>
      <c r="D1374" s="19" t="s">
        <v>41</v>
      </c>
      <c r="E1374" s="19" t="s">
        <v>15</v>
      </c>
      <c r="F1374" s="19" t="s">
        <v>48</v>
      </c>
      <c r="G1374" s="19" t="s">
        <v>49</v>
      </c>
      <c r="H1374" s="19" t="s">
        <v>79</v>
      </c>
      <c r="I1374" s="19">
        <v>1</v>
      </c>
      <c r="J1374" s="21">
        <v>4200</v>
      </c>
      <c r="K1374" s="22">
        <v>0.05</v>
      </c>
      <c r="L1374" s="21">
        <v>3990</v>
      </c>
    </row>
    <row r="1375" spans="1:12">
      <c r="A1375" s="19" t="s">
        <v>1445</v>
      </c>
      <c r="B1375" s="20">
        <v>46100</v>
      </c>
      <c r="C1375" s="19" t="s">
        <v>31</v>
      </c>
      <c r="D1375" s="19" t="s">
        <v>35</v>
      </c>
      <c r="E1375" s="19" t="s">
        <v>22</v>
      </c>
      <c r="F1375" s="19" t="s">
        <v>60</v>
      </c>
      <c r="G1375" s="19" t="s">
        <v>67</v>
      </c>
      <c r="H1375" s="19" t="s">
        <v>79</v>
      </c>
      <c r="I1375" s="19">
        <v>1</v>
      </c>
      <c r="J1375" s="21">
        <v>1500</v>
      </c>
      <c r="K1375" s="22">
        <v>0</v>
      </c>
      <c r="L1375" s="21">
        <v>1500</v>
      </c>
    </row>
    <row r="1376" spans="1:12">
      <c r="A1376" s="19" t="s">
        <v>1446</v>
      </c>
      <c r="B1376" s="20">
        <v>46128</v>
      </c>
      <c r="C1376" s="19" t="s">
        <v>47</v>
      </c>
      <c r="D1376" s="19" t="s">
        <v>14</v>
      </c>
      <c r="E1376" s="19" t="s">
        <v>22</v>
      </c>
      <c r="F1376" s="19" t="s">
        <v>16</v>
      </c>
      <c r="G1376" s="19" t="s">
        <v>17</v>
      </c>
      <c r="H1376" s="19" t="s">
        <v>83</v>
      </c>
      <c r="I1376" s="19">
        <v>1</v>
      </c>
      <c r="J1376" s="21">
        <v>15.9</v>
      </c>
      <c r="K1376" s="22">
        <v>0.08</v>
      </c>
      <c r="L1376" s="21">
        <v>14.628</v>
      </c>
    </row>
    <row r="1377" spans="1:12">
      <c r="A1377" s="19" t="s">
        <v>1447</v>
      </c>
      <c r="B1377" s="20">
        <v>46246</v>
      </c>
      <c r="C1377" s="19" t="s">
        <v>47</v>
      </c>
      <c r="D1377" s="19" t="s">
        <v>41</v>
      </c>
      <c r="E1377" s="19" t="s">
        <v>15</v>
      </c>
      <c r="F1377" s="19" t="s">
        <v>60</v>
      </c>
      <c r="G1377" s="19" t="s">
        <v>67</v>
      </c>
      <c r="H1377" s="19" t="s">
        <v>55</v>
      </c>
      <c r="I1377" s="19">
        <v>2</v>
      </c>
      <c r="J1377" s="21">
        <v>1530</v>
      </c>
      <c r="K1377" s="22">
        <v>0.1</v>
      </c>
      <c r="L1377" s="21">
        <v>2754</v>
      </c>
    </row>
    <row r="1378" spans="1:12">
      <c r="A1378" s="19" t="s">
        <v>1448</v>
      </c>
      <c r="B1378" s="20">
        <v>46256</v>
      </c>
      <c r="C1378" s="19" t="s">
        <v>86</v>
      </c>
      <c r="D1378" s="19" t="s">
        <v>21</v>
      </c>
      <c r="E1378" s="19" t="s">
        <v>22</v>
      </c>
      <c r="F1378" s="19" t="s">
        <v>48</v>
      </c>
      <c r="G1378" s="19" t="s">
        <v>71</v>
      </c>
      <c r="H1378" s="19" t="s">
        <v>87</v>
      </c>
      <c r="I1378" s="19">
        <v>1</v>
      </c>
      <c r="J1378" s="21">
        <v>3328</v>
      </c>
      <c r="K1378" s="22">
        <v>0.03</v>
      </c>
      <c r="L1378" s="21">
        <v>3228.16</v>
      </c>
    </row>
    <row r="1379" spans="1:12">
      <c r="A1379" s="19" t="s">
        <v>1449</v>
      </c>
      <c r="B1379" s="20">
        <v>46136</v>
      </c>
      <c r="C1379" s="19" t="s">
        <v>47</v>
      </c>
      <c r="D1379" s="19" t="s">
        <v>14</v>
      </c>
      <c r="E1379" s="19" t="s">
        <v>22</v>
      </c>
      <c r="F1379" s="19" t="s">
        <v>73</v>
      </c>
      <c r="G1379" s="19" t="s">
        <v>129</v>
      </c>
      <c r="H1379" s="19" t="s">
        <v>50</v>
      </c>
      <c r="I1379" s="19">
        <v>5</v>
      </c>
      <c r="J1379" s="21">
        <v>33.950000000000003</v>
      </c>
      <c r="K1379" s="22">
        <v>0.05</v>
      </c>
      <c r="L1379" s="21">
        <v>161.26249999999999</v>
      </c>
    </row>
    <row r="1380" spans="1:12">
      <c r="A1380" s="19" t="s">
        <v>1450</v>
      </c>
      <c r="B1380" s="20">
        <v>46334</v>
      </c>
      <c r="C1380" s="19" t="s">
        <v>20</v>
      </c>
      <c r="D1380" s="19" t="s">
        <v>14</v>
      </c>
      <c r="E1380" s="19" t="s">
        <v>15</v>
      </c>
      <c r="F1380" s="19" t="s">
        <v>60</v>
      </c>
      <c r="G1380" s="19" t="s">
        <v>67</v>
      </c>
      <c r="H1380" s="19" t="s">
        <v>63</v>
      </c>
      <c r="I1380" s="19">
        <v>2</v>
      </c>
      <c r="J1380" s="21">
        <v>1560</v>
      </c>
      <c r="K1380" s="22">
        <v>0.08</v>
      </c>
      <c r="L1380" s="21">
        <v>2870.4</v>
      </c>
    </row>
    <row r="1381" spans="1:12">
      <c r="A1381" s="19" t="s">
        <v>1451</v>
      </c>
      <c r="B1381" s="20">
        <v>46120</v>
      </c>
      <c r="C1381" s="19" t="s">
        <v>31</v>
      </c>
      <c r="D1381" s="19" t="s">
        <v>21</v>
      </c>
      <c r="E1381" s="19" t="s">
        <v>22</v>
      </c>
      <c r="F1381" s="19" t="s">
        <v>16</v>
      </c>
      <c r="G1381" s="19" t="s">
        <v>57</v>
      </c>
      <c r="H1381" s="19" t="s">
        <v>79</v>
      </c>
      <c r="I1381" s="19">
        <v>2</v>
      </c>
      <c r="J1381" s="21">
        <v>36.1</v>
      </c>
      <c r="K1381" s="22">
        <v>0.1</v>
      </c>
      <c r="L1381" s="21">
        <v>64.98</v>
      </c>
    </row>
    <row r="1382" spans="1:12">
      <c r="A1382" s="19" t="s">
        <v>1452</v>
      </c>
      <c r="B1382" s="20">
        <v>46174</v>
      </c>
      <c r="C1382" s="19" t="s">
        <v>86</v>
      </c>
      <c r="D1382" s="19" t="s">
        <v>14</v>
      </c>
      <c r="E1382" s="19" t="s">
        <v>15</v>
      </c>
      <c r="F1382" s="19" t="s">
        <v>60</v>
      </c>
      <c r="G1382" s="19" t="s">
        <v>76</v>
      </c>
      <c r="H1382" s="19" t="s">
        <v>93</v>
      </c>
      <c r="I1382" s="19">
        <v>2</v>
      </c>
      <c r="J1382" s="21">
        <v>728</v>
      </c>
      <c r="K1382" s="22">
        <v>0.08</v>
      </c>
      <c r="L1382" s="21">
        <v>1339.52</v>
      </c>
    </row>
    <row r="1383" spans="1:12">
      <c r="A1383" s="19" t="s">
        <v>1453</v>
      </c>
      <c r="B1383" s="20">
        <v>46132</v>
      </c>
      <c r="C1383" s="19" t="s">
        <v>47</v>
      </c>
      <c r="D1383" s="19" t="s">
        <v>14</v>
      </c>
      <c r="E1383" s="19" t="s">
        <v>22</v>
      </c>
      <c r="F1383" s="19" t="s">
        <v>60</v>
      </c>
      <c r="G1383" s="19" t="s">
        <v>91</v>
      </c>
      <c r="H1383" s="19" t="s">
        <v>50</v>
      </c>
      <c r="I1383" s="19">
        <v>1</v>
      </c>
      <c r="J1383" s="21">
        <v>562.6</v>
      </c>
      <c r="K1383" s="22">
        <v>0.1</v>
      </c>
      <c r="L1383" s="21">
        <v>506.34000000000003</v>
      </c>
    </row>
    <row r="1384" spans="1:12">
      <c r="A1384" s="19" t="s">
        <v>1454</v>
      </c>
      <c r="B1384" s="20">
        <v>46095</v>
      </c>
      <c r="C1384" s="19" t="s">
        <v>20</v>
      </c>
      <c r="D1384" s="19" t="s">
        <v>14</v>
      </c>
      <c r="E1384" s="19" t="s">
        <v>22</v>
      </c>
      <c r="F1384" s="19" t="s">
        <v>73</v>
      </c>
      <c r="G1384" s="19" t="s">
        <v>81</v>
      </c>
      <c r="H1384" s="19" t="s">
        <v>25</v>
      </c>
      <c r="I1384" s="19">
        <v>1</v>
      </c>
      <c r="J1384" s="21">
        <v>11.4</v>
      </c>
      <c r="K1384" s="22">
        <v>0</v>
      </c>
      <c r="L1384" s="21">
        <v>11.4</v>
      </c>
    </row>
    <row r="1385" spans="1:12">
      <c r="A1385" s="19" t="s">
        <v>1455</v>
      </c>
      <c r="B1385" s="20">
        <v>46139</v>
      </c>
      <c r="C1385" s="19" t="s">
        <v>86</v>
      </c>
      <c r="D1385" s="19" t="s">
        <v>35</v>
      </c>
      <c r="E1385" s="19" t="s">
        <v>22</v>
      </c>
      <c r="F1385" s="19" t="s">
        <v>48</v>
      </c>
      <c r="G1385" s="19" t="s">
        <v>99</v>
      </c>
      <c r="H1385" s="19" t="s">
        <v>102</v>
      </c>
      <c r="I1385" s="19">
        <v>1</v>
      </c>
      <c r="J1385" s="21">
        <v>2910</v>
      </c>
      <c r="K1385" s="22">
        <v>0.15</v>
      </c>
      <c r="L1385" s="21">
        <v>2473.5</v>
      </c>
    </row>
    <row r="1386" spans="1:12">
      <c r="A1386" s="19" t="s">
        <v>1456</v>
      </c>
      <c r="B1386" s="20">
        <v>46072</v>
      </c>
      <c r="C1386" s="19" t="s">
        <v>31</v>
      </c>
      <c r="D1386" s="19" t="s">
        <v>14</v>
      </c>
      <c r="E1386" s="19" t="s">
        <v>15</v>
      </c>
      <c r="F1386" s="19" t="s">
        <v>27</v>
      </c>
      <c r="G1386" s="19" t="s">
        <v>36</v>
      </c>
      <c r="H1386" s="19" t="s">
        <v>33</v>
      </c>
      <c r="I1386" s="19">
        <v>5</v>
      </c>
      <c r="J1386" s="21">
        <v>780</v>
      </c>
      <c r="K1386" s="22">
        <v>0.05</v>
      </c>
      <c r="L1386" s="21">
        <v>3705</v>
      </c>
    </row>
    <row r="1387" spans="1:12">
      <c r="A1387" s="19" t="s">
        <v>1457</v>
      </c>
      <c r="B1387" s="20">
        <v>46254</v>
      </c>
      <c r="C1387" s="19" t="s">
        <v>47</v>
      </c>
      <c r="D1387" s="19" t="s">
        <v>14</v>
      </c>
      <c r="E1387" s="19" t="s">
        <v>22</v>
      </c>
      <c r="F1387" s="19" t="s">
        <v>16</v>
      </c>
      <c r="G1387" s="19" t="s">
        <v>69</v>
      </c>
      <c r="H1387" s="19" t="s">
        <v>55</v>
      </c>
      <c r="I1387" s="19">
        <v>1</v>
      </c>
      <c r="J1387" s="21">
        <v>55</v>
      </c>
      <c r="K1387" s="22">
        <v>0.1</v>
      </c>
      <c r="L1387" s="21">
        <v>49.5</v>
      </c>
    </row>
    <row r="1388" spans="1:12">
      <c r="A1388" s="19" t="s">
        <v>1458</v>
      </c>
      <c r="B1388" s="20">
        <v>46073</v>
      </c>
      <c r="C1388" s="19" t="s">
        <v>31</v>
      </c>
      <c r="D1388" s="19" t="s">
        <v>14</v>
      </c>
      <c r="E1388" s="19" t="s">
        <v>22</v>
      </c>
      <c r="F1388" s="19" t="s">
        <v>48</v>
      </c>
      <c r="G1388" s="19" t="s">
        <v>96</v>
      </c>
      <c r="H1388" s="19" t="s">
        <v>39</v>
      </c>
      <c r="I1388" s="19">
        <v>2</v>
      </c>
      <c r="J1388" s="21">
        <v>2650</v>
      </c>
      <c r="K1388" s="22">
        <v>0.05</v>
      </c>
      <c r="L1388" s="21">
        <v>5035</v>
      </c>
    </row>
    <row r="1389" spans="1:12">
      <c r="A1389" s="19" t="s">
        <v>1459</v>
      </c>
      <c r="B1389" s="20">
        <v>46163</v>
      </c>
      <c r="C1389" s="19" t="s">
        <v>13</v>
      </c>
      <c r="D1389" s="19" t="s">
        <v>21</v>
      </c>
      <c r="E1389" s="19" t="s">
        <v>22</v>
      </c>
      <c r="F1389" s="19" t="s">
        <v>48</v>
      </c>
      <c r="G1389" s="19" t="s">
        <v>54</v>
      </c>
      <c r="H1389" s="19" t="s">
        <v>43</v>
      </c>
      <c r="I1389" s="19">
        <v>1</v>
      </c>
      <c r="J1389" s="21">
        <v>1836</v>
      </c>
      <c r="K1389" s="22">
        <v>0.05</v>
      </c>
      <c r="L1389" s="21">
        <v>1744.1999999999998</v>
      </c>
    </row>
    <row r="1390" spans="1:12">
      <c r="A1390" s="19" t="s">
        <v>1460</v>
      </c>
      <c r="B1390" s="20">
        <v>46084</v>
      </c>
      <c r="C1390" s="19" t="s">
        <v>31</v>
      </c>
      <c r="D1390" s="19" t="s">
        <v>41</v>
      </c>
      <c r="E1390" s="19" t="s">
        <v>15</v>
      </c>
      <c r="F1390" s="19" t="s">
        <v>27</v>
      </c>
      <c r="G1390" s="19" t="s">
        <v>36</v>
      </c>
      <c r="H1390" s="19" t="s">
        <v>33</v>
      </c>
      <c r="I1390" s="19">
        <v>4</v>
      </c>
      <c r="J1390" s="21">
        <v>750</v>
      </c>
      <c r="K1390" s="22">
        <v>0.05</v>
      </c>
      <c r="L1390" s="21">
        <v>2850</v>
      </c>
    </row>
    <row r="1391" spans="1:12">
      <c r="A1391" s="19" t="s">
        <v>1461</v>
      </c>
      <c r="B1391" s="20">
        <v>46284</v>
      </c>
      <c r="C1391" s="19" t="s">
        <v>31</v>
      </c>
      <c r="D1391" s="19" t="s">
        <v>21</v>
      </c>
      <c r="E1391" s="19" t="s">
        <v>22</v>
      </c>
      <c r="F1391" s="19" t="s">
        <v>27</v>
      </c>
      <c r="G1391" s="19" t="s">
        <v>28</v>
      </c>
      <c r="H1391" s="19" t="s">
        <v>33</v>
      </c>
      <c r="I1391" s="19">
        <v>6</v>
      </c>
      <c r="J1391" s="21">
        <v>20</v>
      </c>
      <c r="K1391" s="22">
        <v>0.08</v>
      </c>
      <c r="L1391" s="21">
        <v>110.4</v>
      </c>
    </row>
    <row r="1392" spans="1:12">
      <c r="A1392" s="19" t="s">
        <v>1462</v>
      </c>
      <c r="B1392" s="20">
        <v>46088</v>
      </c>
      <c r="C1392" s="19" t="s">
        <v>86</v>
      </c>
      <c r="D1392" s="19" t="s">
        <v>14</v>
      </c>
      <c r="E1392" s="19" t="s">
        <v>22</v>
      </c>
      <c r="F1392" s="19" t="s">
        <v>73</v>
      </c>
      <c r="G1392" s="19" t="s">
        <v>145</v>
      </c>
      <c r="H1392" s="19" t="s">
        <v>102</v>
      </c>
      <c r="I1392" s="19">
        <v>5</v>
      </c>
      <c r="J1392" s="21">
        <v>18</v>
      </c>
      <c r="K1392" s="22">
        <v>0.05</v>
      </c>
      <c r="L1392" s="21">
        <v>85.5</v>
      </c>
    </row>
    <row r="1393" spans="1:12">
      <c r="A1393" s="19" t="s">
        <v>1463</v>
      </c>
      <c r="B1393" s="20">
        <v>46323</v>
      </c>
      <c r="C1393" s="19" t="s">
        <v>86</v>
      </c>
      <c r="D1393" s="19" t="s">
        <v>14</v>
      </c>
      <c r="E1393" s="19" t="s">
        <v>15</v>
      </c>
      <c r="F1393" s="19" t="s">
        <v>27</v>
      </c>
      <c r="G1393" s="19" t="s">
        <v>155</v>
      </c>
      <c r="H1393" s="19" t="s">
        <v>87</v>
      </c>
      <c r="I1393" s="19">
        <v>7</v>
      </c>
      <c r="J1393" s="21">
        <v>183.6</v>
      </c>
      <c r="K1393" s="22">
        <v>0.08</v>
      </c>
      <c r="L1393" s="21">
        <v>1182.384</v>
      </c>
    </row>
    <row r="1394" spans="1:12">
      <c r="A1394" s="19" t="s">
        <v>1464</v>
      </c>
      <c r="B1394" s="20">
        <v>46109</v>
      </c>
      <c r="C1394" s="19" t="s">
        <v>47</v>
      </c>
      <c r="D1394" s="19" t="s">
        <v>41</v>
      </c>
      <c r="E1394" s="19" t="s">
        <v>22</v>
      </c>
      <c r="F1394" s="19" t="s">
        <v>60</v>
      </c>
      <c r="G1394" s="19" t="s">
        <v>67</v>
      </c>
      <c r="H1394" s="19" t="s">
        <v>55</v>
      </c>
      <c r="I1394" s="19">
        <v>1</v>
      </c>
      <c r="J1394" s="21">
        <v>1500</v>
      </c>
      <c r="K1394" s="22">
        <v>0.03</v>
      </c>
      <c r="L1394" s="21">
        <v>1455</v>
      </c>
    </row>
    <row r="1395" spans="1:12">
      <c r="A1395" s="19" t="s">
        <v>1465</v>
      </c>
      <c r="B1395" s="20">
        <v>46265</v>
      </c>
      <c r="C1395" s="19" t="s">
        <v>86</v>
      </c>
      <c r="D1395" s="19" t="s">
        <v>14</v>
      </c>
      <c r="E1395" s="19" t="s">
        <v>15</v>
      </c>
      <c r="F1395" s="19" t="s">
        <v>16</v>
      </c>
      <c r="G1395" s="19" t="s">
        <v>42</v>
      </c>
      <c r="H1395" s="19" t="s">
        <v>102</v>
      </c>
      <c r="I1395" s="19">
        <v>4</v>
      </c>
      <c r="J1395" s="21">
        <v>45.9</v>
      </c>
      <c r="K1395" s="22">
        <v>0.1</v>
      </c>
      <c r="L1395" s="21">
        <v>165.24</v>
      </c>
    </row>
    <row r="1396" spans="1:12">
      <c r="A1396" s="19" t="s">
        <v>1466</v>
      </c>
      <c r="B1396" s="20">
        <v>46146</v>
      </c>
      <c r="C1396" s="19" t="s">
        <v>20</v>
      </c>
      <c r="D1396" s="19" t="s">
        <v>41</v>
      </c>
      <c r="E1396" s="19" t="s">
        <v>22</v>
      </c>
      <c r="F1396" s="19" t="s">
        <v>16</v>
      </c>
      <c r="G1396" s="19" t="s">
        <v>57</v>
      </c>
      <c r="H1396" s="19" t="s">
        <v>58</v>
      </c>
      <c r="I1396" s="19">
        <v>3</v>
      </c>
      <c r="J1396" s="21">
        <v>38</v>
      </c>
      <c r="K1396" s="22">
        <v>0.15</v>
      </c>
      <c r="L1396" s="21">
        <v>96.899999999999991</v>
      </c>
    </row>
    <row r="1397" spans="1:12">
      <c r="A1397" s="19" t="s">
        <v>1467</v>
      </c>
      <c r="B1397" s="20">
        <v>46254</v>
      </c>
      <c r="C1397" s="19" t="s">
        <v>31</v>
      </c>
      <c r="D1397" s="19" t="s">
        <v>35</v>
      </c>
      <c r="E1397" s="19" t="s">
        <v>22</v>
      </c>
      <c r="F1397" s="19" t="s">
        <v>16</v>
      </c>
      <c r="G1397" s="19" t="s">
        <v>17</v>
      </c>
      <c r="H1397" s="19" t="s">
        <v>79</v>
      </c>
      <c r="I1397" s="19">
        <v>7</v>
      </c>
      <c r="J1397" s="21">
        <v>15</v>
      </c>
      <c r="K1397" s="22">
        <v>0.1</v>
      </c>
      <c r="L1397" s="21">
        <v>94.5</v>
      </c>
    </row>
    <row r="1398" spans="1:12">
      <c r="A1398" s="19" t="s">
        <v>1468</v>
      </c>
      <c r="B1398" s="20">
        <v>46113</v>
      </c>
      <c r="C1398" s="19" t="s">
        <v>86</v>
      </c>
      <c r="D1398" s="19" t="s">
        <v>21</v>
      </c>
      <c r="E1398" s="19" t="s">
        <v>22</v>
      </c>
      <c r="F1398" s="19" t="s">
        <v>60</v>
      </c>
      <c r="G1398" s="19" t="s">
        <v>76</v>
      </c>
      <c r="H1398" s="19" t="s">
        <v>93</v>
      </c>
      <c r="I1398" s="19">
        <v>4</v>
      </c>
      <c r="J1398" s="21">
        <v>742</v>
      </c>
      <c r="K1398" s="22">
        <v>0.08</v>
      </c>
      <c r="L1398" s="21">
        <v>2730.56</v>
      </c>
    </row>
    <row r="1399" spans="1:12">
      <c r="A1399" s="19" t="s">
        <v>1469</v>
      </c>
      <c r="B1399" s="20">
        <v>46383</v>
      </c>
      <c r="C1399" s="19" t="s">
        <v>20</v>
      </c>
      <c r="D1399" s="19" t="s">
        <v>21</v>
      </c>
      <c r="E1399" s="19" t="s">
        <v>15</v>
      </c>
      <c r="F1399" s="19" t="s">
        <v>23</v>
      </c>
      <c r="G1399" s="19" t="s">
        <v>52</v>
      </c>
      <c r="H1399" s="19" t="s">
        <v>63</v>
      </c>
      <c r="I1399" s="19">
        <v>3</v>
      </c>
      <c r="J1399" s="21">
        <v>450</v>
      </c>
      <c r="K1399" s="22">
        <v>0.1</v>
      </c>
      <c r="L1399" s="21">
        <v>1215</v>
      </c>
    </row>
    <row r="1400" spans="1:12">
      <c r="A1400" s="19" t="s">
        <v>1470</v>
      </c>
      <c r="B1400" s="20">
        <v>46129</v>
      </c>
      <c r="C1400" s="19" t="s">
        <v>31</v>
      </c>
      <c r="D1400" s="19" t="s">
        <v>14</v>
      </c>
      <c r="E1400" s="19" t="s">
        <v>22</v>
      </c>
      <c r="F1400" s="19" t="s">
        <v>16</v>
      </c>
      <c r="G1400" s="19" t="s">
        <v>42</v>
      </c>
      <c r="H1400" s="19" t="s">
        <v>33</v>
      </c>
      <c r="I1400" s="19">
        <v>1</v>
      </c>
      <c r="J1400" s="21">
        <v>46.8</v>
      </c>
      <c r="K1400" s="22">
        <v>0</v>
      </c>
      <c r="L1400" s="21">
        <v>46.8</v>
      </c>
    </row>
    <row r="1401" spans="1:12">
      <c r="A1401" s="19" t="s">
        <v>1471</v>
      </c>
      <c r="B1401" s="20">
        <v>46232</v>
      </c>
      <c r="C1401" s="19" t="s">
        <v>20</v>
      </c>
      <c r="D1401" s="19" t="s">
        <v>21</v>
      </c>
      <c r="E1401" s="19" t="s">
        <v>22</v>
      </c>
      <c r="F1401" s="19" t="s">
        <v>27</v>
      </c>
      <c r="G1401" s="19" t="s">
        <v>28</v>
      </c>
      <c r="H1401" s="19" t="s">
        <v>58</v>
      </c>
      <c r="I1401" s="19">
        <v>3</v>
      </c>
      <c r="J1401" s="21">
        <v>19</v>
      </c>
      <c r="K1401" s="22">
        <v>0.08</v>
      </c>
      <c r="L1401" s="21">
        <v>52.440000000000005</v>
      </c>
    </row>
    <row r="1402" spans="1:12">
      <c r="A1402" s="19" t="s">
        <v>1472</v>
      </c>
      <c r="B1402" s="20">
        <v>46275</v>
      </c>
      <c r="C1402" s="19" t="s">
        <v>13</v>
      </c>
      <c r="D1402" s="19" t="s">
        <v>41</v>
      </c>
      <c r="E1402" s="19" t="s">
        <v>22</v>
      </c>
      <c r="F1402" s="19" t="s">
        <v>48</v>
      </c>
      <c r="G1402" s="19" t="s">
        <v>54</v>
      </c>
      <c r="H1402" s="19" t="s">
        <v>43</v>
      </c>
      <c r="I1402" s="19">
        <v>1</v>
      </c>
      <c r="J1402" s="21">
        <v>1800</v>
      </c>
      <c r="K1402" s="22">
        <v>0.03</v>
      </c>
      <c r="L1402" s="21">
        <v>1746</v>
      </c>
    </row>
    <row r="1403" spans="1:12">
      <c r="A1403" s="19" t="s">
        <v>1473</v>
      </c>
      <c r="B1403" s="20">
        <v>46184</v>
      </c>
      <c r="C1403" s="19" t="s">
        <v>13</v>
      </c>
      <c r="D1403" s="19" t="s">
        <v>41</v>
      </c>
      <c r="E1403" s="19" t="s">
        <v>15</v>
      </c>
      <c r="F1403" s="19" t="s">
        <v>16</v>
      </c>
      <c r="G1403" s="19" t="s">
        <v>17</v>
      </c>
      <c r="H1403" s="19" t="s">
        <v>29</v>
      </c>
      <c r="I1403" s="19">
        <v>1</v>
      </c>
      <c r="J1403" s="21">
        <v>15</v>
      </c>
      <c r="K1403" s="22">
        <v>0.05</v>
      </c>
      <c r="L1403" s="21">
        <v>14.25</v>
      </c>
    </row>
    <row r="1404" spans="1:12">
      <c r="A1404" s="19" t="s">
        <v>1474</v>
      </c>
      <c r="B1404" s="20">
        <v>46202</v>
      </c>
      <c r="C1404" s="19" t="s">
        <v>20</v>
      </c>
      <c r="D1404" s="19" t="s">
        <v>35</v>
      </c>
      <c r="E1404" s="19" t="s">
        <v>22</v>
      </c>
      <c r="F1404" s="19" t="s">
        <v>73</v>
      </c>
      <c r="G1404" s="19" t="s">
        <v>129</v>
      </c>
      <c r="H1404" s="19" t="s">
        <v>58</v>
      </c>
      <c r="I1404" s="19">
        <v>15</v>
      </c>
      <c r="J1404" s="21">
        <v>35</v>
      </c>
      <c r="K1404" s="22">
        <v>0.1</v>
      </c>
      <c r="L1404" s="21">
        <v>472.5</v>
      </c>
    </row>
    <row r="1405" spans="1:12">
      <c r="A1405" s="19" t="s">
        <v>1475</v>
      </c>
      <c r="B1405" s="20">
        <v>46027</v>
      </c>
      <c r="C1405" s="19" t="s">
        <v>47</v>
      </c>
      <c r="D1405" s="19" t="s">
        <v>41</v>
      </c>
      <c r="E1405" s="19" t="s">
        <v>15</v>
      </c>
      <c r="F1405" s="19" t="s">
        <v>16</v>
      </c>
      <c r="G1405" s="19" t="s">
        <v>57</v>
      </c>
      <c r="H1405" s="19" t="s">
        <v>50</v>
      </c>
      <c r="I1405" s="19">
        <v>1</v>
      </c>
      <c r="J1405" s="21">
        <v>38</v>
      </c>
      <c r="K1405" s="22">
        <v>0.05</v>
      </c>
      <c r="L1405" s="21">
        <v>36.1</v>
      </c>
    </row>
    <row r="1406" spans="1:12">
      <c r="A1406" s="19" t="s">
        <v>1476</v>
      </c>
      <c r="B1406" s="20">
        <v>46230</v>
      </c>
      <c r="C1406" s="19" t="s">
        <v>13</v>
      </c>
      <c r="D1406" s="19" t="s">
        <v>21</v>
      </c>
      <c r="E1406" s="19" t="s">
        <v>15</v>
      </c>
      <c r="F1406" s="19" t="s">
        <v>23</v>
      </c>
      <c r="G1406" s="19" t="s">
        <v>138</v>
      </c>
      <c r="H1406" s="19" t="s">
        <v>18</v>
      </c>
      <c r="I1406" s="19">
        <v>2</v>
      </c>
      <c r="J1406" s="21">
        <v>58.2</v>
      </c>
      <c r="K1406" s="22">
        <v>0</v>
      </c>
      <c r="L1406" s="21">
        <v>116.4</v>
      </c>
    </row>
    <row r="1407" spans="1:12">
      <c r="A1407" s="19" t="s">
        <v>1477</v>
      </c>
      <c r="B1407" s="20">
        <v>46180</v>
      </c>
      <c r="C1407" s="19" t="s">
        <v>20</v>
      </c>
      <c r="D1407" s="19" t="s">
        <v>14</v>
      </c>
      <c r="E1407" s="19" t="s">
        <v>15</v>
      </c>
      <c r="F1407" s="19" t="s">
        <v>27</v>
      </c>
      <c r="G1407" s="19" t="s">
        <v>32</v>
      </c>
      <c r="H1407" s="19" t="s">
        <v>58</v>
      </c>
      <c r="I1407" s="19">
        <v>1</v>
      </c>
      <c r="J1407" s="21">
        <v>271.60000000000002</v>
      </c>
      <c r="K1407" s="22">
        <v>0.05</v>
      </c>
      <c r="L1407" s="21">
        <v>258.02</v>
      </c>
    </row>
    <row r="1408" spans="1:12">
      <c r="A1408" s="19" t="s">
        <v>1478</v>
      </c>
      <c r="B1408" s="20">
        <v>46344</v>
      </c>
      <c r="C1408" s="19" t="s">
        <v>31</v>
      </c>
      <c r="D1408" s="19" t="s">
        <v>41</v>
      </c>
      <c r="E1408" s="19" t="s">
        <v>22</v>
      </c>
      <c r="F1408" s="19" t="s">
        <v>48</v>
      </c>
      <c r="G1408" s="19" t="s">
        <v>54</v>
      </c>
      <c r="H1408" s="19" t="s">
        <v>39</v>
      </c>
      <c r="I1408" s="19">
        <v>2</v>
      </c>
      <c r="J1408" s="21">
        <v>1872</v>
      </c>
      <c r="K1408" s="22">
        <v>0.08</v>
      </c>
      <c r="L1408" s="21">
        <v>3444.48</v>
      </c>
    </row>
    <row r="1409" spans="1:12">
      <c r="A1409" s="19" t="s">
        <v>1479</v>
      </c>
      <c r="B1409" s="20">
        <v>46308</v>
      </c>
      <c r="C1409" s="19" t="s">
        <v>31</v>
      </c>
      <c r="D1409" s="19" t="s">
        <v>14</v>
      </c>
      <c r="E1409" s="19" t="s">
        <v>22</v>
      </c>
      <c r="F1409" s="19" t="s">
        <v>23</v>
      </c>
      <c r="G1409" s="19" t="s">
        <v>52</v>
      </c>
      <c r="H1409" s="19" t="s">
        <v>33</v>
      </c>
      <c r="I1409" s="19">
        <v>5</v>
      </c>
      <c r="J1409" s="21">
        <v>450</v>
      </c>
      <c r="K1409" s="22">
        <v>0.15</v>
      </c>
      <c r="L1409" s="21">
        <v>1912.5</v>
      </c>
    </row>
    <row r="1410" spans="1:12">
      <c r="A1410" s="19" t="s">
        <v>1480</v>
      </c>
      <c r="B1410" s="20">
        <v>46249</v>
      </c>
      <c r="C1410" s="19" t="s">
        <v>86</v>
      </c>
      <c r="D1410" s="19" t="s">
        <v>35</v>
      </c>
      <c r="E1410" s="19" t="s">
        <v>15</v>
      </c>
      <c r="F1410" s="19" t="s">
        <v>16</v>
      </c>
      <c r="G1410" s="19" t="s">
        <v>69</v>
      </c>
      <c r="H1410" s="19" t="s">
        <v>87</v>
      </c>
      <c r="I1410" s="19">
        <v>2</v>
      </c>
      <c r="J1410" s="21">
        <v>55</v>
      </c>
      <c r="K1410" s="22">
        <v>0.05</v>
      </c>
      <c r="L1410" s="21">
        <v>104.5</v>
      </c>
    </row>
    <row r="1411" spans="1:12">
      <c r="A1411" s="19" t="s">
        <v>1481</v>
      </c>
      <c r="B1411" s="20">
        <v>46377</v>
      </c>
      <c r="C1411" s="19" t="s">
        <v>86</v>
      </c>
      <c r="D1411" s="19" t="s">
        <v>35</v>
      </c>
      <c r="E1411" s="19" t="s">
        <v>15</v>
      </c>
      <c r="F1411" s="19" t="s">
        <v>48</v>
      </c>
      <c r="G1411" s="19" t="s">
        <v>49</v>
      </c>
      <c r="H1411" s="19" t="s">
        <v>87</v>
      </c>
      <c r="I1411" s="19">
        <v>1</v>
      </c>
      <c r="J1411" s="21">
        <v>4074</v>
      </c>
      <c r="K1411" s="22">
        <v>0.03</v>
      </c>
      <c r="L1411" s="21">
        <v>3951.7799999999997</v>
      </c>
    </row>
    <row r="1412" spans="1:12">
      <c r="A1412" s="19" t="s">
        <v>1482</v>
      </c>
      <c r="B1412" s="20">
        <v>46238</v>
      </c>
      <c r="C1412" s="19" t="s">
        <v>20</v>
      </c>
      <c r="D1412" s="19" t="s">
        <v>21</v>
      </c>
      <c r="E1412" s="19" t="s">
        <v>22</v>
      </c>
      <c r="F1412" s="19" t="s">
        <v>60</v>
      </c>
      <c r="G1412" s="19" t="s">
        <v>67</v>
      </c>
      <c r="H1412" s="19" t="s">
        <v>58</v>
      </c>
      <c r="I1412" s="19">
        <v>2</v>
      </c>
      <c r="J1412" s="21">
        <v>1455</v>
      </c>
      <c r="K1412" s="22">
        <v>0</v>
      </c>
      <c r="L1412" s="21">
        <v>2910</v>
      </c>
    </row>
    <row r="1413" spans="1:12">
      <c r="A1413" s="19" t="s">
        <v>1483</v>
      </c>
      <c r="B1413" s="20">
        <v>46152</v>
      </c>
      <c r="C1413" s="19" t="s">
        <v>20</v>
      </c>
      <c r="D1413" s="19" t="s">
        <v>21</v>
      </c>
      <c r="E1413" s="19" t="s">
        <v>15</v>
      </c>
      <c r="F1413" s="19" t="s">
        <v>16</v>
      </c>
      <c r="G1413" s="19" t="s">
        <v>57</v>
      </c>
      <c r="H1413" s="19" t="s">
        <v>25</v>
      </c>
      <c r="I1413" s="19">
        <v>4</v>
      </c>
      <c r="J1413" s="21">
        <v>38</v>
      </c>
      <c r="K1413" s="22">
        <v>0.1</v>
      </c>
      <c r="L1413" s="21">
        <v>136.80000000000001</v>
      </c>
    </row>
    <row r="1414" spans="1:12">
      <c r="A1414" s="19" t="s">
        <v>1484</v>
      </c>
      <c r="B1414" s="20">
        <v>46140</v>
      </c>
      <c r="C1414" s="19" t="s">
        <v>86</v>
      </c>
      <c r="D1414" s="19" t="s">
        <v>14</v>
      </c>
      <c r="E1414" s="19" t="s">
        <v>22</v>
      </c>
      <c r="F1414" s="19" t="s">
        <v>16</v>
      </c>
      <c r="G1414" s="19" t="s">
        <v>57</v>
      </c>
      <c r="H1414" s="19" t="s">
        <v>102</v>
      </c>
      <c r="I1414" s="19">
        <v>2</v>
      </c>
      <c r="J1414" s="21">
        <v>38</v>
      </c>
      <c r="K1414" s="22">
        <v>0</v>
      </c>
      <c r="L1414" s="21">
        <v>76</v>
      </c>
    </row>
    <row r="1415" spans="1:12">
      <c r="A1415" s="19" t="s">
        <v>1485</v>
      </c>
      <c r="B1415" s="20">
        <v>46165</v>
      </c>
      <c r="C1415" s="19" t="s">
        <v>31</v>
      </c>
      <c r="D1415" s="19" t="s">
        <v>14</v>
      </c>
      <c r="E1415" s="19" t="s">
        <v>22</v>
      </c>
      <c r="F1415" s="19" t="s">
        <v>60</v>
      </c>
      <c r="G1415" s="19" t="s">
        <v>91</v>
      </c>
      <c r="H1415" s="19" t="s">
        <v>33</v>
      </c>
      <c r="I1415" s="19">
        <v>1</v>
      </c>
      <c r="J1415" s="21">
        <v>591.6</v>
      </c>
      <c r="K1415" s="22">
        <v>0.2</v>
      </c>
      <c r="L1415" s="21">
        <v>473.28000000000003</v>
      </c>
    </row>
    <row r="1416" spans="1:12">
      <c r="A1416" s="19" t="s">
        <v>1486</v>
      </c>
      <c r="B1416" s="20">
        <v>46146</v>
      </c>
      <c r="C1416" s="19" t="s">
        <v>31</v>
      </c>
      <c r="D1416" s="19" t="s">
        <v>14</v>
      </c>
      <c r="E1416" s="19" t="s">
        <v>22</v>
      </c>
      <c r="F1416" s="19" t="s">
        <v>16</v>
      </c>
      <c r="G1416" s="19" t="s">
        <v>57</v>
      </c>
      <c r="H1416" s="19" t="s">
        <v>39</v>
      </c>
      <c r="I1416" s="19">
        <v>5</v>
      </c>
      <c r="J1416" s="21">
        <v>38</v>
      </c>
      <c r="K1416" s="22">
        <v>0.05</v>
      </c>
      <c r="L1416" s="21">
        <v>180.5</v>
      </c>
    </row>
    <row r="1417" spans="1:12">
      <c r="A1417" s="19" t="s">
        <v>1487</v>
      </c>
      <c r="B1417" s="20">
        <v>46359</v>
      </c>
      <c r="C1417" s="19" t="s">
        <v>47</v>
      </c>
      <c r="D1417" s="19" t="s">
        <v>21</v>
      </c>
      <c r="E1417" s="19" t="s">
        <v>22</v>
      </c>
      <c r="F1417" s="19" t="s">
        <v>23</v>
      </c>
      <c r="G1417" s="19" t="s">
        <v>138</v>
      </c>
      <c r="H1417" s="19" t="s">
        <v>50</v>
      </c>
      <c r="I1417" s="19">
        <v>1</v>
      </c>
      <c r="J1417" s="21">
        <v>60</v>
      </c>
      <c r="K1417" s="22">
        <v>0.08</v>
      </c>
      <c r="L1417" s="21">
        <v>55.2</v>
      </c>
    </row>
    <row r="1418" spans="1:12">
      <c r="A1418" s="19" t="s">
        <v>1488</v>
      </c>
      <c r="B1418" s="20">
        <v>46171</v>
      </c>
      <c r="C1418" s="19" t="s">
        <v>20</v>
      </c>
      <c r="D1418" s="19" t="s">
        <v>35</v>
      </c>
      <c r="E1418" s="19" t="s">
        <v>15</v>
      </c>
      <c r="F1418" s="19" t="s">
        <v>16</v>
      </c>
      <c r="G1418" s="19" t="s">
        <v>42</v>
      </c>
      <c r="H1418" s="19" t="s">
        <v>25</v>
      </c>
      <c r="I1418" s="19">
        <v>13</v>
      </c>
      <c r="J1418" s="21">
        <v>43.65</v>
      </c>
      <c r="K1418" s="22">
        <v>0.08</v>
      </c>
      <c r="L1418" s="21">
        <v>522.05399999999997</v>
      </c>
    </row>
    <row r="1419" spans="1:12">
      <c r="A1419" s="19" t="s">
        <v>1489</v>
      </c>
      <c r="B1419" s="20">
        <v>46328</v>
      </c>
      <c r="C1419" s="19" t="s">
        <v>20</v>
      </c>
      <c r="D1419" s="19" t="s">
        <v>14</v>
      </c>
      <c r="E1419" s="19" t="s">
        <v>22</v>
      </c>
      <c r="F1419" s="19" t="s">
        <v>16</v>
      </c>
      <c r="G1419" s="19" t="s">
        <v>65</v>
      </c>
      <c r="H1419" s="19" t="s">
        <v>58</v>
      </c>
      <c r="I1419" s="19">
        <v>1</v>
      </c>
      <c r="J1419" s="21">
        <v>80</v>
      </c>
      <c r="K1419" s="22">
        <v>0.03</v>
      </c>
      <c r="L1419" s="21">
        <v>77.599999999999994</v>
      </c>
    </row>
    <row r="1420" spans="1:12">
      <c r="A1420" s="19" t="s">
        <v>1490</v>
      </c>
      <c r="B1420" s="20">
        <v>46379</v>
      </c>
      <c r="C1420" s="19" t="s">
        <v>47</v>
      </c>
      <c r="D1420" s="19" t="s">
        <v>21</v>
      </c>
      <c r="E1420" s="19" t="s">
        <v>15</v>
      </c>
      <c r="F1420" s="19" t="s">
        <v>16</v>
      </c>
      <c r="G1420" s="19" t="s">
        <v>17</v>
      </c>
      <c r="H1420" s="19" t="s">
        <v>55</v>
      </c>
      <c r="I1420" s="19">
        <v>1</v>
      </c>
      <c r="J1420" s="21">
        <v>15</v>
      </c>
      <c r="K1420" s="22">
        <v>0.2</v>
      </c>
      <c r="L1420" s="21">
        <v>12</v>
      </c>
    </row>
    <row r="1421" spans="1:12">
      <c r="A1421" s="19" t="s">
        <v>1491</v>
      </c>
      <c r="B1421" s="20">
        <v>46217</v>
      </c>
      <c r="C1421" s="19" t="s">
        <v>31</v>
      </c>
      <c r="D1421" s="19" t="s">
        <v>21</v>
      </c>
      <c r="E1421" s="19" t="s">
        <v>15</v>
      </c>
      <c r="F1421" s="19" t="s">
        <v>73</v>
      </c>
      <c r="G1421" s="19" t="s">
        <v>81</v>
      </c>
      <c r="H1421" s="19" t="s">
        <v>79</v>
      </c>
      <c r="I1421" s="19">
        <v>3</v>
      </c>
      <c r="J1421" s="21">
        <v>12.72</v>
      </c>
      <c r="K1421" s="22">
        <v>0</v>
      </c>
      <c r="L1421" s="21">
        <v>38.160000000000004</v>
      </c>
    </row>
    <row r="1422" spans="1:12">
      <c r="A1422" s="19" t="s">
        <v>1492</v>
      </c>
      <c r="B1422" s="20">
        <v>46247</v>
      </c>
      <c r="C1422" s="19" t="s">
        <v>31</v>
      </c>
      <c r="D1422" s="19" t="s">
        <v>21</v>
      </c>
      <c r="E1422" s="19" t="s">
        <v>15</v>
      </c>
      <c r="F1422" s="19" t="s">
        <v>48</v>
      </c>
      <c r="G1422" s="19" t="s">
        <v>99</v>
      </c>
      <c r="H1422" s="19" t="s">
        <v>79</v>
      </c>
      <c r="I1422" s="19">
        <v>3</v>
      </c>
      <c r="J1422" s="21">
        <v>3120</v>
      </c>
      <c r="K1422" s="22">
        <v>0.03</v>
      </c>
      <c r="L1422" s="21">
        <v>9079.1999999999989</v>
      </c>
    </row>
    <row r="1423" spans="1:12">
      <c r="A1423" s="19" t="s">
        <v>1493</v>
      </c>
      <c r="B1423" s="20">
        <v>46263</v>
      </c>
      <c r="C1423" s="19" t="s">
        <v>31</v>
      </c>
      <c r="D1423" s="19" t="s">
        <v>21</v>
      </c>
      <c r="E1423" s="19" t="s">
        <v>22</v>
      </c>
      <c r="F1423" s="19" t="s">
        <v>60</v>
      </c>
      <c r="G1423" s="19" t="s">
        <v>91</v>
      </c>
      <c r="H1423" s="19" t="s">
        <v>39</v>
      </c>
      <c r="I1423" s="19">
        <v>2</v>
      </c>
      <c r="J1423" s="21">
        <v>603.20000000000005</v>
      </c>
      <c r="K1423" s="22">
        <v>0.1</v>
      </c>
      <c r="L1423" s="21">
        <v>1085.7600000000002</v>
      </c>
    </row>
    <row r="1424" spans="1:12">
      <c r="A1424" s="19" t="s">
        <v>1494</v>
      </c>
      <c r="B1424" s="20">
        <v>46059</v>
      </c>
      <c r="C1424" s="19" t="s">
        <v>47</v>
      </c>
      <c r="D1424" s="19" t="s">
        <v>21</v>
      </c>
      <c r="E1424" s="19" t="s">
        <v>22</v>
      </c>
      <c r="F1424" s="19" t="s">
        <v>48</v>
      </c>
      <c r="G1424" s="19" t="s">
        <v>71</v>
      </c>
      <c r="H1424" s="19" t="s">
        <v>55</v>
      </c>
      <c r="I1424" s="19">
        <v>4</v>
      </c>
      <c r="J1424" s="21">
        <v>3200</v>
      </c>
      <c r="K1424" s="22">
        <v>0.1</v>
      </c>
      <c r="L1424" s="21">
        <v>11520</v>
      </c>
    </row>
    <row r="1425" spans="1:12">
      <c r="A1425" s="19" t="s">
        <v>1495</v>
      </c>
      <c r="B1425" s="20">
        <v>46035</v>
      </c>
      <c r="C1425" s="19" t="s">
        <v>31</v>
      </c>
      <c r="D1425" s="19" t="s">
        <v>14</v>
      </c>
      <c r="E1425" s="19" t="s">
        <v>22</v>
      </c>
      <c r="F1425" s="19" t="s">
        <v>60</v>
      </c>
      <c r="G1425" s="19" t="s">
        <v>61</v>
      </c>
      <c r="H1425" s="19" t="s">
        <v>79</v>
      </c>
      <c r="I1425" s="19">
        <v>3</v>
      </c>
      <c r="J1425" s="21">
        <v>824.5</v>
      </c>
      <c r="K1425" s="22">
        <v>0</v>
      </c>
      <c r="L1425" s="21">
        <v>2473.5</v>
      </c>
    </row>
    <row r="1426" spans="1:12">
      <c r="A1426" s="19" t="s">
        <v>1496</v>
      </c>
      <c r="B1426" s="20">
        <v>46157</v>
      </c>
      <c r="C1426" s="19" t="s">
        <v>31</v>
      </c>
      <c r="D1426" s="19" t="s">
        <v>35</v>
      </c>
      <c r="E1426" s="19" t="s">
        <v>22</v>
      </c>
      <c r="F1426" s="19" t="s">
        <v>27</v>
      </c>
      <c r="G1426" s="19" t="s">
        <v>28</v>
      </c>
      <c r="H1426" s="19" t="s">
        <v>33</v>
      </c>
      <c r="I1426" s="19">
        <v>6</v>
      </c>
      <c r="J1426" s="21">
        <v>20.8</v>
      </c>
      <c r="K1426" s="22">
        <v>0.08</v>
      </c>
      <c r="L1426" s="21">
        <v>114.81600000000002</v>
      </c>
    </row>
    <row r="1427" spans="1:12">
      <c r="A1427" s="19" t="s">
        <v>1497</v>
      </c>
      <c r="B1427" s="20">
        <v>46180</v>
      </c>
      <c r="C1427" s="19" t="s">
        <v>47</v>
      </c>
      <c r="D1427" s="19" t="s">
        <v>14</v>
      </c>
      <c r="E1427" s="19" t="s">
        <v>22</v>
      </c>
      <c r="F1427" s="19" t="s">
        <v>16</v>
      </c>
      <c r="G1427" s="19" t="s">
        <v>17</v>
      </c>
      <c r="H1427" s="19" t="s">
        <v>83</v>
      </c>
      <c r="I1427" s="19">
        <v>2</v>
      </c>
      <c r="J1427" s="21">
        <v>15</v>
      </c>
      <c r="K1427" s="22">
        <v>0.2</v>
      </c>
      <c r="L1427" s="21">
        <v>24</v>
      </c>
    </row>
    <row r="1428" spans="1:12">
      <c r="A1428" s="19" t="s">
        <v>1498</v>
      </c>
      <c r="B1428" s="20">
        <v>46023</v>
      </c>
      <c r="C1428" s="19" t="s">
        <v>20</v>
      </c>
      <c r="D1428" s="19" t="s">
        <v>14</v>
      </c>
      <c r="E1428" s="19" t="s">
        <v>22</v>
      </c>
      <c r="F1428" s="19" t="s">
        <v>73</v>
      </c>
      <c r="G1428" s="19" t="s">
        <v>145</v>
      </c>
      <c r="H1428" s="19" t="s">
        <v>63</v>
      </c>
      <c r="I1428" s="19">
        <v>1</v>
      </c>
      <c r="J1428" s="21">
        <v>18</v>
      </c>
      <c r="K1428" s="22">
        <v>0</v>
      </c>
      <c r="L1428" s="21">
        <v>18</v>
      </c>
    </row>
    <row r="1429" spans="1:12">
      <c r="A1429" s="19" t="s">
        <v>1499</v>
      </c>
      <c r="B1429" s="20">
        <v>46090</v>
      </c>
      <c r="C1429" s="19" t="s">
        <v>31</v>
      </c>
      <c r="D1429" s="19" t="s">
        <v>35</v>
      </c>
      <c r="E1429" s="19" t="s">
        <v>22</v>
      </c>
      <c r="F1429" s="19" t="s">
        <v>73</v>
      </c>
      <c r="G1429" s="19" t="s">
        <v>127</v>
      </c>
      <c r="H1429" s="19" t="s">
        <v>33</v>
      </c>
      <c r="I1429" s="19">
        <v>5</v>
      </c>
      <c r="J1429" s="21">
        <v>26.5</v>
      </c>
      <c r="K1429" s="22">
        <v>0.1</v>
      </c>
      <c r="L1429" s="21">
        <v>119.25</v>
      </c>
    </row>
    <row r="1430" spans="1:12">
      <c r="A1430" s="19" t="s">
        <v>1500</v>
      </c>
      <c r="B1430" s="20">
        <v>46109</v>
      </c>
      <c r="C1430" s="19" t="s">
        <v>86</v>
      </c>
      <c r="D1430" s="19" t="s">
        <v>21</v>
      </c>
      <c r="E1430" s="19" t="s">
        <v>22</v>
      </c>
      <c r="F1430" s="19" t="s">
        <v>16</v>
      </c>
      <c r="G1430" s="19" t="s">
        <v>112</v>
      </c>
      <c r="H1430" s="19" t="s">
        <v>93</v>
      </c>
      <c r="I1430" s="19">
        <v>6</v>
      </c>
      <c r="J1430" s="21">
        <v>68.900000000000006</v>
      </c>
      <c r="K1430" s="22">
        <v>0</v>
      </c>
      <c r="L1430" s="21">
        <v>413.40000000000003</v>
      </c>
    </row>
    <row r="1431" spans="1:12">
      <c r="A1431" s="19" t="s">
        <v>1501</v>
      </c>
      <c r="B1431" s="20">
        <v>46278</v>
      </c>
      <c r="C1431" s="19" t="s">
        <v>31</v>
      </c>
      <c r="D1431" s="19" t="s">
        <v>41</v>
      </c>
      <c r="E1431" s="19" t="s">
        <v>22</v>
      </c>
      <c r="F1431" s="19" t="s">
        <v>27</v>
      </c>
      <c r="G1431" s="19" t="s">
        <v>32</v>
      </c>
      <c r="H1431" s="19" t="s">
        <v>39</v>
      </c>
      <c r="I1431" s="19">
        <v>4</v>
      </c>
      <c r="J1431" s="21">
        <v>280</v>
      </c>
      <c r="K1431" s="22">
        <v>0.08</v>
      </c>
      <c r="L1431" s="21">
        <v>1030.4000000000001</v>
      </c>
    </row>
    <row r="1432" spans="1:12">
      <c r="A1432" s="19" t="s">
        <v>1502</v>
      </c>
      <c r="B1432" s="20">
        <v>46081</v>
      </c>
      <c r="C1432" s="19" t="s">
        <v>13</v>
      </c>
      <c r="D1432" s="19" t="s">
        <v>35</v>
      </c>
      <c r="E1432" s="19" t="s">
        <v>22</v>
      </c>
      <c r="F1432" s="19" t="s">
        <v>16</v>
      </c>
      <c r="G1432" s="19" t="s">
        <v>65</v>
      </c>
      <c r="H1432" s="19" t="s">
        <v>18</v>
      </c>
      <c r="I1432" s="19">
        <v>5</v>
      </c>
      <c r="J1432" s="21">
        <v>77.599999999999994</v>
      </c>
      <c r="K1432" s="22">
        <v>0.05</v>
      </c>
      <c r="L1432" s="21">
        <v>368.59999999999997</v>
      </c>
    </row>
    <row r="1433" spans="1:12">
      <c r="A1433" s="19" t="s">
        <v>1503</v>
      </c>
      <c r="B1433" s="20">
        <v>46317</v>
      </c>
      <c r="C1433" s="19" t="s">
        <v>47</v>
      </c>
      <c r="D1433" s="19" t="s">
        <v>41</v>
      </c>
      <c r="E1433" s="19" t="s">
        <v>22</v>
      </c>
      <c r="F1433" s="19" t="s">
        <v>27</v>
      </c>
      <c r="G1433" s="19" t="s">
        <v>36</v>
      </c>
      <c r="H1433" s="19" t="s">
        <v>50</v>
      </c>
      <c r="I1433" s="19">
        <v>7</v>
      </c>
      <c r="J1433" s="21">
        <v>795</v>
      </c>
      <c r="K1433" s="22">
        <v>0</v>
      </c>
      <c r="L1433" s="21">
        <v>5565</v>
      </c>
    </row>
    <row r="1434" spans="1:12">
      <c r="A1434" s="19" t="s">
        <v>1504</v>
      </c>
      <c r="B1434" s="20">
        <v>46165</v>
      </c>
      <c r="C1434" s="19" t="s">
        <v>13</v>
      </c>
      <c r="D1434" s="19" t="s">
        <v>21</v>
      </c>
      <c r="E1434" s="19" t="s">
        <v>15</v>
      </c>
      <c r="F1434" s="19" t="s">
        <v>60</v>
      </c>
      <c r="G1434" s="19" t="s">
        <v>61</v>
      </c>
      <c r="H1434" s="19" t="s">
        <v>29</v>
      </c>
      <c r="I1434" s="19">
        <v>2</v>
      </c>
      <c r="J1434" s="21">
        <v>824.5</v>
      </c>
      <c r="K1434" s="22">
        <v>0.08</v>
      </c>
      <c r="L1434" s="21">
        <v>1517.0800000000002</v>
      </c>
    </row>
    <row r="1435" spans="1:12">
      <c r="A1435" s="19" t="s">
        <v>1505</v>
      </c>
      <c r="B1435" s="20">
        <v>46138</v>
      </c>
      <c r="C1435" s="19" t="s">
        <v>86</v>
      </c>
      <c r="D1435" s="19" t="s">
        <v>14</v>
      </c>
      <c r="E1435" s="19" t="s">
        <v>22</v>
      </c>
      <c r="F1435" s="19" t="s">
        <v>73</v>
      </c>
      <c r="G1435" s="19" t="s">
        <v>74</v>
      </c>
      <c r="H1435" s="19" t="s">
        <v>93</v>
      </c>
      <c r="I1435" s="19">
        <v>1</v>
      </c>
      <c r="J1435" s="21">
        <v>8.16</v>
      </c>
      <c r="K1435" s="22">
        <v>0.05</v>
      </c>
      <c r="L1435" s="21">
        <v>7.7519999999999998</v>
      </c>
    </row>
    <row r="1436" spans="1:12">
      <c r="A1436" s="19" t="s">
        <v>1506</v>
      </c>
      <c r="B1436" s="20">
        <v>46337</v>
      </c>
      <c r="C1436" s="19" t="s">
        <v>31</v>
      </c>
      <c r="D1436" s="19" t="s">
        <v>14</v>
      </c>
      <c r="E1436" s="19" t="s">
        <v>22</v>
      </c>
      <c r="F1436" s="19" t="s">
        <v>16</v>
      </c>
      <c r="G1436" s="19" t="s">
        <v>57</v>
      </c>
      <c r="H1436" s="19" t="s">
        <v>79</v>
      </c>
      <c r="I1436" s="19">
        <v>1</v>
      </c>
      <c r="J1436" s="21">
        <v>40.28</v>
      </c>
      <c r="K1436" s="22">
        <v>0.2</v>
      </c>
      <c r="L1436" s="21">
        <v>32.224000000000004</v>
      </c>
    </row>
    <row r="1437" spans="1:12">
      <c r="A1437" s="19" t="s">
        <v>1507</v>
      </c>
      <c r="B1437" s="20">
        <v>46269</v>
      </c>
      <c r="C1437" s="19" t="s">
        <v>20</v>
      </c>
      <c r="D1437" s="19" t="s">
        <v>14</v>
      </c>
      <c r="E1437" s="19" t="s">
        <v>22</v>
      </c>
      <c r="F1437" s="19" t="s">
        <v>16</v>
      </c>
      <c r="G1437" s="19" t="s">
        <v>69</v>
      </c>
      <c r="H1437" s="19" t="s">
        <v>25</v>
      </c>
      <c r="I1437" s="19">
        <v>3</v>
      </c>
      <c r="J1437" s="21">
        <v>57.2</v>
      </c>
      <c r="K1437" s="22">
        <v>0.1</v>
      </c>
      <c r="L1437" s="21">
        <v>154.44000000000003</v>
      </c>
    </row>
    <row r="1438" spans="1:12">
      <c r="A1438" s="19" t="s">
        <v>1508</v>
      </c>
      <c r="B1438" s="20">
        <v>46283</v>
      </c>
      <c r="C1438" s="19" t="s">
        <v>20</v>
      </c>
      <c r="D1438" s="19" t="s">
        <v>14</v>
      </c>
      <c r="E1438" s="19" t="s">
        <v>22</v>
      </c>
      <c r="F1438" s="19" t="s">
        <v>16</v>
      </c>
      <c r="G1438" s="19" t="s">
        <v>42</v>
      </c>
      <c r="H1438" s="19" t="s">
        <v>63</v>
      </c>
      <c r="I1438" s="19">
        <v>2</v>
      </c>
      <c r="J1438" s="21">
        <v>42.75</v>
      </c>
      <c r="K1438" s="22">
        <v>0.15</v>
      </c>
      <c r="L1438" s="21">
        <v>72.674999999999997</v>
      </c>
    </row>
    <row r="1439" spans="1:12">
      <c r="A1439" s="19" t="s">
        <v>1509</v>
      </c>
      <c r="B1439" s="20">
        <v>46062</v>
      </c>
      <c r="C1439" s="19" t="s">
        <v>13</v>
      </c>
      <c r="D1439" s="19" t="s">
        <v>41</v>
      </c>
      <c r="E1439" s="19" t="s">
        <v>22</v>
      </c>
      <c r="F1439" s="19" t="s">
        <v>16</v>
      </c>
      <c r="G1439" s="19" t="s">
        <v>112</v>
      </c>
      <c r="H1439" s="19" t="s">
        <v>43</v>
      </c>
      <c r="I1439" s="19">
        <v>1</v>
      </c>
      <c r="J1439" s="21">
        <v>63.05</v>
      </c>
      <c r="K1439" s="22">
        <v>0.05</v>
      </c>
      <c r="L1439" s="21">
        <v>59.897499999999994</v>
      </c>
    </row>
    <row r="1440" spans="1:12">
      <c r="A1440" s="19" t="s">
        <v>1510</v>
      </c>
      <c r="B1440" s="20">
        <v>46224</v>
      </c>
      <c r="C1440" s="19" t="s">
        <v>47</v>
      </c>
      <c r="D1440" s="19" t="s">
        <v>14</v>
      </c>
      <c r="E1440" s="19" t="s">
        <v>22</v>
      </c>
      <c r="F1440" s="19" t="s">
        <v>16</v>
      </c>
      <c r="G1440" s="19" t="s">
        <v>112</v>
      </c>
      <c r="H1440" s="19" t="s">
        <v>50</v>
      </c>
      <c r="I1440" s="19">
        <v>6</v>
      </c>
      <c r="J1440" s="21">
        <v>61.75</v>
      </c>
      <c r="K1440" s="22">
        <v>0.05</v>
      </c>
      <c r="L1440" s="21">
        <v>351.97499999999997</v>
      </c>
    </row>
    <row r="1441" spans="1:12">
      <c r="A1441" s="19" t="s">
        <v>1511</v>
      </c>
      <c r="B1441" s="20">
        <v>46324</v>
      </c>
      <c r="C1441" s="19" t="s">
        <v>86</v>
      </c>
      <c r="D1441" s="19" t="s">
        <v>14</v>
      </c>
      <c r="E1441" s="19" t="s">
        <v>22</v>
      </c>
      <c r="F1441" s="19" t="s">
        <v>27</v>
      </c>
      <c r="G1441" s="19" t="s">
        <v>28</v>
      </c>
      <c r="H1441" s="19" t="s">
        <v>102</v>
      </c>
      <c r="I1441" s="19">
        <v>2</v>
      </c>
      <c r="J1441" s="21">
        <v>19</v>
      </c>
      <c r="K1441" s="22">
        <v>0.05</v>
      </c>
      <c r="L1441" s="21">
        <v>36.1</v>
      </c>
    </row>
    <row r="1442" spans="1:12">
      <c r="A1442" s="19" t="s">
        <v>1512</v>
      </c>
      <c r="B1442" s="20">
        <v>46313</v>
      </c>
      <c r="C1442" s="19" t="s">
        <v>13</v>
      </c>
      <c r="D1442" s="19" t="s">
        <v>14</v>
      </c>
      <c r="E1442" s="19" t="s">
        <v>15</v>
      </c>
      <c r="F1442" s="19" t="s">
        <v>23</v>
      </c>
      <c r="G1442" s="19" t="s">
        <v>52</v>
      </c>
      <c r="H1442" s="19" t="s">
        <v>18</v>
      </c>
      <c r="I1442" s="19">
        <v>1</v>
      </c>
      <c r="J1442" s="21">
        <v>450</v>
      </c>
      <c r="K1442" s="22">
        <v>0.1</v>
      </c>
      <c r="L1442" s="21">
        <v>405</v>
      </c>
    </row>
    <row r="1443" spans="1:12">
      <c r="A1443" s="19" t="s">
        <v>1513</v>
      </c>
      <c r="B1443" s="20">
        <v>46319</v>
      </c>
      <c r="C1443" s="19" t="s">
        <v>31</v>
      </c>
      <c r="D1443" s="19" t="s">
        <v>41</v>
      </c>
      <c r="E1443" s="19" t="s">
        <v>15</v>
      </c>
      <c r="F1443" s="19" t="s">
        <v>16</v>
      </c>
      <c r="G1443" s="19" t="s">
        <v>42</v>
      </c>
      <c r="H1443" s="19" t="s">
        <v>79</v>
      </c>
      <c r="I1443" s="19">
        <v>1</v>
      </c>
      <c r="J1443" s="21">
        <v>47.7</v>
      </c>
      <c r="K1443" s="22">
        <v>0.03</v>
      </c>
      <c r="L1443" s="21">
        <v>46.268999999999998</v>
      </c>
    </row>
    <row r="1444" spans="1:12">
      <c r="A1444" s="19" t="s">
        <v>1514</v>
      </c>
      <c r="B1444" s="20">
        <v>46319</v>
      </c>
      <c r="C1444" s="19" t="s">
        <v>31</v>
      </c>
      <c r="D1444" s="19" t="s">
        <v>21</v>
      </c>
      <c r="E1444" s="19" t="s">
        <v>22</v>
      </c>
      <c r="F1444" s="19" t="s">
        <v>48</v>
      </c>
      <c r="G1444" s="19" t="s">
        <v>49</v>
      </c>
      <c r="H1444" s="19" t="s">
        <v>79</v>
      </c>
      <c r="I1444" s="19">
        <v>1</v>
      </c>
      <c r="J1444" s="21">
        <v>4200</v>
      </c>
      <c r="K1444" s="22">
        <v>0.1</v>
      </c>
      <c r="L1444" s="21">
        <v>3780</v>
      </c>
    </row>
    <row r="1445" spans="1:12">
      <c r="A1445" s="19" t="s">
        <v>1515</v>
      </c>
      <c r="B1445" s="20">
        <v>46174</v>
      </c>
      <c r="C1445" s="19" t="s">
        <v>31</v>
      </c>
      <c r="D1445" s="19" t="s">
        <v>14</v>
      </c>
      <c r="E1445" s="19" t="s">
        <v>15</v>
      </c>
      <c r="F1445" s="19" t="s">
        <v>73</v>
      </c>
      <c r="G1445" s="19" t="s">
        <v>145</v>
      </c>
      <c r="H1445" s="19" t="s">
        <v>79</v>
      </c>
      <c r="I1445" s="19">
        <v>1</v>
      </c>
      <c r="J1445" s="21">
        <v>17.46</v>
      </c>
      <c r="K1445" s="22">
        <v>0.03</v>
      </c>
      <c r="L1445" s="21">
        <v>16.936199999999999</v>
      </c>
    </row>
    <row r="1446" spans="1:12">
      <c r="A1446" s="19" t="s">
        <v>1516</v>
      </c>
      <c r="B1446" s="20">
        <v>46085</v>
      </c>
      <c r="C1446" s="19" t="s">
        <v>20</v>
      </c>
      <c r="D1446" s="19" t="s">
        <v>35</v>
      </c>
      <c r="E1446" s="19" t="s">
        <v>15</v>
      </c>
      <c r="F1446" s="19" t="s">
        <v>23</v>
      </c>
      <c r="G1446" s="19" t="s">
        <v>138</v>
      </c>
      <c r="H1446" s="19" t="s">
        <v>58</v>
      </c>
      <c r="I1446" s="19">
        <v>4</v>
      </c>
      <c r="J1446" s="21">
        <v>63.6</v>
      </c>
      <c r="K1446" s="22">
        <v>0.2</v>
      </c>
      <c r="L1446" s="21">
        <v>203.52</v>
      </c>
    </row>
    <row r="1447" spans="1:12">
      <c r="A1447" s="19" t="s">
        <v>1517</v>
      </c>
      <c r="B1447" s="20">
        <v>46272</v>
      </c>
      <c r="C1447" s="19" t="s">
        <v>47</v>
      </c>
      <c r="D1447" s="19" t="s">
        <v>21</v>
      </c>
      <c r="E1447" s="19" t="s">
        <v>22</v>
      </c>
      <c r="F1447" s="19" t="s">
        <v>73</v>
      </c>
      <c r="G1447" s="19" t="s">
        <v>129</v>
      </c>
      <c r="H1447" s="19" t="s">
        <v>55</v>
      </c>
      <c r="I1447" s="19">
        <v>2</v>
      </c>
      <c r="J1447" s="21">
        <v>35.700000000000003</v>
      </c>
      <c r="K1447" s="22">
        <v>0.03</v>
      </c>
      <c r="L1447" s="21">
        <v>69.25800000000001</v>
      </c>
    </row>
    <row r="1448" spans="1:12">
      <c r="A1448" s="19" t="s">
        <v>1518</v>
      </c>
      <c r="B1448" s="20">
        <v>46353</v>
      </c>
      <c r="C1448" s="19" t="s">
        <v>31</v>
      </c>
      <c r="D1448" s="19" t="s">
        <v>21</v>
      </c>
      <c r="E1448" s="19" t="s">
        <v>22</v>
      </c>
      <c r="F1448" s="19" t="s">
        <v>60</v>
      </c>
      <c r="G1448" s="19" t="s">
        <v>91</v>
      </c>
      <c r="H1448" s="19" t="s">
        <v>79</v>
      </c>
      <c r="I1448" s="19">
        <v>3</v>
      </c>
      <c r="J1448" s="21">
        <v>562.6</v>
      </c>
      <c r="K1448" s="22">
        <v>0.03</v>
      </c>
      <c r="L1448" s="21">
        <v>1637.1660000000002</v>
      </c>
    </row>
    <row r="1449" spans="1:12">
      <c r="A1449" s="19" t="s">
        <v>1519</v>
      </c>
      <c r="B1449" s="20">
        <v>46104</v>
      </c>
      <c r="C1449" s="19" t="s">
        <v>20</v>
      </c>
      <c r="D1449" s="19" t="s">
        <v>41</v>
      </c>
      <c r="E1449" s="19" t="s">
        <v>22</v>
      </c>
      <c r="F1449" s="19" t="s">
        <v>48</v>
      </c>
      <c r="G1449" s="19" t="s">
        <v>99</v>
      </c>
      <c r="H1449" s="19" t="s">
        <v>25</v>
      </c>
      <c r="I1449" s="19">
        <v>1</v>
      </c>
      <c r="J1449" s="21">
        <v>3000</v>
      </c>
      <c r="K1449" s="22">
        <v>0.03</v>
      </c>
      <c r="L1449" s="21">
        <v>2910</v>
      </c>
    </row>
    <row r="1450" spans="1:12">
      <c r="A1450" s="19" t="s">
        <v>1520</v>
      </c>
      <c r="B1450" s="20">
        <v>46334</v>
      </c>
      <c r="C1450" s="19" t="s">
        <v>47</v>
      </c>
      <c r="D1450" s="19" t="s">
        <v>21</v>
      </c>
      <c r="E1450" s="19" t="s">
        <v>22</v>
      </c>
      <c r="F1450" s="19" t="s">
        <v>73</v>
      </c>
      <c r="G1450" s="19" t="s">
        <v>81</v>
      </c>
      <c r="H1450" s="19" t="s">
        <v>83</v>
      </c>
      <c r="I1450" s="19">
        <v>2</v>
      </c>
      <c r="J1450" s="21">
        <v>11.64</v>
      </c>
      <c r="K1450" s="22">
        <v>0.08</v>
      </c>
      <c r="L1450" s="21">
        <v>21.417600000000004</v>
      </c>
    </row>
    <row r="1451" spans="1:12">
      <c r="A1451" s="19" t="s">
        <v>1521</v>
      </c>
      <c r="B1451" s="20">
        <v>46130</v>
      </c>
      <c r="C1451" s="19" t="s">
        <v>31</v>
      </c>
      <c r="D1451" s="19" t="s">
        <v>14</v>
      </c>
      <c r="E1451" s="19" t="s">
        <v>22</v>
      </c>
      <c r="F1451" s="19" t="s">
        <v>73</v>
      </c>
      <c r="G1451" s="19" t="s">
        <v>81</v>
      </c>
      <c r="H1451" s="19" t="s">
        <v>39</v>
      </c>
      <c r="I1451" s="19">
        <v>5</v>
      </c>
      <c r="J1451" s="21">
        <v>12</v>
      </c>
      <c r="K1451" s="22">
        <v>0.03</v>
      </c>
      <c r="L1451" s="21">
        <v>58.199999999999996</v>
      </c>
    </row>
    <row r="1452" spans="1:12">
      <c r="A1452" s="19" t="s">
        <v>1522</v>
      </c>
      <c r="B1452" s="20">
        <v>46058</v>
      </c>
      <c r="C1452" s="19" t="s">
        <v>13</v>
      </c>
      <c r="D1452" s="19" t="s">
        <v>14</v>
      </c>
      <c r="E1452" s="19" t="s">
        <v>22</v>
      </c>
      <c r="F1452" s="19" t="s">
        <v>60</v>
      </c>
      <c r="G1452" s="19" t="s">
        <v>67</v>
      </c>
      <c r="H1452" s="19" t="s">
        <v>29</v>
      </c>
      <c r="I1452" s="19">
        <v>1</v>
      </c>
      <c r="J1452" s="21">
        <v>1590</v>
      </c>
      <c r="K1452" s="22">
        <v>0.03</v>
      </c>
      <c r="L1452" s="21">
        <v>1542.3</v>
      </c>
    </row>
    <row r="1453" spans="1:12">
      <c r="A1453" s="19" t="s">
        <v>1523</v>
      </c>
      <c r="B1453" s="20">
        <v>46047</v>
      </c>
      <c r="C1453" s="19" t="s">
        <v>31</v>
      </c>
      <c r="D1453" s="19" t="s">
        <v>14</v>
      </c>
      <c r="E1453" s="19" t="s">
        <v>22</v>
      </c>
      <c r="F1453" s="19" t="s">
        <v>16</v>
      </c>
      <c r="G1453" s="19" t="s">
        <v>17</v>
      </c>
      <c r="H1453" s="19" t="s">
        <v>39</v>
      </c>
      <c r="I1453" s="19">
        <v>1</v>
      </c>
      <c r="J1453" s="21">
        <v>14.25</v>
      </c>
      <c r="K1453" s="22">
        <v>0</v>
      </c>
      <c r="L1453" s="21">
        <v>14.25</v>
      </c>
    </row>
    <row r="1454" spans="1:12">
      <c r="A1454" s="19" t="s">
        <v>1524</v>
      </c>
      <c r="B1454" s="20">
        <v>46345</v>
      </c>
      <c r="C1454" s="19" t="s">
        <v>31</v>
      </c>
      <c r="D1454" s="19" t="s">
        <v>35</v>
      </c>
      <c r="E1454" s="19" t="s">
        <v>22</v>
      </c>
      <c r="F1454" s="19" t="s">
        <v>73</v>
      </c>
      <c r="G1454" s="19" t="s">
        <v>145</v>
      </c>
      <c r="H1454" s="19" t="s">
        <v>39</v>
      </c>
      <c r="I1454" s="19">
        <v>2</v>
      </c>
      <c r="J1454" s="21">
        <v>18.36</v>
      </c>
      <c r="K1454" s="22">
        <v>0.1</v>
      </c>
      <c r="L1454" s="21">
        <v>33.048000000000002</v>
      </c>
    </row>
    <row r="1455" spans="1:12">
      <c r="A1455" s="19" t="s">
        <v>1525</v>
      </c>
      <c r="B1455" s="20">
        <v>46027</v>
      </c>
      <c r="C1455" s="19" t="s">
        <v>47</v>
      </c>
      <c r="D1455" s="19" t="s">
        <v>14</v>
      </c>
      <c r="E1455" s="19" t="s">
        <v>22</v>
      </c>
      <c r="F1455" s="19" t="s">
        <v>23</v>
      </c>
      <c r="G1455" s="19" t="s">
        <v>138</v>
      </c>
      <c r="H1455" s="19" t="s">
        <v>50</v>
      </c>
      <c r="I1455" s="19">
        <v>2</v>
      </c>
      <c r="J1455" s="21">
        <v>60</v>
      </c>
      <c r="K1455" s="22">
        <v>0</v>
      </c>
      <c r="L1455" s="21">
        <v>120</v>
      </c>
    </row>
    <row r="1456" spans="1:12">
      <c r="A1456" s="19" t="s">
        <v>1526</v>
      </c>
      <c r="B1456" s="20">
        <v>46253</v>
      </c>
      <c r="C1456" s="19" t="s">
        <v>20</v>
      </c>
      <c r="D1456" s="19" t="s">
        <v>14</v>
      </c>
      <c r="E1456" s="19" t="s">
        <v>22</v>
      </c>
      <c r="F1456" s="19" t="s">
        <v>23</v>
      </c>
      <c r="G1456" s="19" t="s">
        <v>38</v>
      </c>
      <c r="H1456" s="19" t="s">
        <v>58</v>
      </c>
      <c r="I1456" s="19">
        <v>5</v>
      </c>
      <c r="J1456" s="21">
        <v>320</v>
      </c>
      <c r="K1456" s="22">
        <v>0.03</v>
      </c>
      <c r="L1456" s="21">
        <v>1552</v>
      </c>
    </row>
    <row r="1457" spans="1:12">
      <c r="A1457" s="19" t="s">
        <v>1527</v>
      </c>
      <c r="B1457" s="20">
        <v>46306</v>
      </c>
      <c r="C1457" s="19" t="s">
        <v>86</v>
      </c>
      <c r="D1457" s="19" t="s">
        <v>14</v>
      </c>
      <c r="E1457" s="19" t="s">
        <v>22</v>
      </c>
      <c r="F1457" s="19" t="s">
        <v>16</v>
      </c>
      <c r="G1457" s="19" t="s">
        <v>65</v>
      </c>
      <c r="H1457" s="19" t="s">
        <v>93</v>
      </c>
      <c r="I1457" s="19">
        <v>1</v>
      </c>
      <c r="J1457" s="21">
        <v>76</v>
      </c>
      <c r="K1457" s="22">
        <v>0.03</v>
      </c>
      <c r="L1457" s="21">
        <v>73.72</v>
      </c>
    </row>
    <row r="1458" spans="1:12">
      <c r="A1458" s="19" t="s">
        <v>1528</v>
      </c>
      <c r="B1458" s="20">
        <v>46163</v>
      </c>
      <c r="C1458" s="19" t="s">
        <v>86</v>
      </c>
      <c r="D1458" s="19" t="s">
        <v>14</v>
      </c>
      <c r="E1458" s="19" t="s">
        <v>22</v>
      </c>
      <c r="F1458" s="19" t="s">
        <v>60</v>
      </c>
      <c r="G1458" s="19" t="s">
        <v>76</v>
      </c>
      <c r="H1458" s="19" t="s">
        <v>93</v>
      </c>
      <c r="I1458" s="19">
        <v>2</v>
      </c>
      <c r="J1458" s="21">
        <v>728</v>
      </c>
      <c r="K1458" s="22">
        <v>0.03</v>
      </c>
      <c r="L1458" s="21">
        <v>1412.32</v>
      </c>
    </row>
    <row r="1459" spans="1:12">
      <c r="A1459" s="19" t="s">
        <v>1529</v>
      </c>
      <c r="B1459" s="20">
        <v>46343</v>
      </c>
      <c r="C1459" s="19" t="s">
        <v>31</v>
      </c>
      <c r="D1459" s="19" t="s">
        <v>14</v>
      </c>
      <c r="E1459" s="19" t="s">
        <v>22</v>
      </c>
      <c r="F1459" s="19" t="s">
        <v>48</v>
      </c>
      <c r="G1459" s="19" t="s">
        <v>96</v>
      </c>
      <c r="H1459" s="19" t="s">
        <v>79</v>
      </c>
      <c r="I1459" s="19">
        <v>2</v>
      </c>
      <c r="J1459" s="21">
        <v>2600</v>
      </c>
      <c r="K1459" s="22">
        <v>0.08</v>
      </c>
      <c r="L1459" s="21">
        <v>4784</v>
      </c>
    </row>
    <row r="1460" spans="1:12">
      <c r="A1460" s="19" t="s">
        <v>1530</v>
      </c>
      <c r="B1460" s="20">
        <v>46236</v>
      </c>
      <c r="C1460" s="19" t="s">
        <v>86</v>
      </c>
      <c r="D1460" s="19" t="s">
        <v>14</v>
      </c>
      <c r="E1460" s="19" t="s">
        <v>22</v>
      </c>
      <c r="F1460" s="19" t="s">
        <v>23</v>
      </c>
      <c r="G1460" s="19" t="s">
        <v>24</v>
      </c>
      <c r="H1460" s="19" t="s">
        <v>87</v>
      </c>
      <c r="I1460" s="19">
        <v>4</v>
      </c>
      <c r="J1460" s="21">
        <v>91.8</v>
      </c>
      <c r="K1460" s="22">
        <v>0</v>
      </c>
      <c r="L1460" s="21">
        <v>367.2</v>
      </c>
    </row>
    <row r="1461" spans="1:12">
      <c r="A1461" s="19" t="s">
        <v>1531</v>
      </c>
      <c r="B1461" s="20">
        <v>46326</v>
      </c>
      <c r="C1461" s="19" t="s">
        <v>47</v>
      </c>
      <c r="D1461" s="19" t="s">
        <v>41</v>
      </c>
      <c r="E1461" s="19" t="s">
        <v>15</v>
      </c>
      <c r="F1461" s="19" t="s">
        <v>16</v>
      </c>
      <c r="G1461" s="19" t="s">
        <v>57</v>
      </c>
      <c r="H1461" s="19" t="s">
        <v>83</v>
      </c>
      <c r="I1461" s="19">
        <v>6</v>
      </c>
      <c r="J1461" s="21">
        <v>36.1</v>
      </c>
      <c r="K1461" s="22">
        <v>0.15</v>
      </c>
      <c r="L1461" s="21">
        <v>184.11</v>
      </c>
    </row>
    <row r="1462" spans="1:12">
      <c r="A1462" s="19" t="s">
        <v>1532</v>
      </c>
      <c r="B1462" s="20">
        <v>46330</v>
      </c>
      <c r="C1462" s="19" t="s">
        <v>47</v>
      </c>
      <c r="D1462" s="19" t="s">
        <v>41</v>
      </c>
      <c r="E1462" s="19" t="s">
        <v>22</v>
      </c>
      <c r="F1462" s="19" t="s">
        <v>16</v>
      </c>
      <c r="G1462" s="19" t="s">
        <v>17</v>
      </c>
      <c r="H1462" s="19" t="s">
        <v>55</v>
      </c>
      <c r="I1462" s="19">
        <v>7</v>
      </c>
      <c r="J1462" s="21">
        <v>15</v>
      </c>
      <c r="K1462" s="22">
        <v>0.1</v>
      </c>
      <c r="L1462" s="21">
        <v>94.5</v>
      </c>
    </row>
    <row r="1463" spans="1:12">
      <c r="A1463" s="19" t="s">
        <v>1533</v>
      </c>
      <c r="B1463" s="20">
        <v>46372</v>
      </c>
      <c r="C1463" s="19" t="s">
        <v>47</v>
      </c>
      <c r="D1463" s="19" t="s">
        <v>14</v>
      </c>
      <c r="E1463" s="19" t="s">
        <v>15</v>
      </c>
      <c r="F1463" s="19" t="s">
        <v>23</v>
      </c>
      <c r="G1463" s="19" t="s">
        <v>38</v>
      </c>
      <c r="H1463" s="19" t="s">
        <v>55</v>
      </c>
      <c r="I1463" s="19">
        <v>2</v>
      </c>
      <c r="J1463" s="21">
        <v>310.39999999999998</v>
      </c>
      <c r="K1463" s="22">
        <v>0.05</v>
      </c>
      <c r="L1463" s="21">
        <v>589.75999999999988</v>
      </c>
    </row>
    <row r="1464" spans="1:12">
      <c r="A1464" s="19" t="s">
        <v>1534</v>
      </c>
      <c r="B1464" s="20">
        <v>46045</v>
      </c>
      <c r="C1464" s="19" t="s">
        <v>86</v>
      </c>
      <c r="D1464" s="19" t="s">
        <v>35</v>
      </c>
      <c r="E1464" s="19" t="s">
        <v>22</v>
      </c>
      <c r="F1464" s="19" t="s">
        <v>60</v>
      </c>
      <c r="G1464" s="19" t="s">
        <v>67</v>
      </c>
      <c r="H1464" s="19" t="s">
        <v>102</v>
      </c>
      <c r="I1464" s="19">
        <v>1</v>
      </c>
      <c r="J1464" s="21">
        <v>1560</v>
      </c>
      <c r="K1464" s="22">
        <v>0</v>
      </c>
      <c r="L1464" s="21">
        <v>1560</v>
      </c>
    </row>
    <row r="1465" spans="1:12">
      <c r="A1465" s="19" t="s">
        <v>1535</v>
      </c>
      <c r="B1465" s="20">
        <v>46300</v>
      </c>
      <c r="C1465" s="19" t="s">
        <v>86</v>
      </c>
      <c r="D1465" s="19" t="s">
        <v>35</v>
      </c>
      <c r="E1465" s="19" t="s">
        <v>22</v>
      </c>
      <c r="F1465" s="19" t="s">
        <v>48</v>
      </c>
      <c r="G1465" s="19" t="s">
        <v>54</v>
      </c>
      <c r="H1465" s="19" t="s">
        <v>102</v>
      </c>
      <c r="I1465" s="19">
        <v>1</v>
      </c>
      <c r="J1465" s="21">
        <v>1800</v>
      </c>
      <c r="K1465" s="22">
        <v>0.15</v>
      </c>
      <c r="L1465" s="21">
        <v>1530</v>
      </c>
    </row>
    <row r="1466" spans="1:12">
      <c r="A1466" s="19" t="s">
        <v>1536</v>
      </c>
      <c r="B1466" s="20">
        <v>46133</v>
      </c>
      <c r="C1466" s="19" t="s">
        <v>86</v>
      </c>
      <c r="D1466" s="19" t="s">
        <v>14</v>
      </c>
      <c r="E1466" s="19" t="s">
        <v>22</v>
      </c>
      <c r="F1466" s="19" t="s">
        <v>23</v>
      </c>
      <c r="G1466" s="19" t="s">
        <v>52</v>
      </c>
      <c r="H1466" s="19" t="s">
        <v>87</v>
      </c>
      <c r="I1466" s="19">
        <v>2</v>
      </c>
      <c r="J1466" s="21">
        <v>450</v>
      </c>
      <c r="K1466" s="22">
        <v>0.03</v>
      </c>
      <c r="L1466" s="21">
        <v>873</v>
      </c>
    </row>
    <row r="1467" spans="1:12">
      <c r="A1467" s="19" t="s">
        <v>1537</v>
      </c>
      <c r="B1467" s="20">
        <v>46160</v>
      </c>
      <c r="C1467" s="19" t="s">
        <v>13</v>
      </c>
      <c r="D1467" s="19" t="s">
        <v>14</v>
      </c>
      <c r="E1467" s="19" t="s">
        <v>22</v>
      </c>
      <c r="F1467" s="19" t="s">
        <v>27</v>
      </c>
      <c r="G1467" s="19" t="s">
        <v>32</v>
      </c>
      <c r="H1467" s="19" t="s">
        <v>29</v>
      </c>
      <c r="I1467" s="19">
        <v>2</v>
      </c>
      <c r="J1467" s="21">
        <v>271.60000000000002</v>
      </c>
      <c r="K1467" s="22">
        <v>0.03</v>
      </c>
      <c r="L1467" s="21">
        <v>526.904</v>
      </c>
    </row>
    <row r="1468" spans="1:12">
      <c r="A1468" s="19" t="s">
        <v>1538</v>
      </c>
      <c r="B1468" s="20">
        <v>46343</v>
      </c>
      <c r="C1468" s="19" t="s">
        <v>20</v>
      </c>
      <c r="D1468" s="19" t="s">
        <v>41</v>
      </c>
      <c r="E1468" s="19" t="s">
        <v>22</v>
      </c>
      <c r="F1468" s="19" t="s">
        <v>73</v>
      </c>
      <c r="G1468" s="19" t="s">
        <v>81</v>
      </c>
      <c r="H1468" s="19" t="s">
        <v>58</v>
      </c>
      <c r="I1468" s="19">
        <v>2</v>
      </c>
      <c r="J1468" s="21">
        <v>11.64</v>
      </c>
      <c r="K1468" s="22">
        <v>0.08</v>
      </c>
      <c r="L1468" s="21">
        <v>21.417600000000004</v>
      </c>
    </row>
    <row r="1469" spans="1:12">
      <c r="A1469" s="19" t="s">
        <v>1539</v>
      </c>
      <c r="B1469" s="20">
        <v>46230</v>
      </c>
      <c r="C1469" s="19" t="s">
        <v>47</v>
      </c>
      <c r="D1469" s="19" t="s">
        <v>14</v>
      </c>
      <c r="E1469" s="19" t="s">
        <v>22</v>
      </c>
      <c r="F1469" s="19" t="s">
        <v>60</v>
      </c>
      <c r="G1469" s="19" t="s">
        <v>91</v>
      </c>
      <c r="H1469" s="19" t="s">
        <v>50</v>
      </c>
      <c r="I1469" s="19">
        <v>1</v>
      </c>
      <c r="J1469" s="21">
        <v>591.6</v>
      </c>
      <c r="K1469" s="22">
        <v>0.08</v>
      </c>
      <c r="L1469" s="21">
        <v>544.27200000000005</v>
      </c>
    </row>
    <row r="1470" spans="1:12">
      <c r="A1470" s="19" t="s">
        <v>1540</v>
      </c>
      <c r="B1470" s="20">
        <v>46366</v>
      </c>
      <c r="C1470" s="19" t="s">
        <v>31</v>
      </c>
      <c r="D1470" s="19" t="s">
        <v>41</v>
      </c>
      <c r="E1470" s="19" t="s">
        <v>15</v>
      </c>
      <c r="F1470" s="19" t="s">
        <v>23</v>
      </c>
      <c r="G1470" s="19" t="s">
        <v>138</v>
      </c>
      <c r="H1470" s="19" t="s">
        <v>33</v>
      </c>
      <c r="I1470" s="19">
        <v>5</v>
      </c>
      <c r="J1470" s="21">
        <v>60</v>
      </c>
      <c r="K1470" s="22">
        <v>0.05</v>
      </c>
      <c r="L1470" s="21">
        <v>285</v>
      </c>
    </row>
    <row r="1471" spans="1:12">
      <c r="A1471" s="19" t="s">
        <v>1541</v>
      </c>
      <c r="B1471" s="20">
        <v>46330</v>
      </c>
      <c r="C1471" s="19" t="s">
        <v>86</v>
      </c>
      <c r="D1471" s="19" t="s">
        <v>14</v>
      </c>
      <c r="E1471" s="19" t="s">
        <v>15</v>
      </c>
      <c r="F1471" s="19" t="s">
        <v>16</v>
      </c>
      <c r="G1471" s="19" t="s">
        <v>42</v>
      </c>
      <c r="H1471" s="19" t="s">
        <v>93</v>
      </c>
      <c r="I1471" s="19">
        <v>3</v>
      </c>
      <c r="J1471" s="21">
        <v>47.7</v>
      </c>
      <c r="K1471" s="22">
        <v>0.1</v>
      </c>
      <c r="L1471" s="21">
        <v>128.79000000000002</v>
      </c>
    </row>
    <row r="1472" spans="1:12">
      <c r="A1472" s="19" t="s">
        <v>1542</v>
      </c>
      <c r="B1472" s="20">
        <v>46223</v>
      </c>
      <c r="C1472" s="19" t="s">
        <v>47</v>
      </c>
      <c r="D1472" s="19" t="s">
        <v>14</v>
      </c>
      <c r="E1472" s="19" t="s">
        <v>15</v>
      </c>
      <c r="F1472" s="19" t="s">
        <v>23</v>
      </c>
      <c r="G1472" s="19" t="s">
        <v>24</v>
      </c>
      <c r="H1472" s="19" t="s">
        <v>50</v>
      </c>
      <c r="I1472" s="19">
        <v>1</v>
      </c>
      <c r="J1472" s="21">
        <v>90</v>
      </c>
      <c r="K1472" s="22">
        <v>0.05</v>
      </c>
      <c r="L1472" s="21">
        <v>85.5</v>
      </c>
    </row>
    <row r="1473" spans="1:12">
      <c r="A1473" s="19" t="s">
        <v>1543</v>
      </c>
      <c r="B1473" s="20">
        <v>46036</v>
      </c>
      <c r="C1473" s="19" t="s">
        <v>47</v>
      </c>
      <c r="D1473" s="19" t="s">
        <v>35</v>
      </c>
      <c r="E1473" s="19" t="s">
        <v>22</v>
      </c>
      <c r="F1473" s="19" t="s">
        <v>27</v>
      </c>
      <c r="G1473" s="19" t="s">
        <v>155</v>
      </c>
      <c r="H1473" s="19" t="s">
        <v>55</v>
      </c>
      <c r="I1473" s="19">
        <v>15</v>
      </c>
      <c r="J1473" s="21">
        <v>183.6</v>
      </c>
      <c r="K1473" s="22">
        <v>0</v>
      </c>
      <c r="L1473" s="21">
        <v>2754</v>
      </c>
    </row>
    <row r="1474" spans="1:12">
      <c r="A1474" s="19" t="s">
        <v>1544</v>
      </c>
      <c r="B1474" s="20">
        <v>46351</v>
      </c>
      <c r="C1474" s="19" t="s">
        <v>20</v>
      </c>
      <c r="D1474" s="19" t="s">
        <v>41</v>
      </c>
      <c r="E1474" s="19" t="s">
        <v>22</v>
      </c>
      <c r="F1474" s="19" t="s">
        <v>16</v>
      </c>
      <c r="G1474" s="19" t="s">
        <v>112</v>
      </c>
      <c r="H1474" s="19" t="s">
        <v>25</v>
      </c>
      <c r="I1474" s="19">
        <v>5</v>
      </c>
      <c r="J1474" s="21">
        <v>65</v>
      </c>
      <c r="K1474" s="22">
        <v>0.2</v>
      </c>
      <c r="L1474" s="21">
        <v>260</v>
      </c>
    </row>
    <row r="1475" spans="1:12">
      <c r="A1475" s="19" t="s">
        <v>1545</v>
      </c>
      <c r="B1475" s="20">
        <v>46245</v>
      </c>
      <c r="C1475" s="19" t="s">
        <v>13</v>
      </c>
      <c r="D1475" s="19" t="s">
        <v>14</v>
      </c>
      <c r="E1475" s="19" t="s">
        <v>15</v>
      </c>
      <c r="F1475" s="19" t="s">
        <v>60</v>
      </c>
      <c r="G1475" s="19" t="s">
        <v>91</v>
      </c>
      <c r="H1475" s="19" t="s">
        <v>43</v>
      </c>
      <c r="I1475" s="19">
        <v>2</v>
      </c>
      <c r="J1475" s="21">
        <v>580</v>
      </c>
      <c r="K1475" s="22">
        <v>0.03</v>
      </c>
      <c r="L1475" s="21">
        <v>1125.2</v>
      </c>
    </row>
    <row r="1476" spans="1:12">
      <c r="A1476" s="19" t="s">
        <v>1546</v>
      </c>
      <c r="B1476" s="20">
        <v>46274</v>
      </c>
      <c r="C1476" s="19" t="s">
        <v>13</v>
      </c>
      <c r="D1476" s="19" t="s">
        <v>41</v>
      </c>
      <c r="E1476" s="19" t="s">
        <v>22</v>
      </c>
      <c r="F1476" s="19" t="s">
        <v>27</v>
      </c>
      <c r="G1476" s="19" t="s">
        <v>155</v>
      </c>
      <c r="H1476" s="19" t="s">
        <v>29</v>
      </c>
      <c r="I1476" s="19">
        <v>6</v>
      </c>
      <c r="J1476" s="21">
        <v>171</v>
      </c>
      <c r="K1476" s="22">
        <v>0.1</v>
      </c>
      <c r="L1476" s="21">
        <v>923.4</v>
      </c>
    </row>
    <row r="1477" spans="1:12">
      <c r="A1477" s="19" t="s">
        <v>1547</v>
      </c>
      <c r="B1477" s="20">
        <v>46168</v>
      </c>
      <c r="C1477" s="19" t="s">
        <v>86</v>
      </c>
      <c r="D1477" s="19" t="s">
        <v>41</v>
      </c>
      <c r="E1477" s="19" t="s">
        <v>15</v>
      </c>
      <c r="F1477" s="19" t="s">
        <v>23</v>
      </c>
      <c r="G1477" s="19" t="s">
        <v>52</v>
      </c>
      <c r="H1477" s="19" t="s">
        <v>93</v>
      </c>
      <c r="I1477" s="19">
        <v>1</v>
      </c>
      <c r="J1477" s="21">
        <v>450</v>
      </c>
      <c r="K1477" s="22">
        <v>0.05</v>
      </c>
      <c r="L1477" s="21">
        <v>427.5</v>
      </c>
    </row>
    <row r="1478" spans="1:12">
      <c r="A1478" s="19" t="s">
        <v>1548</v>
      </c>
      <c r="B1478" s="20">
        <v>46189</v>
      </c>
      <c r="C1478" s="19" t="s">
        <v>86</v>
      </c>
      <c r="D1478" s="19" t="s">
        <v>14</v>
      </c>
      <c r="E1478" s="19" t="s">
        <v>15</v>
      </c>
      <c r="F1478" s="19" t="s">
        <v>27</v>
      </c>
      <c r="G1478" s="19" t="s">
        <v>36</v>
      </c>
      <c r="H1478" s="19" t="s">
        <v>93</v>
      </c>
      <c r="I1478" s="19">
        <v>5</v>
      </c>
      <c r="J1478" s="21">
        <v>750</v>
      </c>
      <c r="K1478" s="22">
        <v>0.03</v>
      </c>
      <c r="L1478" s="21">
        <v>3637.5</v>
      </c>
    </row>
    <row r="1479" spans="1:12">
      <c r="A1479" s="19" t="s">
        <v>1549</v>
      </c>
      <c r="B1479" s="20">
        <v>46251</v>
      </c>
      <c r="C1479" s="19" t="s">
        <v>31</v>
      </c>
      <c r="D1479" s="19" t="s">
        <v>14</v>
      </c>
      <c r="E1479" s="19" t="s">
        <v>15</v>
      </c>
      <c r="F1479" s="19" t="s">
        <v>48</v>
      </c>
      <c r="G1479" s="19" t="s">
        <v>71</v>
      </c>
      <c r="H1479" s="19" t="s">
        <v>39</v>
      </c>
      <c r="I1479" s="19">
        <v>1</v>
      </c>
      <c r="J1479" s="21">
        <v>3104</v>
      </c>
      <c r="K1479" s="22">
        <v>0</v>
      </c>
      <c r="L1479" s="21">
        <v>3104</v>
      </c>
    </row>
    <row r="1480" spans="1:12">
      <c r="A1480" s="19" t="s">
        <v>1550</v>
      </c>
      <c r="B1480" s="20">
        <v>46336</v>
      </c>
      <c r="C1480" s="19" t="s">
        <v>31</v>
      </c>
      <c r="D1480" s="19" t="s">
        <v>21</v>
      </c>
      <c r="E1480" s="19" t="s">
        <v>22</v>
      </c>
      <c r="F1480" s="19" t="s">
        <v>16</v>
      </c>
      <c r="G1480" s="19" t="s">
        <v>57</v>
      </c>
      <c r="H1480" s="19" t="s">
        <v>33</v>
      </c>
      <c r="I1480" s="19">
        <v>4</v>
      </c>
      <c r="J1480" s="21">
        <v>36.1</v>
      </c>
      <c r="K1480" s="22">
        <v>0.05</v>
      </c>
      <c r="L1480" s="21">
        <v>137.18</v>
      </c>
    </row>
    <row r="1481" spans="1:12">
      <c r="A1481" s="19" t="s">
        <v>1551</v>
      </c>
      <c r="B1481" s="20">
        <v>46370</v>
      </c>
      <c r="C1481" s="19" t="s">
        <v>20</v>
      </c>
      <c r="D1481" s="19" t="s">
        <v>35</v>
      </c>
      <c r="E1481" s="19" t="s">
        <v>15</v>
      </c>
      <c r="F1481" s="19" t="s">
        <v>23</v>
      </c>
      <c r="G1481" s="19" t="s">
        <v>52</v>
      </c>
      <c r="H1481" s="19" t="s">
        <v>25</v>
      </c>
      <c r="I1481" s="19">
        <v>6</v>
      </c>
      <c r="J1481" s="21">
        <v>450</v>
      </c>
      <c r="K1481" s="22">
        <v>0.15</v>
      </c>
      <c r="L1481" s="21">
        <v>2295</v>
      </c>
    </row>
    <row r="1482" spans="1:12">
      <c r="A1482" s="19" t="s">
        <v>1552</v>
      </c>
      <c r="B1482" s="20">
        <v>46384</v>
      </c>
      <c r="C1482" s="19" t="s">
        <v>47</v>
      </c>
      <c r="D1482" s="19" t="s">
        <v>21</v>
      </c>
      <c r="E1482" s="19" t="s">
        <v>15</v>
      </c>
      <c r="F1482" s="19" t="s">
        <v>48</v>
      </c>
      <c r="G1482" s="19" t="s">
        <v>99</v>
      </c>
      <c r="H1482" s="19" t="s">
        <v>83</v>
      </c>
      <c r="I1482" s="19">
        <v>2</v>
      </c>
      <c r="J1482" s="21">
        <v>2910</v>
      </c>
      <c r="K1482" s="22">
        <v>0.15</v>
      </c>
      <c r="L1482" s="21">
        <v>4947</v>
      </c>
    </row>
    <row r="1483" spans="1:12">
      <c r="A1483" s="19" t="s">
        <v>1553</v>
      </c>
      <c r="B1483" s="20">
        <v>46096</v>
      </c>
      <c r="C1483" s="19" t="s">
        <v>31</v>
      </c>
      <c r="D1483" s="19" t="s">
        <v>41</v>
      </c>
      <c r="E1483" s="19" t="s">
        <v>15</v>
      </c>
      <c r="F1483" s="19" t="s">
        <v>27</v>
      </c>
      <c r="G1483" s="19" t="s">
        <v>36</v>
      </c>
      <c r="H1483" s="19" t="s">
        <v>33</v>
      </c>
      <c r="I1483" s="19">
        <v>6</v>
      </c>
      <c r="J1483" s="21">
        <v>750</v>
      </c>
      <c r="K1483" s="22">
        <v>0.05</v>
      </c>
      <c r="L1483" s="21">
        <v>4275</v>
      </c>
    </row>
    <row r="1484" spans="1:12">
      <c r="A1484" s="19" t="s">
        <v>1554</v>
      </c>
      <c r="B1484" s="20">
        <v>46209</v>
      </c>
      <c r="C1484" s="19" t="s">
        <v>20</v>
      </c>
      <c r="D1484" s="19" t="s">
        <v>14</v>
      </c>
      <c r="E1484" s="19" t="s">
        <v>22</v>
      </c>
      <c r="F1484" s="19" t="s">
        <v>60</v>
      </c>
      <c r="G1484" s="19" t="s">
        <v>61</v>
      </c>
      <c r="H1484" s="19" t="s">
        <v>63</v>
      </c>
      <c r="I1484" s="19">
        <v>5</v>
      </c>
      <c r="J1484" s="21">
        <v>850</v>
      </c>
      <c r="K1484" s="22">
        <v>0.1</v>
      </c>
      <c r="L1484" s="21">
        <v>3825</v>
      </c>
    </row>
    <row r="1485" spans="1:12">
      <c r="A1485" s="19" t="s">
        <v>1555</v>
      </c>
      <c r="B1485" s="20">
        <v>46297</v>
      </c>
      <c r="C1485" s="19" t="s">
        <v>31</v>
      </c>
      <c r="D1485" s="19" t="s">
        <v>14</v>
      </c>
      <c r="E1485" s="19" t="s">
        <v>22</v>
      </c>
      <c r="F1485" s="19" t="s">
        <v>23</v>
      </c>
      <c r="G1485" s="19" t="s">
        <v>24</v>
      </c>
      <c r="H1485" s="19" t="s">
        <v>39</v>
      </c>
      <c r="I1485" s="19">
        <v>2</v>
      </c>
      <c r="J1485" s="21">
        <v>90</v>
      </c>
      <c r="K1485" s="22">
        <v>0.03</v>
      </c>
      <c r="L1485" s="21">
        <v>174.6</v>
      </c>
    </row>
    <row r="1486" spans="1:12">
      <c r="A1486" s="19" t="s">
        <v>1556</v>
      </c>
      <c r="B1486" s="20">
        <v>46380</v>
      </c>
      <c r="C1486" s="19" t="s">
        <v>47</v>
      </c>
      <c r="D1486" s="19" t="s">
        <v>14</v>
      </c>
      <c r="E1486" s="19" t="s">
        <v>15</v>
      </c>
      <c r="F1486" s="19" t="s">
        <v>16</v>
      </c>
      <c r="G1486" s="19" t="s">
        <v>57</v>
      </c>
      <c r="H1486" s="19" t="s">
        <v>83</v>
      </c>
      <c r="I1486" s="19">
        <v>1</v>
      </c>
      <c r="J1486" s="21">
        <v>36.86</v>
      </c>
      <c r="K1486" s="22">
        <v>0.1</v>
      </c>
      <c r="L1486" s="21">
        <v>33.173999999999999</v>
      </c>
    </row>
    <row r="1487" spans="1:12">
      <c r="A1487" s="19" t="s">
        <v>1557</v>
      </c>
      <c r="B1487" s="20">
        <v>46266</v>
      </c>
      <c r="C1487" s="19" t="s">
        <v>20</v>
      </c>
      <c r="D1487" s="19" t="s">
        <v>14</v>
      </c>
      <c r="E1487" s="19" t="s">
        <v>22</v>
      </c>
      <c r="F1487" s="19" t="s">
        <v>60</v>
      </c>
      <c r="G1487" s="19" t="s">
        <v>91</v>
      </c>
      <c r="H1487" s="19" t="s">
        <v>25</v>
      </c>
      <c r="I1487" s="19">
        <v>1</v>
      </c>
      <c r="J1487" s="21">
        <v>580</v>
      </c>
      <c r="K1487" s="22">
        <v>0.03</v>
      </c>
      <c r="L1487" s="21">
        <v>562.6</v>
      </c>
    </row>
    <row r="1488" spans="1:12">
      <c r="A1488" s="19" t="s">
        <v>1558</v>
      </c>
      <c r="B1488" s="20">
        <v>46280</v>
      </c>
      <c r="C1488" s="19" t="s">
        <v>47</v>
      </c>
      <c r="D1488" s="19" t="s">
        <v>21</v>
      </c>
      <c r="E1488" s="19" t="s">
        <v>15</v>
      </c>
      <c r="F1488" s="19" t="s">
        <v>73</v>
      </c>
      <c r="G1488" s="19" t="s">
        <v>74</v>
      </c>
      <c r="H1488" s="19" t="s">
        <v>83</v>
      </c>
      <c r="I1488" s="19">
        <v>4</v>
      </c>
      <c r="J1488" s="21">
        <v>8.32</v>
      </c>
      <c r="K1488" s="22">
        <v>0.05</v>
      </c>
      <c r="L1488" s="21">
        <v>31.616</v>
      </c>
    </row>
    <row r="1489" spans="1:12">
      <c r="A1489" s="19" t="s">
        <v>1559</v>
      </c>
      <c r="B1489" s="20">
        <v>46348</v>
      </c>
      <c r="C1489" s="19" t="s">
        <v>86</v>
      </c>
      <c r="D1489" s="19" t="s">
        <v>21</v>
      </c>
      <c r="E1489" s="19" t="s">
        <v>22</v>
      </c>
      <c r="F1489" s="19" t="s">
        <v>23</v>
      </c>
      <c r="G1489" s="19" t="s">
        <v>24</v>
      </c>
      <c r="H1489" s="19" t="s">
        <v>87</v>
      </c>
      <c r="I1489" s="19">
        <v>6</v>
      </c>
      <c r="J1489" s="21">
        <v>87.3</v>
      </c>
      <c r="K1489" s="22">
        <v>0.05</v>
      </c>
      <c r="L1489" s="21">
        <v>497.60999999999996</v>
      </c>
    </row>
    <row r="1490" spans="1:12">
      <c r="A1490" s="19" t="s">
        <v>1560</v>
      </c>
      <c r="B1490" s="20">
        <v>46314</v>
      </c>
      <c r="C1490" s="19" t="s">
        <v>86</v>
      </c>
      <c r="D1490" s="19" t="s">
        <v>41</v>
      </c>
      <c r="E1490" s="19" t="s">
        <v>15</v>
      </c>
      <c r="F1490" s="19" t="s">
        <v>16</v>
      </c>
      <c r="G1490" s="19" t="s">
        <v>42</v>
      </c>
      <c r="H1490" s="19" t="s">
        <v>102</v>
      </c>
      <c r="I1490" s="19">
        <v>1</v>
      </c>
      <c r="J1490" s="21">
        <v>45</v>
      </c>
      <c r="K1490" s="22">
        <v>0.08</v>
      </c>
      <c r="L1490" s="21">
        <v>41.4</v>
      </c>
    </row>
    <row r="1491" spans="1:12">
      <c r="A1491" s="19" t="s">
        <v>1561</v>
      </c>
      <c r="B1491" s="20">
        <v>46260</v>
      </c>
      <c r="C1491" s="19" t="s">
        <v>47</v>
      </c>
      <c r="D1491" s="19" t="s">
        <v>14</v>
      </c>
      <c r="E1491" s="19" t="s">
        <v>15</v>
      </c>
      <c r="F1491" s="19" t="s">
        <v>16</v>
      </c>
      <c r="G1491" s="19" t="s">
        <v>112</v>
      </c>
      <c r="H1491" s="19" t="s">
        <v>83</v>
      </c>
      <c r="I1491" s="19">
        <v>2</v>
      </c>
      <c r="J1491" s="21">
        <v>65</v>
      </c>
      <c r="K1491" s="22">
        <v>0</v>
      </c>
      <c r="L1491" s="21">
        <v>130</v>
      </c>
    </row>
    <row r="1492" spans="1:12">
      <c r="A1492" s="19" t="s">
        <v>1562</v>
      </c>
      <c r="B1492" s="20">
        <v>46191</v>
      </c>
      <c r="C1492" s="19" t="s">
        <v>47</v>
      </c>
      <c r="D1492" s="19" t="s">
        <v>14</v>
      </c>
      <c r="E1492" s="19" t="s">
        <v>22</v>
      </c>
      <c r="F1492" s="19" t="s">
        <v>16</v>
      </c>
      <c r="G1492" s="19" t="s">
        <v>65</v>
      </c>
      <c r="H1492" s="19" t="s">
        <v>83</v>
      </c>
      <c r="I1492" s="19">
        <v>1</v>
      </c>
      <c r="J1492" s="21">
        <v>84.8</v>
      </c>
      <c r="K1492" s="22">
        <v>0.1</v>
      </c>
      <c r="L1492" s="21">
        <v>76.319999999999993</v>
      </c>
    </row>
    <row r="1493" spans="1:12">
      <c r="A1493" s="19" t="s">
        <v>1563</v>
      </c>
      <c r="B1493" s="20">
        <v>46324</v>
      </c>
      <c r="C1493" s="19" t="s">
        <v>31</v>
      </c>
      <c r="D1493" s="19" t="s">
        <v>21</v>
      </c>
      <c r="E1493" s="19" t="s">
        <v>22</v>
      </c>
      <c r="F1493" s="19" t="s">
        <v>48</v>
      </c>
      <c r="G1493" s="19" t="s">
        <v>96</v>
      </c>
      <c r="H1493" s="19" t="s">
        <v>33</v>
      </c>
      <c r="I1493" s="19">
        <v>1</v>
      </c>
      <c r="J1493" s="21">
        <v>2500</v>
      </c>
      <c r="K1493" s="22">
        <v>0.08</v>
      </c>
      <c r="L1493" s="21">
        <v>2300</v>
      </c>
    </row>
    <row r="1494" spans="1:12">
      <c r="A1494" s="19" t="s">
        <v>1564</v>
      </c>
      <c r="B1494" s="20">
        <v>46294</v>
      </c>
      <c r="C1494" s="19" t="s">
        <v>47</v>
      </c>
      <c r="D1494" s="19" t="s">
        <v>14</v>
      </c>
      <c r="E1494" s="19" t="s">
        <v>22</v>
      </c>
      <c r="F1494" s="19" t="s">
        <v>23</v>
      </c>
      <c r="G1494" s="19" t="s">
        <v>138</v>
      </c>
      <c r="H1494" s="19" t="s">
        <v>55</v>
      </c>
      <c r="I1494" s="19">
        <v>6</v>
      </c>
      <c r="J1494" s="21">
        <v>57</v>
      </c>
      <c r="K1494" s="22">
        <v>0.2</v>
      </c>
      <c r="L1494" s="21">
        <v>273.60000000000002</v>
      </c>
    </row>
    <row r="1495" spans="1:12">
      <c r="A1495" s="19" t="s">
        <v>1565</v>
      </c>
      <c r="B1495" s="20">
        <v>46058</v>
      </c>
      <c r="C1495" s="19" t="s">
        <v>47</v>
      </c>
      <c r="D1495" s="19" t="s">
        <v>21</v>
      </c>
      <c r="E1495" s="19" t="s">
        <v>22</v>
      </c>
      <c r="F1495" s="19" t="s">
        <v>16</v>
      </c>
      <c r="G1495" s="19" t="s">
        <v>112</v>
      </c>
      <c r="H1495" s="19" t="s">
        <v>55</v>
      </c>
      <c r="I1495" s="19">
        <v>3</v>
      </c>
      <c r="J1495" s="21">
        <v>67.599999999999994</v>
      </c>
      <c r="K1495" s="22">
        <v>0.05</v>
      </c>
      <c r="L1495" s="21">
        <v>192.65999999999997</v>
      </c>
    </row>
    <row r="1496" spans="1:12">
      <c r="A1496" s="19" t="s">
        <v>1566</v>
      </c>
      <c r="B1496" s="20">
        <v>46103</v>
      </c>
      <c r="C1496" s="19" t="s">
        <v>86</v>
      </c>
      <c r="D1496" s="19" t="s">
        <v>35</v>
      </c>
      <c r="E1496" s="19" t="s">
        <v>22</v>
      </c>
      <c r="F1496" s="19" t="s">
        <v>48</v>
      </c>
      <c r="G1496" s="19" t="s">
        <v>49</v>
      </c>
      <c r="H1496" s="19" t="s">
        <v>87</v>
      </c>
      <c r="I1496" s="19">
        <v>3</v>
      </c>
      <c r="J1496" s="21">
        <v>4074</v>
      </c>
      <c r="K1496" s="22">
        <v>0.03</v>
      </c>
      <c r="L1496" s="21">
        <v>11855.34</v>
      </c>
    </row>
    <row r="1497" spans="1:12">
      <c r="A1497" s="19" t="s">
        <v>1567</v>
      </c>
      <c r="B1497" s="20">
        <v>46217</v>
      </c>
      <c r="C1497" s="19" t="s">
        <v>31</v>
      </c>
      <c r="D1497" s="19" t="s">
        <v>41</v>
      </c>
      <c r="E1497" s="19" t="s">
        <v>22</v>
      </c>
      <c r="F1497" s="19" t="s">
        <v>23</v>
      </c>
      <c r="G1497" s="19" t="s">
        <v>138</v>
      </c>
      <c r="H1497" s="19" t="s">
        <v>33</v>
      </c>
      <c r="I1497" s="19">
        <v>8</v>
      </c>
      <c r="J1497" s="21">
        <v>61.2</v>
      </c>
      <c r="K1497" s="22">
        <v>0.1</v>
      </c>
      <c r="L1497" s="21">
        <v>440.64000000000004</v>
      </c>
    </row>
    <row r="1498" spans="1:12">
      <c r="A1498" s="19" t="s">
        <v>1568</v>
      </c>
      <c r="B1498" s="20">
        <v>46351</v>
      </c>
      <c r="C1498" s="19" t="s">
        <v>86</v>
      </c>
      <c r="D1498" s="19" t="s">
        <v>21</v>
      </c>
      <c r="E1498" s="19" t="s">
        <v>15</v>
      </c>
      <c r="F1498" s="19" t="s">
        <v>73</v>
      </c>
      <c r="G1498" s="19" t="s">
        <v>129</v>
      </c>
      <c r="H1498" s="19" t="s">
        <v>93</v>
      </c>
      <c r="I1498" s="19">
        <v>3</v>
      </c>
      <c r="J1498" s="21">
        <v>35</v>
      </c>
      <c r="K1498" s="22">
        <v>0</v>
      </c>
      <c r="L1498" s="21">
        <v>105</v>
      </c>
    </row>
    <row r="1499" spans="1:12">
      <c r="A1499" s="19" t="s">
        <v>1569</v>
      </c>
      <c r="B1499" s="20">
        <v>46332</v>
      </c>
      <c r="C1499" s="19" t="s">
        <v>20</v>
      </c>
      <c r="D1499" s="19" t="s">
        <v>14</v>
      </c>
      <c r="E1499" s="19" t="s">
        <v>15</v>
      </c>
      <c r="F1499" s="19" t="s">
        <v>73</v>
      </c>
      <c r="G1499" s="19" t="s">
        <v>145</v>
      </c>
      <c r="H1499" s="19" t="s">
        <v>25</v>
      </c>
      <c r="I1499" s="19">
        <v>6</v>
      </c>
      <c r="J1499" s="21">
        <v>18.72</v>
      </c>
      <c r="K1499" s="22">
        <v>0.08</v>
      </c>
      <c r="L1499" s="21">
        <v>103.3344</v>
      </c>
    </row>
    <row r="1500" spans="1:12">
      <c r="A1500" s="19" t="s">
        <v>1570</v>
      </c>
      <c r="B1500" s="20">
        <v>46078</v>
      </c>
      <c r="C1500" s="19" t="s">
        <v>86</v>
      </c>
      <c r="D1500" s="19" t="s">
        <v>14</v>
      </c>
      <c r="E1500" s="19" t="s">
        <v>15</v>
      </c>
      <c r="F1500" s="19" t="s">
        <v>16</v>
      </c>
      <c r="G1500" s="19" t="s">
        <v>65</v>
      </c>
      <c r="H1500" s="19" t="s">
        <v>93</v>
      </c>
      <c r="I1500" s="19">
        <v>5</v>
      </c>
      <c r="J1500" s="21">
        <v>81.599999999999994</v>
      </c>
      <c r="K1500" s="22">
        <v>0.1</v>
      </c>
      <c r="L1500" s="21">
        <v>367.2</v>
      </c>
    </row>
    <row r="1501" spans="1:12">
      <c r="A1501" s="19" t="s">
        <v>1571</v>
      </c>
      <c r="B1501" s="20">
        <v>46025</v>
      </c>
      <c r="C1501" s="19" t="s">
        <v>86</v>
      </c>
      <c r="D1501" s="19" t="s">
        <v>14</v>
      </c>
      <c r="E1501" s="19" t="s">
        <v>22</v>
      </c>
      <c r="F1501" s="19" t="s">
        <v>16</v>
      </c>
      <c r="G1501" s="19" t="s">
        <v>17</v>
      </c>
      <c r="H1501" s="19" t="s">
        <v>102</v>
      </c>
      <c r="I1501" s="19">
        <v>5</v>
      </c>
      <c r="J1501" s="21">
        <v>14.55</v>
      </c>
      <c r="K1501" s="22">
        <v>0.03</v>
      </c>
      <c r="L1501" s="21">
        <v>70.567499999999995</v>
      </c>
    </row>
    <row r="1502" spans="1:12">
      <c r="A1502" s="19" t="s">
        <v>1572</v>
      </c>
      <c r="B1502" s="20">
        <v>46179</v>
      </c>
      <c r="C1502" s="19" t="s">
        <v>47</v>
      </c>
      <c r="D1502" s="19" t="s">
        <v>21</v>
      </c>
      <c r="E1502" s="19" t="s">
        <v>22</v>
      </c>
      <c r="F1502" s="19" t="s">
        <v>27</v>
      </c>
      <c r="G1502" s="19" t="s">
        <v>155</v>
      </c>
      <c r="H1502" s="19" t="s">
        <v>55</v>
      </c>
      <c r="I1502" s="19">
        <v>1</v>
      </c>
      <c r="J1502" s="21">
        <v>180</v>
      </c>
      <c r="K1502" s="22">
        <v>0.08</v>
      </c>
      <c r="L1502" s="21">
        <v>165.6</v>
      </c>
    </row>
    <row r="1503" spans="1:12">
      <c r="A1503" s="19" t="s">
        <v>1573</v>
      </c>
      <c r="B1503" s="20">
        <v>46113</v>
      </c>
      <c r="C1503" s="19" t="s">
        <v>47</v>
      </c>
      <c r="D1503" s="19" t="s">
        <v>21</v>
      </c>
      <c r="E1503" s="19" t="s">
        <v>22</v>
      </c>
      <c r="F1503" s="19" t="s">
        <v>48</v>
      </c>
      <c r="G1503" s="19" t="s">
        <v>71</v>
      </c>
      <c r="H1503" s="19" t="s">
        <v>83</v>
      </c>
      <c r="I1503" s="19">
        <v>2</v>
      </c>
      <c r="J1503" s="21">
        <v>3392</v>
      </c>
      <c r="K1503" s="22">
        <v>0.08</v>
      </c>
      <c r="L1503" s="21">
        <v>6241.2800000000007</v>
      </c>
    </row>
    <row r="1504" spans="1:12">
      <c r="A1504" s="19" t="s">
        <v>1574</v>
      </c>
      <c r="B1504" s="20">
        <v>46285</v>
      </c>
      <c r="C1504" s="19" t="s">
        <v>31</v>
      </c>
      <c r="D1504" s="19" t="s">
        <v>14</v>
      </c>
      <c r="E1504" s="19" t="s">
        <v>22</v>
      </c>
      <c r="F1504" s="19" t="s">
        <v>23</v>
      </c>
      <c r="G1504" s="19" t="s">
        <v>24</v>
      </c>
      <c r="H1504" s="19" t="s">
        <v>79</v>
      </c>
      <c r="I1504" s="19">
        <v>6</v>
      </c>
      <c r="J1504" s="21">
        <v>95.4</v>
      </c>
      <c r="K1504" s="22">
        <v>0.15</v>
      </c>
      <c r="L1504" s="21">
        <v>486.54000000000008</v>
      </c>
    </row>
    <row r="1505" spans="1:12">
      <c r="A1505" s="19" t="s">
        <v>1575</v>
      </c>
      <c r="B1505" s="20">
        <v>46264</v>
      </c>
      <c r="C1505" s="19" t="s">
        <v>20</v>
      </c>
      <c r="D1505" s="19" t="s">
        <v>35</v>
      </c>
      <c r="E1505" s="19" t="s">
        <v>15</v>
      </c>
      <c r="F1505" s="19" t="s">
        <v>60</v>
      </c>
      <c r="G1505" s="19" t="s">
        <v>67</v>
      </c>
      <c r="H1505" s="19" t="s">
        <v>63</v>
      </c>
      <c r="I1505" s="19">
        <v>5</v>
      </c>
      <c r="J1505" s="21">
        <v>1455</v>
      </c>
      <c r="K1505" s="22">
        <v>0.03</v>
      </c>
      <c r="L1505" s="21">
        <v>7056.75</v>
      </c>
    </row>
    <row r="1506" spans="1:12">
      <c r="A1506" s="19" t="s">
        <v>1576</v>
      </c>
      <c r="B1506" s="20">
        <v>46142</v>
      </c>
      <c r="C1506" s="19" t="s">
        <v>31</v>
      </c>
      <c r="D1506" s="19" t="s">
        <v>41</v>
      </c>
      <c r="E1506" s="19" t="s">
        <v>15</v>
      </c>
      <c r="F1506" s="19" t="s">
        <v>27</v>
      </c>
      <c r="G1506" s="19" t="s">
        <v>36</v>
      </c>
      <c r="H1506" s="19" t="s">
        <v>33</v>
      </c>
      <c r="I1506" s="19">
        <v>6</v>
      </c>
      <c r="J1506" s="21">
        <v>765</v>
      </c>
      <c r="K1506" s="22">
        <v>0.05</v>
      </c>
      <c r="L1506" s="21">
        <v>4360.5</v>
      </c>
    </row>
    <row r="1507" spans="1:12">
      <c r="A1507" s="19" t="s">
        <v>1577</v>
      </c>
      <c r="B1507" s="20">
        <v>46206</v>
      </c>
      <c r="C1507" s="19" t="s">
        <v>20</v>
      </c>
      <c r="D1507" s="19" t="s">
        <v>14</v>
      </c>
      <c r="E1507" s="19" t="s">
        <v>22</v>
      </c>
      <c r="F1507" s="19" t="s">
        <v>27</v>
      </c>
      <c r="G1507" s="19" t="s">
        <v>32</v>
      </c>
      <c r="H1507" s="19" t="s">
        <v>25</v>
      </c>
      <c r="I1507" s="19">
        <v>3</v>
      </c>
      <c r="J1507" s="21">
        <v>271.60000000000002</v>
      </c>
      <c r="K1507" s="22">
        <v>0</v>
      </c>
      <c r="L1507" s="21">
        <v>814.80000000000007</v>
      </c>
    </row>
    <row r="1508" spans="1:12">
      <c r="A1508" s="19" t="s">
        <v>1578</v>
      </c>
      <c r="B1508" s="20">
        <v>46095</v>
      </c>
      <c r="C1508" s="19" t="s">
        <v>31</v>
      </c>
      <c r="D1508" s="19" t="s">
        <v>21</v>
      </c>
      <c r="E1508" s="19" t="s">
        <v>22</v>
      </c>
      <c r="F1508" s="19" t="s">
        <v>16</v>
      </c>
      <c r="G1508" s="19" t="s">
        <v>69</v>
      </c>
      <c r="H1508" s="19" t="s">
        <v>33</v>
      </c>
      <c r="I1508" s="19">
        <v>2</v>
      </c>
      <c r="J1508" s="21">
        <v>56.1</v>
      </c>
      <c r="K1508" s="22">
        <v>0.03</v>
      </c>
      <c r="L1508" s="21">
        <v>108.834</v>
      </c>
    </row>
    <row r="1509" spans="1:12">
      <c r="A1509" s="19" t="s">
        <v>1579</v>
      </c>
      <c r="B1509" s="20">
        <v>46075</v>
      </c>
      <c r="C1509" s="19" t="s">
        <v>20</v>
      </c>
      <c r="D1509" s="19" t="s">
        <v>14</v>
      </c>
      <c r="E1509" s="19" t="s">
        <v>22</v>
      </c>
      <c r="F1509" s="19" t="s">
        <v>23</v>
      </c>
      <c r="G1509" s="19" t="s">
        <v>38</v>
      </c>
      <c r="H1509" s="19" t="s">
        <v>63</v>
      </c>
      <c r="I1509" s="19">
        <v>1</v>
      </c>
      <c r="J1509" s="21">
        <v>326.39999999999998</v>
      </c>
      <c r="K1509" s="22">
        <v>0.15</v>
      </c>
      <c r="L1509" s="21">
        <v>277.44</v>
      </c>
    </row>
    <row r="1510" spans="1:12">
      <c r="A1510" s="19" t="s">
        <v>1580</v>
      </c>
      <c r="B1510" s="20">
        <v>46230</v>
      </c>
      <c r="C1510" s="19" t="s">
        <v>31</v>
      </c>
      <c r="D1510" s="19" t="s">
        <v>14</v>
      </c>
      <c r="E1510" s="19" t="s">
        <v>22</v>
      </c>
      <c r="F1510" s="19" t="s">
        <v>16</v>
      </c>
      <c r="G1510" s="19" t="s">
        <v>112</v>
      </c>
      <c r="H1510" s="19" t="s">
        <v>39</v>
      </c>
      <c r="I1510" s="19">
        <v>5</v>
      </c>
      <c r="J1510" s="21">
        <v>65</v>
      </c>
      <c r="K1510" s="22">
        <v>0.05</v>
      </c>
      <c r="L1510" s="21">
        <v>308.75</v>
      </c>
    </row>
    <row r="1511" spans="1:12">
      <c r="A1511" s="19" t="s">
        <v>1581</v>
      </c>
      <c r="B1511" s="20">
        <v>46058</v>
      </c>
      <c r="C1511" s="19" t="s">
        <v>47</v>
      </c>
      <c r="D1511" s="19" t="s">
        <v>35</v>
      </c>
      <c r="E1511" s="19" t="s">
        <v>22</v>
      </c>
      <c r="F1511" s="19" t="s">
        <v>60</v>
      </c>
      <c r="G1511" s="19" t="s">
        <v>61</v>
      </c>
      <c r="H1511" s="19" t="s">
        <v>50</v>
      </c>
      <c r="I1511" s="19">
        <v>1</v>
      </c>
      <c r="J1511" s="21">
        <v>824.5</v>
      </c>
      <c r="K1511" s="22">
        <v>0.03</v>
      </c>
      <c r="L1511" s="21">
        <v>799.76499999999999</v>
      </c>
    </row>
    <row r="1512" spans="1:12">
      <c r="A1512" s="19" t="s">
        <v>1582</v>
      </c>
      <c r="B1512" s="20">
        <v>46355</v>
      </c>
      <c r="C1512" s="19" t="s">
        <v>47</v>
      </c>
      <c r="D1512" s="19" t="s">
        <v>21</v>
      </c>
      <c r="E1512" s="19" t="s">
        <v>15</v>
      </c>
      <c r="F1512" s="19" t="s">
        <v>23</v>
      </c>
      <c r="G1512" s="19" t="s">
        <v>138</v>
      </c>
      <c r="H1512" s="19" t="s">
        <v>55</v>
      </c>
      <c r="I1512" s="19">
        <v>1</v>
      </c>
      <c r="J1512" s="21">
        <v>62.4</v>
      </c>
      <c r="K1512" s="22">
        <v>0.08</v>
      </c>
      <c r="L1512" s="21">
        <v>57.408000000000001</v>
      </c>
    </row>
    <row r="1513" spans="1:12">
      <c r="A1513" s="19" t="s">
        <v>1583</v>
      </c>
      <c r="B1513" s="20">
        <v>46352</v>
      </c>
      <c r="C1513" s="19" t="s">
        <v>13</v>
      </c>
      <c r="D1513" s="19" t="s">
        <v>21</v>
      </c>
      <c r="E1513" s="19" t="s">
        <v>15</v>
      </c>
      <c r="F1513" s="19" t="s">
        <v>60</v>
      </c>
      <c r="G1513" s="19" t="s">
        <v>61</v>
      </c>
      <c r="H1513" s="19" t="s">
        <v>18</v>
      </c>
      <c r="I1513" s="19">
        <v>3</v>
      </c>
      <c r="J1513" s="21">
        <v>850</v>
      </c>
      <c r="K1513" s="22">
        <v>0.15</v>
      </c>
      <c r="L1513" s="21">
        <v>2167.5</v>
      </c>
    </row>
    <row r="1514" spans="1:12">
      <c r="A1514" s="19" t="s">
        <v>1584</v>
      </c>
      <c r="B1514" s="20">
        <v>46214</v>
      </c>
      <c r="C1514" s="19" t="s">
        <v>86</v>
      </c>
      <c r="D1514" s="19" t="s">
        <v>14</v>
      </c>
      <c r="E1514" s="19" t="s">
        <v>22</v>
      </c>
      <c r="F1514" s="19" t="s">
        <v>60</v>
      </c>
      <c r="G1514" s="19" t="s">
        <v>91</v>
      </c>
      <c r="H1514" s="19" t="s">
        <v>87</v>
      </c>
      <c r="I1514" s="19">
        <v>3</v>
      </c>
      <c r="J1514" s="21">
        <v>614.79999999999995</v>
      </c>
      <c r="K1514" s="22">
        <v>0.08</v>
      </c>
      <c r="L1514" s="21">
        <v>1696.848</v>
      </c>
    </row>
    <row r="1515" spans="1:12">
      <c r="A1515" s="19" t="s">
        <v>1585</v>
      </c>
      <c r="B1515" s="20">
        <v>46278</v>
      </c>
      <c r="C1515" s="19" t="s">
        <v>13</v>
      </c>
      <c r="D1515" s="19" t="s">
        <v>41</v>
      </c>
      <c r="E1515" s="19" t="s">
        <v>22</v>
      </c>
      <c r="F1515" s="19" t="s">
        <v>23</v>
      </c>
      <c r="G1515" s="19" t="s">
        <v>24</v>
      </c>
      <c r="H1515" s="19" t="s">
        <v>18</v>
      </c>
      <c r="I1515" s="19">
        <v>1</v>
      </c>
      <c r="J1515" s="21">
        <v>95.4</v>
      </c>
      <c r="K1515" s="22">
        <v>0.05</v>
      </c>
      <c r="L1515" s="21">
        <v>90.63</v>
      </c>
    </row>
    <row r="1516" spans="1:12">
      <c r="A1516" s="19" t="s">
        <v>1586</v>
      </c>
      <c r="B1516" s="20">
        <v>46327</v>
      </c>
      <c r="C1516" s="19" t="s">
        <v>86</v>
      </c>
      <c r="D1516" s="19" t="s">
        <v>14</v>
      </c>
      <c r="E1516" s="19" t="s">
        <v>22</v>
      </c>
      <c r="F1516" s="19" t="s">
        <v>16</v>
      </c>
      <c r="G1516" s="19" t="s">
        <v>112</v>
      </c>
      <c r="H1516" s="19" t="s">
        <v>87</v>
      </c>
      <c r="I1516" s="19">
        <v>1</v>
      </c>
      <c r="J1516" s="21">
        <v>65</v>
      </c>
      <c r="K1516" s="22">
        <v>0.05</v>
      </c>
      <c r="L1516" s="21">
        <v>61.75</v>
      </c>
    </row>
    <row r="1517" spans="1:12">
      <c r="A1517" s="19" t="s">
        <v>1587</v>
      </c>
      <c r="B1517" s="20">
        <v>46094</v>
      </c>
      <c r="C1517" s="19" t="s">
        <v>13</v>
      </c>
      <c r="D1517" s="19" t="s">
        <v>35</v>
      </c>
      <c r="E1517" s="19" t="s">
        <v>15</v>
      </c>
      <c r="F1517" s="19" t="s">
        <v>48</v>
      </c>
      <c r="G1517" s="19" t="s">
        <v>49</v>
      </c>
      <c r="H1517" s="19" t="s">
        <v>18</v>
      </c>
      <c r="I1517" s="19">
        <v>1</v>
      </c>
      <c r="J1517" s="21">
        <v>4074</v>
      </c>
      <c r="K1517" s="22">
        <v>0.05</v>
      </c>
      <c r="L1517" s="21">
        <v>3870.2999999999997</v>
      </c>
    </row>
    <row r="1518" spans="1:12">
      <c r="A1518" s="19" t="s">
        <v>1588</v>
      </c>
      <c r="B1518" s="20">
        <v>46312</v>
      </c>
      <c r="C1518" s="19" t="s">
        <v>13</v>
      </c>
      <c r="D1518" s="19" t="s">
        <v>41</v>
      </c>
      <c r="E1518" s="19" t="s">
        <v>15</v>
      </c>
      <c r="F1518" s="19" t="s">
        <v>23</v>
      </c>
      <c r="G1518" s="19" t="s">
        <v>138</v>
      </c>
      <c r="H1518" s="19" t="s">
        <v>18</v>
      </c>
      <c r="I1518" s="19">
        <v>7</v>
      </c>
      <c r="J1518" s="21">
        <v>62.4</v>
      </c>
      <c r="K1518" s="22">
        <v>0.1</v>
      </c>
      <c r="L1518" s="21">
        <v>393.12</v>
      </c>
    </row>
    <row r="1519" spans="1:12">
      <c r="A1519" s="19" t="s">
        <v>1589</v>
      </c>
      <c r="B1519" s="20">
        <v>46252</v>
      </c>
      <c r="C1519" s="19" t="s">
        <v>13</v>
      </c>
      <c r="D1519" s="19" t="s">
        <v>14</v>
      </c>
      <c r="E1519" s="19" t="s">
        <v>22</v>
      </c>
      <c r="F1519" s="19" t="s">
        <v>23</v>
      </c>
      <c r="G1519" s="19" t="s">
        <v>138</v>
      </c>
      <c r="H1519" s="19" t="s">
        <v>18</v>
      </c>
      <c r="I1519" s="19">
        <v>7</v>
      </c>
      <c r="J1519" s="21">
        <v>57</v>
      </c>
      <c r="K1519" s="22">
        <v>0</v>
      </c>
      <c r="L1519" s="21">
        <v>399</v>
      </c>
    </row>
    <row r="1520" spans="1:12">
      <c r="A1520" s="19" t="s">
        <v>1590</v>
      </c>
      <c r="B1520" s="20">
        <v>46352</v>
      </c>
      <c r="C1520" s="19" t="s">
        <v>31</v>
      </c>
      <c r="D1520" s="19" t="s">
        <v>21</v>
      </c>
      <c r="E1520" s="19" t="s">
        <v>22</v>
      </c>
      <c r="F1520" s="19" t="s">
        <v>23</v>
      </c>
      <c r="G1520" s="19" t="s">
        <v>24</v>
      </c>
      <c r="H1520" s="19" t="s">
        <v>79</v>
      </c>
      <c r="I1520" s="19">
        <v>3</v>
      </c>
      <c r="J1520" s="21">
        <v>90</v>
      </c>
      <c r="K1520" s="22">
        <v>0.05</v>
      </c>
      <c r="L1520" s="21">
        <v>256.5</v>
      </c>
    </row>
    <row r="1521" spans="1:12">
      <c r="A1521" s="19" t="s">
        <v>1591</v>
      </c>
      <c r="B1521" s="20">
        <v>46132</v>
      </c>
      <c r="C1521" s="19" t="s">
        <v>86</v>
      </c>
      <c r="D1521" s="19" t="s">
        <v>35</v>
      </c>
      <c r="E1521" s="19" t="s">
        <v>22</v>
      </c>
      <c r="F1521" s="19" t="s">
        <v>23</v>
      </c>
      <c r="G1521" s="19" t="s">
        <v>52</v>
      </c>
      <c r="H1521" s="19" t="s">
        <v>87</v>
      </c>
      <c r="I1521" s="19">
        <v>5</v>
      </c>
      <c r="J1521" s="21">
        <v>450</v>
      </c>
      <c r="K1521" s="22">
        <v>0.08</v>
      </c>
      <c r="L1521" s="21">
        <v>2070</v>
      </c>
    </row>
    <row r="1522" spans="1:12">
      <c r="A1522" s="19" t="s">
        <v>1592</v>
      </c>
      <c r="B1522" s="20">
        <v>46199</v>
      </c>
      <c r="C1522" s="19" t="s">
        <v>13</v>
      </c>
      <c r="D1522" s="19" t="s">
        <v>14</v>
      </c>
      <c r="E1522" s="19" t="s">
        <v>22</v>
      </c>
      <c r="F1522" s="19" t="s">
        <v>16</v>
      </c>
      <c r="G1522" s="19" t="s">
        <v>112</v>
      </c>
      <c r="H1522" s="19" t="s">
        <v>29</v>
      </c>
      <c r="I1522" s="19">
        <v>6</v>
      </c>
      <c r="J1522" s="21">
        <v>65</v>
      </c>
      <c r="K1522" s="22">
        <v>0.08</v>
      </c>
      <c r="L1522" s="21">
        <v>358.8</v>
      </c>
    </row>
    <row r="1523" spans="1:12">
      <c r="A1523" s="19" t="s">
        <v>1593</v>
      </c>
      <c r="B1523" s="20">
        <v>46191</v>
      </c>
      <c r="C1523" s="19" t="s">
        <v>13</v>
      </c>
      <c r="D1523" s="19" t="s">
        <v>35</v>
      </c>
      <c r="E1523" s="19" t="s">
        <v>15</v>
      </c>
      <c r="F1523" s="19" t="s">
        <v>60</v>
      </c>
      <c r="G1523" s="19" t="s">
        <v>67</v>
      </c>
      <c r="H1523" s="19" t="s">
        <v>18</v>
      </c>
      <c r="I1523" s="19">
        <v>3</v>
      </c>
      <c r="J1523" s="21">
        <v>1560</v>
      </c>
      <c r="K1523" s="22">
        <v>0.2</v>
      </c>
      <c r="L1523" s="21">
        <v>3744</v>
      </c>
    </row>
    <row r="1524" spans="1:12">
      <c r="A1524" s="19" t="s">
        <v>1594</v>
      </c>
      <c r="B1524" s="20">
        <v>46287</v>
      </c>
      <c r="C1524" s="19" t="s">
        <v>47</v>
      </c>
      <c r="D1524" s="19" t="s">
        <v>21</v>
      </c>
      <c r="E1524" s="19" t="s">
        <v>22</v>
      </c>
      <c r="F1524" s="19" t="s">
        <v>48</v>
      </c>
      <c r="G1524" s="19" t="s">
        <v>96</v>
      </c>
      <c r="H1524" s="19" t="s">
        <v>50</v>
      </c>
      <c r="I1524" s="19">
        <v>1</v>
      </c>
      <c r="J1524" s="21">
        <v>2600</v>
      </c>
      <c r="K1524" s="22">
        <v>0.08</v>
      </c>
      <c r="L1524" s="21">
        <v>2392</v>
      </c>
    </row>
    <row r="1525" spans="1:12">
      <c r="A1525" s="19" t="s">
        <v>1595</v>
      </c>
      <c r="B1525" s="20">
        <v>46331</v>
      </c>
      <c r="C1525" s="19" t="s">
        <v>86</v>
      </c>
      <c r="D1525" s="19" t="s">
        <v>21</v>
      </c>
      <c r="E1525" s="19" t="s">
        <v>22</v>
      </c>
      <c r="F1525" s="19" t="s">
        <v>73</v>
      </c>
      <c r="G1525" s="19" t="s">
        <v>74</v>
      </c>
      <c r="H1525" s="19" t="s">
        <v>87</v>
      </c>
      <c r="I1525" s="19">
        <v>4</v>
      </c>
      <c r="J1525" s="21">
        <v>8.16</v>
      </c>
      <c r="K1525" s="22">
        <v>0</v>
      </c>
      <c r="L1525" s="21">
        <v>32.64</v>
      </c>
    </row>
    <row r="1526" spans="1:12">
      <c r="A1526" s="19" t="s">
        <v>1596</v>
      </c>
      <c r="B1526" s="20">
        <v>46102</v>
      </c>
      <c r="C1526" s="19" t="s">
        <v>47</v>
      </c>
      <c r="D1526" s="19" t="s">
        <v>14</v>
      </c>
      <c r="E1526" s="19" t="s">
        <v>22</v>
      </c>
      <c r="F1526" s="19" t="s">
        <v>73</v>
      </c>
      <c r="G1526" s="19" t="s">
        <v>129</v>
      </c>
      <c r="H1526" s="19" t="s">
        <v>55</v>
      </c>
      <c r="I1526" s="19">
        <v>2</v>
      </c>
      <c r="J1526" s="21">
        <v>36.4</v>
      </c>
      <c r="K1526" s="22">
        <v>0.08</v>
      </c>
      <c r="L1526" s="21">
        <v>66.975999999999999</v>
      </c>
    </row>
    <row r="1527" spans="1:12">
      <c r="A1527" s="19" t="s">
        <v>1597</v>
      </c>
      <c r="B1527" s="20">
        <v>46175</v>
      </c>
      <c r="C1527" s="19" t="s">
        <v>31</v>
      </c>
      <c r="D1527" s="19" t="s">
        <v>14</v>
      </c>
      <c r="E1527" s="19" t="s">
        <v>15</v>
      </c>
      <c r="F1527" s="19" t="s">
        <v>60</v>
      </c>
      <c r="G1527" s="19" t="s">
        <v>67</v>
      </c>
      <c r="H1527" s="19" t="s">
        <v>39</v>
      </c>
      <c r="I1527" s="19">
        <v>1</v>
      </c>
      <c r="J1527" s="21">
        <v>1530</v>
      </c>
      <c r="K1527" s="22">
        <v>0.05</v>
      </c>
      <c r="L1527" s="21">
        <v>1453.5</v>
      </c>
    </row>
    <row r="1528" spans="1:12">
      <c r="A1528" s="19" t="s">
        <v>1598</v>
      </c>
      <c r="B1528" s="20">
        <v>46192</v>
      </c>
      <c r="C1528" s="19" t="s">
        <v>86</v>
      </c>
      <c r="D1528" s="19" t="s">
        <v>14</v>
      </c>
      <c r="E1528" s="19" t="s">
        <v>22</v>
      </c>
      <c r="F1528" s="19" t="s">
        <v>23</v>
      </c>
      <c r="G1528" s="19" t="s">
        <v>38</v>
      </c>
      <c r="H1528" s="19" t="s">
        <v>87</v>
      </c>
      <c r="I1528" s="19">
        <v>3</v>
      </c>
      <c r="J1528" s="21">
        <v>320</v>
      </c>
      <c r="K1528" s="22">
        <v>0.03</v>
      </c>
      <c r="L1528" s="21">
        <v>931.19999999999993</v>
      </c>
    </row>
    <row r="1529" spans="1:12">
      <c r="A1529" s="19" t="s">
        <v>1599</v>
      </c>
      <c r="B1529" s="20">
        <v>46323</v>
      </c>
      <c r="C1529" s="19" t="s">
        <v>86</v>
      </c>
      <c r="D1529" s="19" t="s">
        <v>21</v>
      </c>
      <c r="E1529" s="19" t="s">
        <v>22</v>
      </c>
      <c r="F1529" s="19" t="s">
        <v>73</v>
      </c>
      <c r="G1529" s="19" t="s">
        <v>81</v>
      </c>
      <c r="H1529" s="19" t="s">
        <v>93</v>
      </c>
      <c r="I1529" s="19">
        <v>2</v>
      </c>
      <c r="J1529" s="21">
        <v>11.64</v>
      </c>
      <c r="K1529" s="22">
        <v>0</v>
      </c>
      <c r="L1529" s="21">
        <v>23.28</v>
      </c>
    </row>
    <row r="1530" spans="1:12">
      <c r="A1530" s="19" t="s">
        <v>1600</v>
      </c>
      <c r="B1530" s="20">
        <v>46295</v>
      </c>
      <c r="C1530" s="19" t="s">
        <v>86</v>
      </c>
      <c r="D1530" s="19" t="s">
        <v>21</v>
      </c>
      <c r="E1530" s="19" t="s">
        <v>15</v>
      </c>
      <c r="F1530" s="19" t="s">
        <v>27</v>
      </c>
      <c r="G1530" s="19" t="s">
        <v>155</v>
      </c>
      <c r="H1530" s="19" t="s">
        <v>93</v>
      </c>
      <c r="I1530" s="19">
        <v>6</v>
      </c>
      <c r="J1530" s="21">
        <v>180</v>
      </c>
      <c r="K1530" s="22">
        <v>0.03</v>
      </c>
      <c r="L1530" s="21">
        <v>1047.5999999999999</v>
      </c>
    </row>
    <row r="1531" spans="1:12">
      <c r="A1531" s="19" t="s">
        <v>1601</v>
      </c>
      <c r="B1531" s="20">
        <v>46362</v>
      </c>
      <c r="C1531" s="19" t="s">
        <v>86</v>
      </c>
      <c r="D1531" s="19" t="s">
        <v>21</v>
      </c>
      <c r="E1531" s="19" t="s">
        <v>22</v>
      </c>
      <c r="F1531" s="19" t="s">
        <v>48</v>
      </c>
      <c r="G1531" s="19" t="s">
        <v>99</v>
      </c>
      <c r="H1531" s="19" t="s">
        <v>87</v>
      </c>
      <c r="I1531" s="19">
        <v>1</v>
      </c>
      <c r="J1531" s="21">
        <v>3060</v>
      </c>
      <c r="K1531" s="22">
        <v>0.15</v>
      </c>
      <c r="L1531" s="21">
        <v>2601</v>
      </c>
    </row>
    <row r="1532" spans="1:12">
      <c r="A1532" s="19" t="s">
        <v>1602</v>
      </c>
      <c r="B1532" s="20">
        <v>46076</v>
      </c>
      <c r="C1532" s="19" t="s">
        <v>86</v>
      </c>
      <c r="D1532" s="19" t="s">
        <v>14</v>
      </c>
      <c r="E1532" s="19" t="s">
        <v>22</v>
      </c>
      <c r="F1532" s="19" t="s">
        <v>60</v>
      </c>
      <c r="G1532" s="19" t="s">
        <v>67</v>
      </c>
      <c r="H1532" s="19" t="s">
        <v>93</v>
      </c>
      <c r="I1532" s="19">
        <v>4</v>
      </c>
      <c r="J1532" s="21">
        <v>1560</v>
      </c>
      <c r="K1532" s="22">
        <v>0.05</v>
      </c>
      <c r="L1532" s="21">
        <v>5928</v>
      </c>
    </row>
    <row r="1533" spans="1:12">
      <c r="A1533" s="19" t="s">
        <v>1603</v>
      </c>
      <c r="B1533" s="20">
        <v>46259</v>
      </c>
      <c r="C1533" s="19" t="s">
        <v>20</v>
      </c>
      <c r="D1533" s="19" t="s">
        <v>35</v>
      </c>
      <c r="E1533" s="19" t="s">
        <v>22</v>
      </c>
      <c r="F1533" s="19" t="s">
        <v>48</v>
      </c>
      <c r="G1533" s="19" t="s">
        <v>96</v>
      </c>
      <c r="H1533" s="19" t="s">
        <v>58</v>
      </c>
      <c r="I1533" s="19">
        <v>1</v>
      </c>
      <c r="J1533" s="21">
        <v>2500</v>
      </c>
      <c r="K1533" s="22">
        <v>0</v>
      </c>
      <c r="L1533" s="21">
        <v>2500</v>
      </c>
    </row>
    <row r="1534" spans="1:12">
      <c r="A1534" s="19" t="s">
        <v>1604</v>
      </c>
      <c r="B1534" s="20">
        <v>46353</v>
      </c>
      <c r="C1534" s="19" t="s">
        <v>20</v>
      </c>
      <c r="D1534" s="19" t="s">
        <v>41</v>
      </c>
      <c r="E1534" s="19" t="s">
        <v>15</v>
      </c>
      <c r="F1534" s="19" t="s">
        <v>60</v>
      </c>
      <c r="G1534" s="19" t="s">
        <v>76</v>
      </c>
      <c r="H1534" s="19" t="s">
        <v>58</v>
      </c>
      <c r="I1534" s="19">
        <v>1</v>
      </c>
      <c r="J1534" s="21">
        <v>700</v>
      </c>
      <c r="K1534" s="22">
        <v>0.08</v>
      </c>
      <c r="L1534" s="21">
        <v>644</v>
      </c>
    </row>
    <row r="1535" spans="1:12">
      <c r="A1535" s="19" t="s">
        <v>1605</v>
      </c>
      <c r="B1535" s="20">
        <v>46150</v>
      </c>
      <c r="C1535" s="19" t="s">
        <v>86</v>
      </c>
      <c r="D1535" s="19" t="s">
        <v>14</v>
      </c>
      <c r="E1535" s="19" t="s">
        <v>22</v>
      </c>
      <c r="F1535" s="19" t="s">
        <v>16</v>
      </c>
      <c r="G1535" s="19" t="s">
        <v>57</v>
      </c>
      <c r="H1535" s="19" t="s">
        <v>102</v>
      </c>
      <c r="I1535" s="19">
        <v>2</v>
      </c>
      <c r="J1535" s="21">
        <v>36.86</v>
      </c>
      <c r="K1535" s="22">
        <v>0.05</v>
      </c>
      <c r="L1535" s="21">
        <v>70.033999999999992</v>
      </c>
    </row>
    <row r="1536" spans="1:12">
      <c r="A1536" s="19" t="s">
        <v>1606</v>
      </c>
      <c r="B1536" s="20">
        <v>46333</v>
      </c>
      <c r="C1536" s="19" t="s">
        <v>31</v>
      </c>
      <c r="D1536" s="19" t="s">
        <v>35</v>
      </c>
      <c r="E1536" s="19" t="s">
        <v>22</v>
      </c>
      <c r="F1536" s="19" t="s">
        <v>27</v>
      </c>
      <c r="G1536" s="19" t="s">
        <v>155</v>
      </c>
      <c r="H1536" s="19" t="s">
        <v>79</v>
      </c>
      <c r="I1536" s="19">
        <v>9</v>
      </c>
      <c r="J1536" s="21">
        <v>190.8</v>
      </c>
      <c r="K1536" s="22">
        <v>0.2</v>
      </c>
      <c r="L1536" s="21">
        <v>1373.7600000000002</v>
      </c>
    </row>
    <row r="1537" spans="1:12">
      <c r="A1537" s="19" t="s">
        <v>1607</v>
      </c>
      <c r="B1537" s="20">
        <v>46126</v>
      </c>
      <c r="C1537" s="19" t="s">
        <v>20</v>
      </c>
      <c r="D1537" s="19" t="s">
        <v>14</v>
      </c>
      <c r="E1537" s="19" t="s">
        <v>15</v>
      </c>
      <c r="F1537" s="19" t="s">
        <v>23</v>
      </c>
      <c r="G1537" s="19" t="s">
        <v>38</v>
      </c>
      <c r="H1537" s="19" t="s">
        <v>25</v>
      </c>
      <c r="I1537" s="19">
        <v>2</v>
      </c>
      <c r="J1537" s="21">
        <v>310.39999999999998</v>
      </c>
      <c r="K1537" s="22">
        <v>0.08</v>
      </c>
      <c r="L1537" s="21">
        <v>571.13599999999997</v>
      </c>
    </row>
    <row r="1538" spans="1:12">
      <c r="A1538" s="19" t="s">
        <v>1608</v>
      </c>
      <c r="B1538" s="20">
        <v>46034</v>
      </c>
      <c r="C1538" s="19" t="s">
        <v>31</v>
      </c>
      <c r="D1538" s="19" t="s">
        <v>21</v>
      </c>
      <c r="E1538" s="19" t="s">
        <v>22</v>
      </c>
      <c r="F1538" s="19" t="s">
        <v>27</v>
      </c>
      <c r="G1538" s="19" t="s">
        <v>155</v>
      </c>
      <c r="H1538" s="19" t="s">
        <v>33</v>
      </c>
      <c r="I1538" s="19">
        <v>3</v>
      </c>
      <c r="J1538" s="21">
        <v>171</v>
      </c>
      <c r="K1538" s="22">
        <v>0.1</v>
      </c>
      <c r="L1538" s="21">
        <v>461.7</v>
      </c>
    </row>
    <row r="1539" spans="1:12">
      <c r="A1539" s="19" t="s">
        <v>1609</v>
      </c>
      <c r="B1539" s="20">
        <v>46034</v>
      </c>
      <c r="C1539" s="19" t="s">
        <v>31</v>
      </c>
      <c r="D1539" s="19" t="s">
        <v>41</v>
      </c>
      <c r="E1539" s="19" t="s">
        <v>22</v>
      </c>
      <c r="F1539" s="19" t="s">
        <v>73</v>
      </c>
      <c r="G1539" s="19" t="s">
        <v>129</v>
      </c>
      <c r="H1539" s="19" t="s">
        <v>33</v>
      </c>
      <c r="I1539" s="19">
        <v>1</v>
      </c>
      <c r="J1539" s="21">
        <v>36.4</v>
      </c>
      <c r="K1539" s="22">
        <v>0.03</v>
      </c>
      <c r="L1539" s="21">
        <v>35.308</v>
      </c>
    </row>
    <row r="1540" spans="1:12">
      <c r="A1540" s="19" t="s">
        <v>1610</v>
      </c>
      <c r="B1540" s="20">
        <v>46264</v>
      </c>
      <c r="C1540" s="19" t="s">
        <v>47</v>
      </c>
      <c r="D1540" s="19" t="s">
        <v>21</v>
      </c>
      <c r="E1540" s="19" t="s">
        <v>15</v>
      </c>
      <c r="F1540" s="19" t="s">
        <v>48</v>
      </c>
      <c r="G1540" s="19" t="s">
        <v>99</v>
      </c>
      <c r="H1540" s="19" t="s">
        <v>83</v>
      </c>
      <c r="I1540" s="19">
        <v>2</v>
      </c>
      <c r="J1540" s="21">
        <v>3120</v>
      </c>
      <c r="K1540" s="22">
        <v>0.05</v>
      </c>
      <c r="L1540" s="21">
        <v>5928</v>
      </c>
    </row>
    <row r="1541" spans="1:12">
      <c r="A1541" s="19" t="s">
        <v>1611</v>
      </c>
      <c r="B1541" s="20">
        <v>46140</v>
      </c>
      <c r="C1541" s="19" t="s">
        <v>31</v>
      </c>
      <c r="D1541" s="19" t="s">
        <v>21</v>
      </c>
      <c r="E1541" s="19" t="s">
        <v>15</v>
      </c>
      <c r="F1541" s="19" t="s">
        <v>48</v>
      </c>
      <c r="G1541" s="19" t="s">
        <v>54</v>
      </c>
      <c r="H1541" s="19" t="s">
        <v>33</v>
      </c>
      <c r="I1541" s="19">
        <v>2</v>
      </c>
      <c r="J1541" s="21">
        <v>1836</v>
      </c>
      <c r="K1541" s="22">
        <v>0.03</v>
      </c>
      <c r="L1541" s="21">
        <v>3561.8399999999997</v>
      </c>
    </row>
    <row r="1542" spans="1:12">
      <c r="A1542" s="19" t="s">
        <v>1612</v>
      </c>
      <c r="B1542" s="20">
        <v>46337</v>
      </c>
      <c r="C1542" s="19" t="s">
        <v>47</v>
      </c>
      <c r="D1542" s="19" t="s">
        <v>41</v>
      </c>
      <c r="E1542" s="19" t="s">
        <v>15</v>
      </c>
      <c r="F1542" s="19" t="s">
        <v>60</v>
      </c>
      <c r="G1542" s="19" t="s">
        <v>67</v>
      </c>
      <c r="H1542" s="19" t="s">
        <v>83</v>
      </c>
      <c r="I1542" s="19">
        <v>4</v>
      </c>
      <c r="J1542" s="21">
        <v>1455</v>
      </c>
      <c r="K1542" s="22">
        <v>0.15</v>
      </c>
      <c r="L1542" s="21">
        <v>4947</v>
      </c>
    </row>
    <row r="1543" spans="1:12">
      <c r="A1543" s="19" t="s">
        <v>1613</v>
      </c>
      <c r="B1543" s="20">
        <v>46357</v>
      </c>
      <c r="C1543" s="19" t="s">
        <v>31</v>
      </c>
      <c r="D1543" s="19" t="s">
        <v>41</v>
      </c>
      <c r="E1543" s="19" t="s">
        <v>22</v>
      </c>
      <c r="F1543" s="19" t="s">
        <v>16</v>
      </c>
      <c r="G1543" s="19" t="s">
        <v>57</v>
      </c>
      <c r="H1543" s="19" t="s">
        <v>79</v>
      </c>
      <c r="I1543" s="19">
        <v>3</v>
      </c>
      <c r="J1543" s="21">
        <v>38.76</v>
      </c>
      <c r="K1543" s="22">
        <v>0.1</v>
      </c>
      <c r="L1543" s="21">
        <v>104.652</v>
      </c>
    </row>
    <row r="1544" spans="1:12">
      <c r="A1544" s="19" t="s">
        <v>1614</v>
      </c>
      <c r="B1544" s="20">
        <v>46030</v>
      </c>
      <c r="C1544" s="19" t="s">
        <v>31</v>
      </c>
      <c r="D1544" s="19" t="s">
        <v>41</v>
      </c>
      <c r="E1544" s="19" t="s">
        <v>22</v>
      </c>
      <c r="F1544" s="19" t="s">
        <v>73</v>
      </c>
      <c r="G1544" s="19" t="s">
        <v>129</v>
      </c>
      <c r="H1544" s="19" t="s">
        <v>33</v>
      </c>
      <c r="I1544" s="19">
        <v>1</v>
      </c>
      <c r="J1544" s="21">
        <v>35.700000000000003</v>
      </c>
      <c r="K1544" s="22">
        <v>0</v>
      </c>
      <c r="L1544" s="21">
        <v>35.700000000000003</v>
      </c>
    </row>
    <row r="1545" spans="1:12">
      <c r="A1545" s="19" t="s">
        <v>1615</v>
      </c>
      <c r="B1545" s="20">
        <v>46190</v>
      </c>
      <c r="C1545" s="19" t="s">
        <v>31</v>
      </c>
      <c r="D1545" s="19" t="s">
        <v>21</v>
      </c>
      <c r="E1545" s="19" t="s">
        <v>22</v>
      </c>
      <c r="F1545" s="19" t="s">
        <v>16</v>
      </c>
      <c r="G1545" s="19" t="s">
        <v>42</v>
      </c>
      <c r="H1545" s="19" t="s">
        <v>39</v>
      </c>
      <c r="I1545" s="19">
        <v>2</v>
      </c>
      <c r="J1545" s="21">
        <v>45</v>
      </c>
      <c r="K1545" s="22">
        <v>0.15</v>
      </c>
      <c r="L1545" s="21">
        <v>76.5</v>
      </c>
    </row>
    <row r="1546" spans="1:12">
      <c r="A1546" s="19" t="s">
        <v>1616</v>
      </c>
      <c r="B1546" s="20">
        <v>46247</v>
      </c>
      <c r="C1546" s="19" t="s">
        <v>20</v>
      </c>
      <c r="D1546" s="19" t="s">
        <v>41</v>
      </c>
      <c r="E1546" s="19" t="s">
        <v>22</v>
      </c>
      <c r="F1546" s="19" t="s">
        <v>60</v>
      </c>
      <c r="G1546" s="19" t="s">
        <v>61</v>
      </c>
      <c r="H1546" s="19" t="s">
        <v>63</v>
      </c>
      <c r="I1546" s="19">
        <v>1</v>
      </c>
      <c r="J1546" s="21">
        <v>884</v>
      </c>
      <c r="K1546" s="22">
        <v>0.08</v>
      </c>
      <c r="L1546" s="21">
        <v>813.28000000000009</v>
      </c>
    </row>
    <row r="1547" spans="1:12">
      <c r="A1547" s="19" t="s">
        <v>1617</v>
      </c>
      <c r="B1547" s="20">
        <v>46275</v>
      </c>
      <c r="C1547" s="19" t="s">
        <v>13</v>
      </c>
      <c r="D1547" s="19" t="s">
        <v>14</v>
      </c>
      <c r="E1547" s="19" t="s">
        <v>15</v>
      </c>
      <c r="F1547" s="19" t="s">
        <v>48</v>
      </c>
      <c r="G1547" s="19" t="s">
        <v>99</v>
      </c>
      <c r="H1547" s="19" t="s">
        <v>18</v>
      </c>
      <c r="I1547" s="19">
        <v>3</v>
      </c>
      <c r="J1547" s="21">
        <v>3000</v>
      </c>
      <c r="K1547" s="22">
        <v>0.03</v>
      </c>
      <c r="L1547" s="21">
        <v>8730</v>
      </c>
    </row>
    <row r="1548" spans="1:12">
      <c r="A1548" s="19" t="s">
        <v>1618</v>
      </c>
      <c r="B1548" s="20">
        <v>46229</v>
      </c>
      <c r="C1548" s="19" t="s">
        <v>47</v>
      </c>
      <c r="D1548" s="19" t="s">
        <v>35</v>
      </c>
      <c r="E1548" s="19" t="s">
        <v>22</v>
      </c>
      <c r="F1548" s="19" t="s">
        <v>48</v>
      </c>
      <c r="G1548" s="19" t="s">
        <v>96</v>
      </c>
      <c r="H1548" s="19" t="s">
        <v>55</v>
      </c>
      <c r="I1548" s="19">
        <v>2</v>
      </c>
      <c r="J1548" s="21">
        <v>2500</v>
      </c>
      <c r="K1548" s="22">
        <v>0.03</v>
      </c>
      <c r="L1548" s="21">
        <v>4850</v>
      </c>
    </row>
    <row r="1549" spans="1:12">
      <c r="A1549" s="19" t="s">
        <v>1619</v>
      </c>
      <c r="B1549" s="20">
        <v>46108</v>
      </c>
      <c r="C1549" s="19" t="s">
        <v>13</v>
      </c>
      <c r="D1549" s="19" t="s">
        <v>21</v>
      </c>
      <c r="E1549" s="19" t="s">
        <v>22</v>
      </c>
      <c r="F1549" s="19" t="s">
        <v>16</v>
      </c>
      <c r="G1549" s="19" t="s">
        <v>17</v>
      </c>
      <c r="H1549" s="19" t="s">
        <v>29</v>
      </c>
      <c r="I1549" s="19">
        <v>6</v>
      </c>
      <c r="J1549" s="21">
        <v>14.25</v>
      </c>
      <c r="K1549" s="22">
        <v>0.05</v>
      </c>
      <c r="L1549" s="21">
        <v>81.224999999999994</v>
      </c>
    </row>
    <row r="1550" spans="1:12">
      <c r="A1550" s="19" t="s">
        <v>1620</v>
      </c>
      <c r="B1550" s="20">
        <v>46118</v>
      </c>
      <c r="C1550" s="19" t="s">
        <v>31</v>
      </c>
      <c r="D1550" s="19" t="s">
        <v>21</v>
      </c>
      <c r="E1550" s="19" t="s">
        <v>15</v>
      </c>
      <c r="F1550" s="19" t="s">
        <v>60</v>
      </c>
      <c r="G1550" s="19" t="s">
        <v>76</v>
      </c>
      <c r="H1550" s="19" t="s">
        <v>33</v>
      </c>
      <c r="I1550" s="19">
        <v>2</v>
      </c>
      <c r="J1550" s="21">
        <v>728</v>
      </c>
      <c r="K1550" s="22">
        <v>0</v>
      </c>
      <c r="L1550" s="21">
        <v>1456</v>
      </c>
    </row>
    <row r="1551" spans="1:12">
      <c r="A1551" s="19" t="s">
        <v>1621</v>
      </c>
      <c r="B1551" s="20">
        <v>46087</v>
      </c>
      <c r="C1551" s="19" t="s">
        <v>47</v>
      </c>
      <c r="D1551" s="19" t="s">
        <v>21</v>
      </c>
      <c r="E1551" s="19" t="s">
        <v>15</v>
      </c>
      <c r="F1551" s="19" t="s">
        <v>73</v>
      </c>
      <c r="G1551" s="19" t="s">
        <v>129</v>
      </c>
      <c r="H1551" s="19" t="s">
        <v>55</v>
      </c>
      <c r="I1551" s="19">
        <v>2</v>
      </c>
      <c r="J1551" s="21">
        <v>35</v>
      </c>
      <c r="K1551" s="22">
        <v>0.03</v>
      </c>
      <c r="L1551" s="21">
        <v>67.899999999999991</v>
      </c>
    </row>
    <row r="1552" spans="1:12">
      <c r="A1552" s="19" t="s">
        <v>1622</v>
      </c>
      <c r="B1552" s="20">
        <v>46367</v>
      </c>
      <c r="C1552" s="19" t="s">
        <v>31</v>
      </c>
      <c r="D1552" s="19" t="s">
        <v>14</v>
      </c>
      <c r="E1552" s="19" t="s">
        <v>22</v>
      </c>
      <c r="F1552" s="19" t="s">
        <v>73</v>
      </c>
      <c r="G1552" s="19" t="s">
        <v>145</v>
      </c>
      <c r="H1552" s="19" t="s">
        <v>39</v>
      </c>
      <c r="I1552" s="19">
        <v>6</v>
      </c>
      <c r="J1552" s="21">
        <v>18.72</v>
      </c>
      <c r="K1552" s="22">
        <v>0.08</v>
      </c>
      <c r="L1552" s="21">
        <v>103.3344</v>
      </c>
    </row>
    <row r="1553" spans="1:12">
      <c r="A1553" s="19" t="s">
        <v>1623</v>
      </c>
      <c r="B1553" s="20">
        <v>46055</v>
      </c>
      <c r="C1553" s="19" t="s">
        <v>20</v>
      </c>
      <c r="D1553" s="19" t="s">
        <v>14</v>
      </c>
      <c r="E1553" s="19" t="s">
        <v>22</v>
      </c>
      <c r="F1553" s="19" t="s">
        <v>16</v>
      </c>
      <c r="G1553" s="19" t="s">
        <v>69</v>
      </c>
      <c r="H1553" s="19" t="s">
        <v>25</v>
      </c>
      <c r="I1553" s="19">
        <v>1</v>
      </c>
      <c r="J1553" s="21">
        <v>55</v>
      </c>
      <c r="K1553" s="22">
        <v>0.08</v>
      </c>
      <c r="L1553" s="21">
        <v>50.6</v>
      </c>
    </row>
    <row r="1554" spans="1:12">
      <c r="A1554" s="19" t="s">
        <v>1624</v>
      </c>
      <c r="B1554" s="20">
        <v>46196</v>
      </c>
      <c r="C1554" s="19" t="s">
        <v>13</v>
      </c>
      <c r="D1554" s="19" t="s">
        <v>41</v>
      </c>
      <c r="E1554" s="19" t="s">
        <v>22</v>
      </c>
      <c r="F1554" s="19" t="s">
        <v>27</v>
      </c>
      <c r="G1554" s="19" t="s">
        <v>32</v>
      </c>
      <c r="H1554" s="19" t="s">
        <v>43</v>
      </c>
      <c r="I1554" s="19">
        <v>1</v>
      </c>
      <c r="J1554" s="21">
        <v>285.60000000000002</v>
      </c>
      <c r="K1554" s="22">
        <v>0.03</v>
      </c>
      <c r="L1554" s="21">
        <v>277.03200000000004</v>
      </c>
    </row>
    <row r="1555" spans="1:12">
      <c r="A1555" s="19" t="s">
        <v>1625</v>
      </c>
      <c r="B1555" s="20">
        <v>46363</v>
      </c>
      <c r="C1555" s="19" t="s">
        <v>13</v>
      </c>
      <c r="D1555" s="19" t="s">
        <v>41</v>
      </c>
      <c r="E1555" s="19" t="s">
        <v>22</v>
      </c>
      <c r="F1555" s="19" t="s">
        <v>23</v>
      </c>
      <c r="G1555" s="19" t="s">
        <v>138</v>
      </c>
      <c r="H1555" s="19" t="s">
        <v>43</v>
      </c>
      <c r="I1555" s="19">
        <v>3</v>
      </c>
      <c r="J1555" s="21">
        <v>58.2</v>
      </c>
      <c r="K1555" s="22">
        <v>0.05</v>
      </c>
      <c r="L1555" s="21">
        <v>165.87</v>
      </c>
    </row>
    <row r="1556" spans="1:12">
      <c r="A1556" s="19" t="s">
        <v>1626</v>
      </c>
      <c r="B1556" s="20">
        <v>46110</v>
      </c>
      <c r="C1556" s="19" t="s">
        <v>31</v>
      </c>
      <c r="D1556" s="19" t="s">
        <v>35</v>
      </c>
      <c r="E1556" s="19" t="s">
        <v>22</v>
      </c>
      <c r="F1556" s="19" t="s">
        <v>48</v>
      </c>
      <c r="G1556" s="19" t="s">
        <v>99</v>
      </c>
      <c r="H1556" s="19" t="s">
        <v>33</v>
      </c>
      <c r="I1556" s="19">
        <v>1</v>
      </c>
      <c r="J1556" s="21">
        <v>3000</v>
      </c>
      <c r="K1556" s="22">
        <v>0.2</v>
      </c>
      <c r="L1556" s="21">
        <v>2400</v>
      </c>
    </row>
    <row r="1557" spans="1:12">
      <c r="A1557" s="19" t="s">
        <v>1627</v>
      </c>
      <c r="B1557" s="20">
        <v>46189</v>
      </c>
      <c r="C1557" s="19" t="s">
        <v>13</v>
      </c>
      <c r="D1557" s="19" t="s">
        <v>21</v>
      </c>
      <c r="E1557" s="19" t="s">
        <v>22</v>
      </c>
      <c r="F1557" s="19" t="s">
        <v>60</v>
      </c>
      <c r="G1557" s="19" t="s">
        <v>61</v>
      </c>
      <c r="H1557" s="19" t="s">
        <v>43</v>
      </c>
      <c r="I1557" s="19">
        <v>1</v>
      </c>
      <c r="J1557" s="21">
        <v>884</v>
      </c>
      <c r="K1557" s="22">
        <v>0.2</v>
      </c>
      <c r="L1557" s="21">
        <v>707.2</v>
      </c>
    </row>
    <row r="1558" spans="1:12">
      <c r="A1558" s="19" t="s">
        <v>1628</v>
      </c>
      <c r="B1558" s="20">
        <v>46170</v>
      </c>
      <c r="C1558" s="19" t="s">
        <v>86</v>
      </c>
      <c r="D1558" s="19" t="s">
        <v>41</v>
      </c>
      <c r="E1558" s="19" t="s">
        <v>22</v>
      </c>
      <c r="F1558" s="19" t="s">
        <v>23</v>
      </c>
      <c r="G1558" s="19" t="s">
        <v>52</v>
      </c>
      <c r="H1558" s="19" t="s">
        <v>87</v>
      </c>
      <c r="I1558" s="19">
        <v>6</v>
      </c>
      <c r="J1558" s="21">
        <v>450</v>
      </c>
      <c r="K1558" s="22">
        <v>0.08</v>
      </c>
      <c r="L1558" s="21">
        <v>2484</v>
      </c>
    </row>
    <row r="1559" spans="1:12">
      <c r="A1559" s="19" t="s">
        <v>1629</v>
      </c>
      <c r="B1559" s="20">
        <v>46179</v>
      </c>
      <c r="C1559" s="19" t="s">
        <v>20</v>
      </c>
      <c r="D1559" s="19" t="s">
        <v>21</v>
      </c>
      <c r="E1559" s="19" t="s">
        <v>15</v>
      </c>
      <c r="F1559" s="19" t="s">
        <v>48</v>
      </c>
      <c r="G1559" s="19" t="s">
        <v>99</v>
      </c>
      <c r="H1559" s="19" t="s">
        <v>58</v>
      </c>
      <c r="I1559" s="19">
        <v>2</v>
      </c>
      <c r="J1559" s="21">
        <v>3180</v>
      </c>
      <c r="K1559" s="22">
        <v>0.2</v>
      </c>
      <c r="L1559" s="21">
        <v>5088</v>
      </c>
    </row>
    <row r="1560" spans="1:12">
      <c r="A1560" s="19" t="s">
        <v>1630</v>
      </c>
      <c r="B1560" s="20">
        <v>46069</v>
      </c>
      <c r="C1560" s="19" t="s">
        <v>13</v>
      </c>
      <c r="D1560" s="19" t="s">
        <v>41</v>
      </c>
      <c r="E1560" s="19" t="s">
        <v>15</v>
      </c>
      <c r="F1560" s="19" t="s">
        <v>27</v>
      </c>
      <c r="G1560" s="19" t="s">
        <v>36</v>
      </c>
      <c r="H1560" s="19" t="s">
        <v>18</v>
      </c>
      <c r="I1560" s="19">
        <v>1</v>
      </c>
      <c r="J1560" s="21">
        <v>750</v>
      </c>
      <c r="K1560" s="22">
        <v>0.15</v>
      </c>
      <c r="L1560" s="21">
        <v>637.5</v>
      </c>
    </row>
    <row r="1561" spans="1:12">
      <c r="A1561" s="19" t="s">
        <v>1631</v>
      </c>
      <c r="B1561" s="20">
        <v>46065</v>
      </c>
      <c r="C1561" s="19" t="s">
        <v>86</v>
      </c>
      <c r="D1561" s="19" t="s">
        <v>35</v>
      </c>
      <c r="E1561" s="19" t="s">
        <v>22</v>
      </c>
      <c r="F1561" s="19" t="s">
        <v>60</v>
      </c>
      <c r="G1561" s="19" t="s">
        <v>61</v>
      </c>
      <c r="H1561" s="19" t="s">
        <v>87</v>
      </c>
      <c r="I1561" s="19">
        <v>3</v>
      </c>
      <c r="J1561" s="21">
        <v>807.5</v>
      </c>
      <c r="K1561" s="22">
        <v>0.05</v>
      </c>
      <c r="L1561" s="21">
        <v>2301.375</v>
      </c>
    </row>
    <row r="1562" spans="1:12">
      <c r="A1562" s="19" t="s">
        <v>1632</v>
      </c>
      <c r="B1562" s="20">
        <v>46229</v>
      </c>
      <c r="C1562" s="19" t="s">
        <v>47</v>
      </c>
      <c r="D1562" s="19" t="s">
        <v>41</v>
      </c>
      <c r="E1562" s="19" t="s">
        <v>22</v>
      </c>
      <c r="F1562" s="19" t="s">
        <v>60</v>
      </c>
      <c r="G1562" s="19" t="s">
        <v>76</v>
      </c>
      <c r="H1562" s="19" t="s">
        <v>55</v>
      </c>
      <c r="I1562" s="19">
        <v>2</v>
      </c>
      <c r="J1562" s="21">
        <v>714</v>
      </c>
      <c r="K1562" s="22">
        <v>0.1</v>
      </c>
      <c r="L1562" s="21">
        <v>1285.2</v>
      </c>
    </row>
    <row r="1563" spans="1:12">
      <c r="A1563" s="19" t="s">
        <v>1633</v>
      </c>
      <c r="B1563" s="20">
        <v>46277</v>
      </c>
      <c r="C1563" s="19" t="s">
        <v>13</v>
      </c>
      <c r="D1563" s="19" t="s">
        <v>14</v>
      </c>
      <c r="E1563" s="19" t="s">
        <v>15</v>
      </c>
      <c r="F1563" s="19" t="s">
        <v>60</v>
      </c>
      <c r="G1563" s="19" t="s">
        <v>91</v>
      </c>
      <c r="H1563" s="19" t="s">
        <v>29</v>
      </c>
      <c r="I1563" s="19">
        <v>1</v>
      </c>
      <c r="J1563" s="21">
        <v>551</v>
      </c>
      <c r="K1563" s="22">
        <v>0</v>
      </c>
      <c r="L1563" s="21">
        <v>551</v>
      </c>
    </row>
    <row r="1564" spans="1:12">
      <c r="A1564" s="19" t="s">
        <v>1634</v>
      </c>
      <c r="B1564" s="20">
        <v>46125</v>
      </c>
      <c r="C1564" s="19" t="s">
        <v>13</v>
      </c>
      <c r="D1564" s="19" t="s">
        <v>41</v>
      </c>
      <c r="E1564" s="19" t="s">
        <v>22</v>
      </c>
      <c r="F1564" s="19" t="s">
        <v>23</v>
      </c>
      <c r="G1564" s="19" t="s">
        <v>52</v>
      </c>
      <c r="H1564" s="19" t="s">
        <v>18</v>
      </c>
      <c r="I1564" s="19">
        <v>1</v>
      </c>
      <c r="J1564" s="21">
        <v>477</v>
      </c>
      <c r="K1564" s="22">
        <v>0.15</v>
      </c>
      <c r="L1564" s="21">
        <v>405.45</v>
      </c>
    </row>
    <row r="1565" spans="1:12">
      <c r="A1565" s="19" t="s">
        <v>1635</v>
      </c>
      <c r="B1565" s="20">
        <v>46384</v>
      </c>
      <c r="C1565" s="19" t="s">
        <v>13</v>
      </c>
      <c r="D1565" s="19" t="s">
        <v>41</v>
      </c>
      <c r="E1565" s="19" t="s">
        <v>22</v>
      </c>
      <c r="F1565" s="19" t="s">
        <v>16</v>
      </c>
      <c r="G1565" s="19" t="s">
        <v>112</v>
      </c>
      <c r="H1565" s="19" t="s">
        <v>43</v>
      </c>
      <c r="I1565" s="19">
        <v>4</v>
      </c>
      <c r="J1565" s="21">
        <v>65</v>
      </c>
      <c r="K1565" s="22">
        <v>0.1</v>
      </c>
      <c r="L1565" s="21">
        <v>234</v>
      </c>
    </row>
    <row r="1566" spans="1:12">
      <c r="A1566" s="19" t="s">
        <v>1636</v>
      </c>
      <c r="B1566" s="20">
        <v>46317</v>
      </c>
      <c r="C1566" s="19" t="s">
        <v>31</v>
      </c>
      <c r="D1566" s="19" t="s">
        <v>14</v>
      </c>
      <c r="E1566" s="19" t="s">
        <v>22</v>
      </c>
      <c r="F1566" s="19" t="s">
        <v>23</v>
      </c>
      <c r="G1566" s="19" t="s">
        <v>38</v>
      </c>
      <c r="H1566" s="19" t="s">
        <v>79</v>
      </c>
      <c r="I1566" s="19">
        <v>3</v>
      </c>
      <c r="J1566" s="21">
        <v>304</v>
      </c>
      <c r="K1566" s="22">
        <v>0.03</v>
      </c>
      <c r="L1566" s="21">
        <v>884.64</v>
      </c>
    </row>
    <row r="1567" spans="1:12">
      <c r="A1567" s="19" t="s">
        <v>1637</v>
      </c>
      <c r="B1567" s="20">
        <v>46250</v>
      </c>
      <c r="C1567" s="19" t="s">
        <v>31</v>
      </c>
      <c r="D1567" s="19" t="s">
        <v>35</v>
      </c>
      <c r="E1567" s="19" t="s">
        <v>22</v>
      </c>
      <c r="F1567" s="19" t="s">
        <v>60</v>
      </c>
      <c r="G1567" s="19" t="s">
        <v>91</v>
      </c>
      <c r="H1567" s="19" t="s">
        <v>39</v>
      </c>
      <c r="I1567" s="19">
        <v>1</v>
      </c>
      <c r="J1567" s="21">
        <v>580</v>
      </c>
      <c r="K1567" s="22">
        <v>0.08</v>
      </c>
      <c r="L1567" s="21">
        <v>533.6</v>
      </c>
    </row>
    <row r="1568" spans="1:12">
      <c r="A1568" s="19" t="s">
        <v>1638</v>
      </c>
      <c r="B1568" s="20">
        <v>46088</v>
      </c>
      <c r="C1568" s="19" t="s">
        <v>31</v>
      </c>
      <c r="D1568" s="19" t="s">
        <v>41</v>
      </c>
      <c r="E1568" s="19" t="s">
        <v>22</v>
      </c>
      <c r="F1568" s="19" t="s">
        <v>27</v>
      </c>
      <c r="G1568" s="19" t="s">
        <v>155</v>
      </c>
      <c r="H1568" s="19" t="s">
        <v>79</v>
      </c>
      <c r="I1568" s="19">
        <v>4</v>
      </c>
      <c r="J1568" s="21">
        <v>190.8</v>
      </c>
      <c r="K1568" s="22">
        <v>0.03</v>
      </c>
      <c r="L1568" s="21">
        <v>740.30399999999997</v>
      </c>
    </row>
    <row r="1569" spans="1:12">
      <c r="A1569" s="19" t="s">
        <v>1639</v>
      </c>
      <c r="B1569" s="20">
        <v>46258</v>
      </c>
      <c r="C1569" s="19" t="s">
        <v>13</v>
      </c>
      <c r="D1569" s="19" t="s">
        <v>14</v>
      </c>
      <c r="E1569" s="19" t="s">
        <v>22</v>
      </c>
      <c r="F1569" s="19" t="s">
        <v>16</v>
      </c>
      <c r="G1569" s="19" t="s">
        <v>112</v>
      </c>
      <c r="H1569" s="19" t="s">
        <v>29</v>
      </c>
      <c r="I1569" s="19">
        <v>1</v>
      </c>
      <c r="J1569" s="21">
        <v>61.75</v>
      </c>
      <c r="K1569" s="22">
        <v>0.08</v>
      </c>
      <c r="L1569" s="21">
        <v>56.81</v>
      </c>
    </row>
    <row r="1570" spans="1:12">
      <c r="A1570" s="19" t="s">
        <v>1640</v>
      </c>
      <c r="B1570" s="20">
        <v>46064</v>
      </c>
      <c r="C1570" s="19" t="s">
        <v>13</v>
      </c>
      <c r="D1570" s="19" t="s">
        <v>41</v>
      </c>
      <c r="E1570" s="19" t="s">
        <v>22</v>
      </c>
      <c r="F1570" s="19" t="s">
        <v>27</v>
      </c>
      <c r="G1570" s="19" t="s">
        <v>36</v>
      </c>
      <c r="H1570" s="19" t="s">
        <v>29</v>
      </c>
      <c r="I1570" s="19">
        <v>1</v>
      </c>
      <c r="J1570" s="21">
        <v>750</v>
      </c>
      <c r="K1570" s="22">
        <v>0.08</v>
      </c>
      <c r="L1570" s="21">
        <v>690</v>
      </c>
    </row>
    <row r="1571" spans="1:12">
      <c r="A1571" s="19" t="s">
        <v>1641</v>
      </c>
      <c r="B1571" s="20">
        <v>46180</v>
      </c>
      <c r="C1571" s="19" t="s">
        <v>20</v>
      </c>
      <c r="D1571" s="19" t="s">
        <v>35</v>
      </c>
      <c r="E1571" s="19" t="s">
        <v>22</v>
      </c>
      <c r="F1571" s="19" t="s">
        <v>27</v>
      </c>
      <c r="G1571" s="19" t="s">
        <v>28</v>
      </c>
      <c r="H1571" s="19" t="s">
        <v>25</v>
      </c>
      <c r="I1571" s="19">
        <v>4</v>
      </c>
      <c r="J1571" s="21">
        <v>19.399999999999999</v>
      </c>
      <c r="K1571" s="22">
        <v>0.15</v>
      </c>
      <c r="L1571" s="21">
        <v>65.959999999999994</v>
      </c>
    </row>
    <row r="1572" spans="1:12">
      <c r="A1572" s="19" t="s">
        <v>1642</v>
      </c>
      <c r="B1572" s="20">
        <v>46063</v>
      </c>
      <c r="C1572" s="19" t="s">
        <v>31</v>
      </c>
      <c r="D1572" s="19" t="s">
        <v>21</v>
      </c>
      <c r="E1572" s="19" t="s">
        <v>22</v>
      </c>
      <c r="F1572" s="19" t="s">
        <v>60</v>
      </c>
      <c r="G1572" s="19" t="s">
        <v>67</v>
      </c>
      <c r="H1572" s="19" t="s">
        <v>79</v>
      </c>
      <c r="I1572" s="19">
        <v>2</v>
      </c>
      <c r="J1572" s="21">
        <v>1425</v>
      </c>
      <c r="K1572" s="22">
        <v>0.03</v>
      </c>
      <c r="L1572" s="21">
        <v>2764.5</v>
      </c>
    </row>
    <row r="1573" spans="1:12">
      <c r="A1573" s="19" t="s">
        <v>1643</v>
      </c>
      <c r="B1573" s="20">
        <v>46091</v>
      </c>
      <c r="C1573" s="19" t="s">
        <v>86</v>
      </c>
      <c r="D1573" s="19" t="s">
        <v>14</v>
      </c>
      <c r="E1573" s="19" t="s">
        <v>22</v>
      </c>
      <c r="F1573" s="19" t="s">
        <v>16</v>
      </c>
      <c r="G1573" s="19" t="s">
        <v>57</v>
      </c>
      <c r="H1573" s="19" t="s">
        <v>93</v>
      </c>
      <c r="I1573" s="19">
        <v>4</v>
      </c>
      <c r="J1573" s="21">
        <v>38.76</v>
      </c>
      <c r="K1573" s="22">
        <v>0.1</v>
      </c>
      <c r="L1573" s="21">
        <v>139.536</v>
      </c>
    </row>
    <row r="1574" spans="1:12">
      <c r="A1574" s="19" t="s">
        <v>1644</v>
      </c>
      <c r="B1574" s="20">
        <v>46350</v>
      </c>
      <c r="C1574" s="19" t="s">
        <v>13</v>
      </c>
      <c r="D1574" s="19" t="s">
        <v>41</v>
      </c>
      <c r="E1574" s="19" t="s">
        <v>15</v>
      </c>
      <c r="F1574" s="19" t="s">
        <v>23</v>
      </c>
      <c r="G1574" s="19" t="s">
        <v>138</v>
      </c>
      <c r="H1574" s="19" t="s">
        <v>18</v>
      </c>
      <c r="I1574" s="19">
        <v>4</v>
      </c>
      <c r="J1574" s="21">
        <v>60</v>
      </c>
      <c r="K1574" s="22">
        <v>0.1</v>
      </c>
      <c r="L1574" s="21">
        <v>216</v>
      </c>
    </row>
    <row r="1575" spans="1:12">
      <c r="A1575" s="19" t="s">
        <v>1645</v>
      </c>
      <c r="B1575" s="20">
        <v>46303</v>
      </c>
      <c r="C1575" s="19" t="s">
        <v>47</v>
      </c>
      <c r="D1575" s="19" t="s">
        <v>14</v>
      </c>
      <c r="E1575" s="19" t="s">
        <v>15</v>
      </c>
      <c r="F1575" s="19" t="s">
        <v>48</v>
      </c>
      <c r="G1575" s="19" t="s">
        <v>54</v>
      </c>
      <c r="H1575" s="19" t="s">
        <v>50</v>
      </c>
      <c r="I1575" s="19">
        <v>1</v>
      </c>
      <c r="J1575" s="21">
        <v>1836</v>
      </c>
      <c r="K1575" s="22">
        <v>0.03</v>
      </c>
      <c r="L1575" s="21">
        <v>1780.9199999999998</v>
      </c>
    </row>
    <row r="1576" spans="1:12">
      <c r="A1576" s="19" t="s">
        <v>1646</v>
      </c>
      <c r="B1576" s="20">
        <v>46082</v>
      </c>
      <c r="C1576" s="19" t="s">
        <v>86</v>
      </c>
      <c r="D1576" s="19" t="s">
        <v>14</v>
      </c>
      <c r="E1576" s="19" t="s">
        <v>22</v>
      </c>
      <c r="F1576" s="19" t="s">
        <v>16</v>
      </c>
      <c r="G1576" s="19" t="s">
        <v>112</v>
      </c>
      <c r="H1576" s="19" t="s">
        <v>102</v>
      </c>
      <c r="I1576" s="19">
        <v>6</v>
      </c>
      <c r="J1576" s="21">
        <v>68.900000000000006</v>
      </c>
      <c r="K1576" s="22">
        <v>0.05</v>
      </c>
      <c r="L1576" s="21">
        <v>392.73</v>
      </c>
    </row>
    <row r="1577" spans="1:12">
      <c r="A1577" s="19" t="s">
        <v>1647</v>
      </c>
      <c r="B1577" s="20">
        <v>46250</v>
      </c>
      <c r="C1577" s="19" t="s">
        <v>31</v>
      </c>
      <c r="D1577" s="19" t="s">
        <v>21</v>
      </c>
      <c r="E1577" s="19" t="s">
        <v>15</v>
      </c>
      <c r="F1577" s="19" t="s">
        <v>60</v>
      </c>
      <c r="G1577" s="19" t="s">
        <v>91</v>
      </c>
      <c r="H1577" s="19" t="s">
        <v>33</v>
      </c>
      <c r="I1577" s="19">
        <v>2</v>
      </c>
      <c r="J1577" s="21">
        <v>614.79999999999995</v>
      </c>
      <c r="K1577" s="22">
        <v>0.15</v>
      </c>
      <c r="L1577" s="21">
        <v>1045.1599999999999</v>
      </c>
    </row>
    <row r="1578" spans="1:12">
      <c r="A1578" s="19" t="s">
        <v>1648</v>
      </c>
      <c r="B1578" s="20">
        <v>46192</v>
      </c>
      <c r="C1578" s="19" t="s">
        <v>31</v>
      </c>
      <c r="D1578" s="19" t="s">
        <v>14</v>
      </c>
      <c r="E1578" s="19" t="s">
        <v>15</v>
      </c>
      <c r="F1578" s="19" t="s">
        <v>16</v>
      </c>
      <c r="G1578" s="19" t="s">
        <v>17</v>
      </c>
      <c r="H1578" s="19" t="s">
        <v>79</v>
      </c>
      <c r="I1578" s="19">
        <v>2</v>
      </c>
      <c r="J1578" s="21">
        <v>14.55</v>
      </c>
      <c r="K1578" s="22">
        <v>0.05</v>
      </c>
      <c r="L1578" s="21">
        <v>27.645</v>
      </c>
    </row>
    <row r="1579" spans="1:12">
      <c r="A1579" s="19" t="s">
        <v>1649</v>
      </c>
      <c r="B1579" s="20">
        <v>46348</v>
      </c>
      <c r="C1579" s="19" t="s">
        <v>13</v>
      </c>
      <c r="D1579" s="19" t="s">
        <v>14</v>
      </c>
      <c r="E1579" s="19" t="s">
        <v>22</v>
      </c>
      <c r="F1579" s="19" t="s">
        <v>73</v>
      </c>
      <c r="G1579" s="19" t="s">
        <v>127</v>
      </c>
      <c r="H1579" s="19" t="s">
        <v>29</v>
      </c>
      <c r="I1579" s="19">
        <v>1</v>
      </c>
      <c r="J1579" s="21">
        <v>25</v>
      </c>
      <c r="K1579" s="22">
        <v>0</v>
      </c>
      <c r="L1579" s="21">
        <v>25</v>
      </c>
    </row>
    <row r="1580" spans="1:12">
      <c r="A1580" s="19" t="s">
        <v>1650</v>
      </c>
      <c r="B1580" s="20">
        <v>46369</v>
      </c>
      <c r="C1580" s="19" t="s">
        <v>47</v>
      </c>
      <c r="D1580" s="19" t="s">
        <v>21</v>
      </c>
      <c r="E1580" s="19" t="s">
        <v>22</v>
      </c>
      <c r="F1580" s="19" t="s">
        <v>60</v>
      </c>
      <c r="G1580" s="19" t="s">
        <v>76</v>
      </c>
      <c r="H1580" s="19" t="s">
        <v>55</v>
      </c>
      <c r="I1580" s="19">
        <v>2</v>
      </c>
      <c r="J1580" s="21">
        <v>700</v>
      </c>
      <c r="K1580" s="22">
        <v>0.08</v>
      </c>
      <c r="L1580" s="21">
        <v>1288</v>
      </c>
    </row>
    <row r="1581" spans="1:12">
      <c r="A1581" s="19" t="s">
        <v>1651</v>
      </c>
      <c r="B1581" s="20">
        <v>46277</v>
      </c>
      <c r="C1581" s="19" t="s">
        <v>86</v>
      </c>
      <c r="D1581" s="19" t="s">
        <v>21</v>
      </c>
      <c r="E1581" s="19" t="s">
        <v>15</v>
      </c>
      <c r="F1581" s="19" t="s">
        <v>48</v>
      </c>
      <c r="G1581" s="19" t="s">
        <v>49</v>
      </c>
      <c r="H1581" s="19" t="s">
        <v>102</v>
      </c>
      <c r="I1581" s="19">
        <v>1</v>
      </c>
      <c r="J1581" s="21">
        <v>4074</v>
      </c>
      <c r="K1581" s="22">
        <v>0.1</v>
      </c>
      <c r="L1581" s="21">
        <v>3666.6</v>
      </c>
    </row>
    <row r="1582" spans="1:12">
      <c r="A1582" s="19" t="s">
        <v>1652</v>
      </c>
      <c r="B1582" s="20">
        <v>46177</v>
      </c>
      <c r="C1582" s="19" t="s">
        <v>31</v>
      </c>
      <c r="D1582" s="19" t="s">
        <v>14</v>
      </c>
      <c r="E1582" s="19" t="s">
        <v>15</v>
      </c>
      <c r="F1582" s="19" t="s">
        <v>23</v>
      </c>
      <c r="G1582" s="19" t="s">
        <v>52</v>
      </c>
      <c r="H1582" s="19" t="s">
        <v>39</v>
      </c>
      <c r="I1582" s="19">
        <v>1</v>
      </c>
      <c r="J1582" s="21">
        <v>427.5</v>
      </c>
      <c r="K1582" s="22">
        <v>0.15</v>
      </c>
      <c r="L1582" s="21">
        <v>363.375</v>
      </c>
    </row>
    <row r="1583" spans="1:12">
      <c r="A1583" s="19" t="s">
        <v>1653</v>
      </c>
      <c r="B1583" s="20">
        <v>46313</v>
      </c>
      <c r="C1583" s="19" t="s">
        <v>31</v>
      </c>
      <c r="D1583" s="19" t="s">
        <v>21</v>
      </c>
      <c r="E1583" s="19" t="s">
        <v>15</v>
      </c>
      <c r="F1583" s="19" t="s">
        <v>27</v>
      </c>
      <c r="G1583" s="19" t="s">
        <v>155</v>
      </c>
      <c r="H1583" s="19" t="s">
        <v>79</v>
      </c>
      <c r="I1583" s="19">
        <v>2</v>
      </c>
      <c r="J1583" s="21">
        <v>180</v>
      </c>
      <c r="K1583" s="22">
        <v>0</v>
      </c>
      <c r="L1583" s="21">
        <v>360</v>
      </c>
    </row>
    <row r="1584" spans="1:12">
      <c r="A1584" s="19" t="s">
        <v>1654</v>
      </c>
      <c r="B1584" s="20">
        <v>46229</v>
      </c>
      <c r="C1584" s="19" t="s">
        <v>13</v>
      </c>
      <c r="D1584" s="19" t="s">
        <v>14</v>
      </c>
      <c r="E1584" s="19" t="s">
        <v>15</v>
      </c>
      <c r="F1584" s="19" t="s">
        <v>60</v>
      </c>
      <c r="G1584" s="19" t="s">
        <v>91</v>
      </c>
      <c r="H1584" s="19" t="s">
        <v>18</v>
      </c>
      <c r="I1584" s="19">
        <v>2</v>
      </c>
      <c r="J1584" s="21">
        <v>591.6</v>
      </c>
      <c r="K1584" s="22">
        <v>0.05</v>
      </c>
      <c r="L1584" s="21">
        <v>1124.04</v>
      </c>
    </row>
    <row r="1585" spans="1:12">
      <c r="A1585" s="19" t="s">
        <v>1655</v>
      </c>
      <c r="B1585" s="20">
        <v>46217</v>
      </c>
      <c r="C1585" s="19" t="s">
        <v>20</v>
      </c>
      <c r="D1585" s="19" t="s">
        <v>14</v>
      </c>
      <c r="E1585" s="19" t="s">
        <v>22</v>
      </c>
      <c r="F1585" s="19" t="s">
        <v>16</v>
      </c>
      <c r="G1585" s="19" t="s">
        <v>42</v>
      </c>
      <c r="H1585" s="19" t="s">
        <v>58</v>
      </c>
      <c r="I1585" s="19">
        <v>5</v>
      </c>
      <c r="J1585" s="21">
        <v>42.75</v>
      </c>
      <c r="K1585" s="22">
        <v>0.03</v>
      </c>
      <c r="L1585" s="21">
        <v>207.33750000000001</v>
      </c>
    </row>
    <row r="1586" spans="1:12">
      <c r="A1586" s="19" t="s">
        <v>1656</v>
      </c>
      <c r="B1586" s="20">
        <v>46372</v>
      </c>
      <c r="C1586" s="19" t="s">
        <v>86</v>
      </c>
      <c r="D1586" s="19" t="s">
        <v>41</v>
      </c>
      <c r="E1586" s="19" t="s">
        <v>15</v>
      </c>
      <c r="F1586" s="19" t="s">
        <v>23</v>
      </c>
      <c r="G1586" s="19" t="s">
        <v>52</v>
      </c>
      <c r="H1586" s="19" t="s">
        <v>87</v>
      </c>
      <c r="I1586" s="19">
        <v>3</v>
      </c>
      <c r="J1586" s="21">
        <v>427.5</v>
      </c>
      <c r="K1586" s="22">
        <v>0.05</v>
      </c>
      <c r="L1586" s="21">
        <v>1218.375</v>
      </c>
    </row>
    <row r="1587" spans="1:12">
      <c r="A1587" s="19" t="s">
        <v>1657</v>
      </c>
      <c r="B1587" s="20">
        <v>46348</v>
      </c>
      <c r="C1587" s="19" t="s">
        <v>86</v>
      </c>
      <c r="D1587" s="19" t="s">
        <v>21</v>
      </c>
      <c r="E1587" s="19" t="s">
        <v>22</v>
      </c>
      <c r="F1587" s="19" t="s">
        <v>48</v>
      </c>
      <c r="G1587" s="19" t="s">
        <v>71</v>
      </c>
      <c r="H1587" s="19" t="s">
        <v>93</v>
      </c>
      <c r="I1587" s="19">
        <v>1</v>
      </c>
      <c r="J1587" s="21">
        <v>3200</v>
      </c>
      <c r="K1587" s="22">
        <v>0</v>
      </c>
      <c r="L1587" s="21">
        <v>3200</v>
      </c>
    </row>
    <row r="1588" spans="1:12">
      <c r="A1588" s="19" t="s">
        <v>1658</v>
      </c>
      <c r="B1588" s="20">
        <v>46382</v>
      </c>
      <c r="C1588" s="19" t="s">
        <v>47</v>
      </c>
      <c r="D1588" s="19" t="s">
        <v>14</v>
      </c>
      <c r="E1588" s="19" t="s">
        <v>22</v>
      </c>
      <c r="F1588" s="19" t="s">
        <v>73</v>
      </c>
      <c r="G1588" s="19" t="s">
        <v>145</v>
      </c>
      <c r="H1588" s="19" t="s">
        <v>83</v>
      </c>
      <c r="I1588" s="19">
        <v>5</v>
      </c>
      <c r="J1588" s="21">
        <v>18</v>
      </c>
      <c r="K1588" s="22">
        <v>0.15</v>
      </c>
      <c r="L1588" s="21">
        <v>76.5</v>
      </c>
    </row>
    <row r="1589" spans="1:12">
      <c r="A1589" s="19" t="s">
        <v>1659</v>
      </c>
      <c r="B1589" s="20">
        <v>46329</v>
      </c>
      <c r="C1589" s="19" t="s">
        <v>86</v>
      </c>
      <c r="D1589" s="19" t="s">
        <v>14</v>
      </c>
      <c r="E1589" s="19" t="s">
        <v>15</v>
      </c>
      <c r="F1589" s="19" t="s">
        <v>16</v>
      </c>
      <c r="G1589" s="19" t="s">
        <v>69</v>
      </c>
      <c r="H1589" s="19" t="s">
        <v>102</v>
      </c>
      <c r="I1589" s="19">
        <v>1</v>
      </c>
      <c r="J1589" s="21">
        <v>52.25</v>
      </c>
      <c r="K1589" s="22">
        <v>0.2</v>
      </c>
      <c r="L1589" s="21">
        <v>41.800000000000004</v>
      </c>
    </row>
    <row r="1590" spans="1:12">
      <c r="A1590" s="19" t="s">
        <v>1660</v>
      </c>
      <c r="B1590" s="20">
        <v>46177</v>
      </c>
      <c r="C1590" s="19" t="s">
        <v>86</v>
      </c>
      <c r="D1590" s="19" t="s">
        <v>14</v>
      </c>
      <c r="E1590" s="19" t="s">
        <v>22</v>
      </c>
      <c r="F1590" s="19" t="s">
        <v>23</v>
      </c>
      <c r="G1590" s="19" t="s">
        <v>52</v>
      </c>
      <c r="H1590" s="19" t="s">
        <v>102</v>
      </c>
      <c r="I1590" s="19">
        <v>2</v>
      </c>
      <c r="J1590" s="21">
        <v>427.5</v>
      </c>
      <c r="K1590" s="22">
        <v>0.08</v>
      </c>
      <c r="L1590" s="21">
        <v>786.6</v>
      </c>
    </row>
    <row r="1591" spans="1:12">
      <c r="A1591" s="19" t="s">
        <v>1661</v>
      </c>
      <c r="B1591" s="20">
        <v>46062</v>
      </c>
      <c r="C1591" s="19" t="s">
        <v>31</v>
      </c>
      <c r="D1591" s="19" t="s">
        <v>35</v>
      </c>
      <c r="E1591" s="19" t="s">
        <v>15</v>
      </c>
      <c r="F1591" s="19" t="s">
        <v>48</v>
      </c>
      <c r="G1591" s="19" t="s">
        <v>99</v>
      </c>
      <c r="H1591" s="19" t="s">
        <v>39</v>
      </c>
      <c r="I1591" s="19">
        <v>2</v>
      </c>
      <c r="J1591" s="21">
        <v>2910</v>
      </c>
      <c r="K1591" s="22">
        <v>0.08</v>
      </c>
      <c r="L1591" s="21">
        <v>5354.4000000000005</v>
      </c>
    </row>
    <row r="1592" spans="1:12">
      <c r="A1592" s="19" t="s">
        <v>1662</v>
      </c>
      <c r="B1592" s="20">
        <v>46347</v>
      </c>
      <c r="C1592" s="19" t="s">
        <v>13</v>
      </c>
      <c r="D1592" s="19" t="s">
        <v>21</v>
      </c>
      <c r="E1592" s="19" t="s">
        <v>15</v>
      </c>
      <c r="F1592" s="19" t="s">
        <v>23</v>
      </c>
      <c r="G1592" s="19" t="s">
        <v>52</v>
      </c>
      <c r="H1592" s="19" t="s">
        <v>43</v>
      </c>
      <c r="I1592" s="19">
        <v>4</v>
      </c>
      <c r="J1592" s="21">
        <v>459</v>
      </c>
      <c r="K1592" s="22">
        <v>0</v>
      </c>
      <c r="L1592" s="21">
        <v>1836</v>
      </c>
    </row>
    <row r="1593" spans="1:12">
      <c r="A1593" s="19" t="s">
        <v>1663</v>
      </c>
      <c r="B1593" s="20">
        <v>46236</v>
      </c>
      <c r="C1593" s="19" t="s">
        <v>47</v>
      </c>
      <c r="D1593" s="19" t="s">
        <v>14</v>
      </c>
      <c r="E1593" s="19" t="s">
        <v>22</v>
      </c>
      <c r="F1593" s="19" t="s">
        <v>73</v>
      </c>
      <c r="G1593" s="19" t="s">
        <v>145</v>
      </c>
      <c r="H1593" s="19" t="s">
        <v>50</v>
      </c>
      <c r="I1593" s="19">
        <v>3</v>
      </c>
      <c r="J1593" s="21">
        <v>19.079999999999998</v>
      </c>
      <c r="K1593" s="22">
        <v>0.08</v>
      </c>
      <c r="L1593" s="21">
        <v>52.660799999999995</v>
      </c>
    </row>
    <row r="1594" spans="1:12">
      <c r="A1594" s="19" t="s">
        <v>1664</v>
      </c>
      <c r="B1594" s="20">
        <v>46188</v>
      </c>
      <c r="C1594" s="19" t="s">
        <v>13</v>
      </c>
      <c r="D1594" s="19" t="s">
        <v>41</v>
      </c>
      <c r="E1594" s="19" t="s">
        <v>22</v>
      </c>
      <c r="F1594" s="19" t="s">
        <v>60</v>
      </c>
      <c r="G1594" s="19" t="s">
        <v>67</v>
      </c>
      <c r="H1594" s="19" t="s">
        <v>18</v>
      </c>
      <c r="I1594" s="19">
        <v>1</v>
      </c>
      <c r="J1594" s="21">
        <v>1455</v>
      </c>
      <c r="K1594" s="22">
        <v>0.08</v>
      </c>
      <c r="L1594" s="21">
        <v>1338.6000000000001</v>
      </c>
    </row>
    <row r="1595" spans="1:12">
      <c r="A1595" s="19" t="s">
        <v>1665</v>
      </c>
      <c r="B1595" s="20">
        <v>46097</v>
      </c>
      <c r="C1595" s="19" t="s">
        <v>86</v>
      </c>
      <c r="D1595" s="19" t="s">
        <v>14</v>
      </c>
      <c r="E1595" s="19" t="s">
        <v>22</v>
      </c>
      <c r="F1595" s="19" t="s">
        <v>16</v>
      </c>
      <c r="G1595" s="19" t="s">
        <v>112</v>
      </c>
      <c r="H1595" s="19" t="s">
        <v>93</v>
      </c>
      <c r="I1595" s="19">
        <v>4</v>
      </c>
      <c r="J1595" s="21">
        <v>65</v>
      </c>
      <c r="K1595" s="22">
        <v>0.05</v>
      </c>
      <c r="L1595" s="21">
        <v>247</v>
      </c>
    </row>
    <row r="1596" spans="1:12">
      <c r="A1596" s="19" t="s">
        <v>1666</v>
      </c>
      <c r="B1596" s="20">
        <v>46326</v>
      </c>
      <c r="C1596" s="19" t="s">
        <v>20</v>
      </c>
      <c r="D1596" s="19" t="s">
        <v>21</v>
      </c>
      <c r="E1596" s="19" t="s">
        <v>15</v>
      </c>
      <c r="F1596" s="19" t="s">
        <v>60</v>
      </c>
      <c r="G1596" s="19" t="s">
        <v>91</v>
      </c>
      <c r="H1596" s="19" t="s">
        <v>63</v>
      </c>
      <c r="I1596" s="19">
        <v>3</v>
      </c>
      <c r="J1596" s="21">
        <v>614.79999999999995</v>
      </c>
      <c r="K1596" s="22">
        <v>0</v>
      </c>
      <c r="L1596" s="21">
        <v>1844.3999999999999</v>
      </c>
    </row>
    <row r="1597" spans="1:12">
      <c r="A1597" s="19" t="s">
        <v>1667</v>
      </c>
      <c r="B1597" s="20">
        <v>46095</v>
      </c>
      <c r="C1597" s="19" t="s">
        <v>47</v>
      </c>
      <c r="D1597" s="19" t="s">
        <v>41</v>
      </c>
      <c r="E1597" s="19" t="s">
        <v>15</v>
      </c>
      <c r="F1597" s="19" t="s">
        <v>16</v>
      </c>
      <c r="G1597" s="19" t="s">
        <v>42</v>
      </c>
      <c r="H1597" s="19" t="s">
        <v>50</v>
      </c>
      <c r="I1597" s="19">
        <v>5</v>
      </c>
      <c r="J1597" s="21">
        <v>47.7</v>
      </c>
      <c r="K1597" s="22">
        <v>0.08</v>
      </c>
      <c r="L1597" s="21">
        <v>219.42000000000002</v>
      </c>
    </row>
    <row r="1598" spans="1:12">
      <c r="A1598" s="19" t="s">
        <v>1668</v>
      </c>
      <c r="B1598" s="20">
        <v>46067</v>
      </c>
      <c r="C1598" s="19" t="s">
        <v>31</v>
      </c>
      <c r="D1598" s="19" t="s">
        <v>14</v>
      </c>
      <c r="E1598" s="19" t="s">
        <v>22</v>
      </c>
      <c r="F1598" s="19" t="s">
        <v>16</v>
      </c>
      <c r="G1598" s="19" t="s">
        <v>17</v>
      </c>
      <c r="H1598" s="19" t="s">
        <v>39</v>
      </c>
      <c r="I1598" s="19">
        <v>1</v>
      </c>
      <c r="J1598" s="21">
        <v>15</v>
      </c>
      <c r="K1598" s="22">
        <v>0.15</v>
      </c>
      <c r="L1598" s="21">
        <v>12.75</v>
      </c>
    </row>
    <row r="1599" spans="1:12">
      <c r="A1599" s="19" t="s">
        <v>1669</v>
      </c>
      <c r="B1599" s="20">
        <v>46382</v>
      </c>
      <c r="C1599" s="19" t="s">
        <v>31</v>
      </c>
      <c r="D1599" s="19" t="s">
        <v>14</v>
      </c>
      <c r="E1599" s="19" t="s">
        <v>22</v>
      </c>
      <c r="F1599" s="19" t="s">
        <v>23</v>
      </c>
      <c r="G1599" s="19" t="s">
        <v>24</v>
      </c>
      <c r="H1599" s="19" t="s">
        <v>33</v>
      </c>
      <c r="I1599" s="19">
        <v>6</v>
      </c>
      <c r="J1599" s="21">
        <v>90</v>
      </c>
      <c r="K1599" s="22">
        <v>0.03</v>
      </c>
      <c r="L1599" s="21">
        <v>523.79999999999995</v>
      </c>
    </row>
    <row r="1600" spans="1:12">
      <c r="A1600" s="19" t="s">
        <v>1670</v>
      </c>
      <c r="B1600" s="20">
        <v>46380</v>
      </c>
      <c r="C1600" s="19" t="s">
        <v>47</v>
      </c>
      <c r="D1600" s="19" t="s">
        <v>21</v>
      </c>
      <c r="E1600" s="19" t="s">
        <v>22</v>
      </c>
      <c r="F1600" s="19" t="s">
        <v>48</v>
      </c>
      <c r="G1600" s="19" t="s">
        <v>99</v>
      </c>
      <c r="H1600" s="19" t="s">
        <v>55</v>
      </c>
      <c r="I1600" s="19">
        <v>2</v>
      </c>
      <c r="J1600" s="21">
        <v>2850</v>
      </c>
      <c r="K1600" s="22">
        <v>0.15</v>
      </c>
      <c r="L1600" s="21">
        <v>4845</v>
      </c>
    </row>
    <row r="1601" spans="1:12">
      <c r="A1601" s="19" t="s">
        <v>1671</v>
      </c>
      <c r="B1601" s="20">
        <v>46385</v>
      </c>
      <c r="C1601" s="19" t="s">
        <v>86</v>
      </c>
      <c r="D1601" s="19" t="s">
        <v>21</v>
      </c>
      <c r="E1601" s="19" t="s">
        <v>15</v>
      </c>
      <c r="F1601" s="19" t="s">
        <v>16</v>
      </c>
      <c r="G1601" s="19" t="s">
        <v>57</v>
      </c>
      <c r="H1601" s="19" t="s">
        <v>87</v>
      </c>
      <c r="I1601" s="19">
        <v>3</v>
      </c>
      <c r="J1601" s="21">
        <v>38</v>
      </c>
      <c r="K1601" s="22">
        <v>0.08</v>
      </c>
      <c r="L1601" s="21">
        <v>104.88000000000001</v>
      </c>
    </row>
    <row r="1602" spans="1:12">
      <c r="A1602" s="19" t="s">
        <v>1672</v>
      </c>
      <c r="B1602" s="20">
        <v>46172</v>
      </c>
      <c r="C1602" s="19" t="s">
        <v>31</v>
      </c>
      <c r="D1602" s="19" t="s">
        <v>14</v>
      </c>
      <c r="E1602" s="19" t="s">
        <v>22</v>
      </c>
      <c r="F1602" s="19" t="s">
        <v>16</v>
      </c>
      <c r="G1602" s="19" t="s">
        <v>42</v>
      </c>
      <c r="H1602" s="19" t="s">
        <v>79</v>
      </c>
      <c r="I1602" s="19">
        <v>2</v>
      </c>
      <c r="J1602" s="21">
        <v>46.8</v>
      </c>
      <c r="K1602" s="22">
        <v>0.05</v>
      </c>
      <c r="L1602" s="21">
        <v>88.919999999999987</v>
      </c>
    </row>
    <row r="1603" spans="1:12">
      <c r="A1603" s="19" t="s">
        <v>1673</v>
      </c>
      <c r="B1603" s="20">
        <v>46332</v>
      </c>
      <c r="C1603" s="19" t="s">
        <v>47</v>
      </c>
      <c r="D1603" s="19" t="s">
        <v>21</v>
      </c>
      <c r="E1603" s="19" t="s">
        <v>15</v>
      </c>
      <c r="F1603" s="19" t="s">
        <v>60</v>
      </c>
      <c r="G1603" s="19" t="s">
        <v>91</v>
      </c>
      <c r="H1603" s="19" t="s">
        <v>83</v>
      </c>
      <c r="I1603" s="19">
        <v>4</v>
      </c>
      <c r="J1603" s="21">
        <v>562.6</v>
      </c>
      <c r="K1603" s="22">
        <v>0.08</v>
      </c>
      <c r="L1603" s="21">
        <v>2070.3680000000004</v>
      </c>
    </row>
    <row r="1604" spans="1:12">
      <c r="A1604" s="19" t="s">
        <v>1674</v>
      </c>
      <c r="B1604" s="20">
        <v>46284</v>
      </c>
      <c r="C1604" s="19" t="s">
        <v>86</v>
      </c>
      <c r="D1604" s="19" t="s">
        <v>14</v>
      </c>
      <c r="E1604" s="19" t="s">
        <v>22</v>
      </c>
      <c r="F1604" s="19" t="s">
        <v>60</v>
      </c>
      <c r="G1604" s="19" t="s">
        <v>61</v>
      </c>
      <c r="H1604" s="19" t="s">
        <v>87</v>
      </c>
      <c r="I1604" s="19">
        <v>2</v>
      </c>
      <c r="J1604" s="21">
        <v>901</v>
      </c>
      <c r="K1604" s="22">
        <v>0.05</v>
      </c>
      <c r="L1604" s="21">
        <v>1711.8999999999999</v>
      </c>
    </row>
    <row r="1605" spans="1:12">
      <c r="A1605" s="19" t="s">
        <v>1675</v>
      </c>
      <c r="B1605" s="20">
        <v>46372</v>
      </c>
      <c r="C1605" s="19" t="s">
        <v>13</v>
      </c>
      <c r="D1605" s="19" t="s">
        <v>14</v>
      </c>
      <c r="E1605" s="19" t="s">
        <v>15</v>
      </c>
      <c r="F1605" s="19" t="s">
        <v>48</v>
      </c>
      <c r="G1605" s="19" t="s">
        <v>71</v>
      </c>
      <c r="H1605" s="19" t="s">
        <v>43</v>
      </c>
      <c r="I1605" s="19">
        <v>3</v>
      </c>
      <c r="J1605" s="21">
        <v>3200</v>
      </c>
      <c r="K1605" s="22">
        <v>0.03</v>
      </c>
      <c r="L1605" s="21">
        <v>9312</v>
      </c>
    </row>
    <row r="1606" spans="1:12">
      <c r="A1606" s="19" t="s">
        <v>1676</v>
      </c>
      <c r="B1606" s="20">
        <v>46185</v>
      </c>
      <c r="C1606" s="19" t="s">
        <v>20</v>
      </c>
      <c r="D1606" s="19" t="s">
        <v>21</v>
      </c>
      <c r="E1606" s="19" t="s">
        <v>22</v>
      </c>
      <c r="F1606" s="19" t="s">
        <v>48</v>
      </c>
      <c r="G1606" s="19" t="s">
        <v>49</v>
      </c>
      <c r="H1606" s="19" t="s">
        <v>58</v>
      </c>
      <c r="I1606" s="19">
        <v>1</v>
      </c>
      <c r="J1606" s="21">
        <v>4200</v>
      </c>
      <c r="K1606" s="22">
        <v>0.15</v>
      </c>
      <c r="L1606" s="21">
        <v>3570</v>
      </c>
    </row>
    <row r="1607" spans="1:12">
      <c r="A1607" s="19" t="s">
        <v>1677</v>
      </c>
      <c r="B1607" s="20">
        <v>46245</v>
      </c>
      <c r="C1607" s="19" t="s">
        <v>13</v>
      </c>
      <c r="D1607" s="19" t="s">
        <v>14</v>
      </c>
      <c r="E1607" s="19" t="s">
        <v>22</v>
      </c>
      <c r="F1607" s="19" t="s">
        <v>60</v>
      </c>
      <c r="G1607" s="19" t="s">
        <v>76</v>
      </c>
      <c r="H1607" s="19" t="s">
        <v>43</v>
      </c>
      <c r="I1607" s="19">
        <v>1</v>
      </c>
      <c r="J1607" s="21">
        <v>700</v>
      </c>
      <c r="K1607" s="22">
        <v>0</v>
      </c>
      <c r="L1607" s="21">
        <v>700</v>
      </c>
    </row>
    <row r="1608" spans="1:12">
      <c r="A1608" s="19" t="s">
        <v>1678</v>
      </c>
      <c r="B1608" s="20">
        <v>46379</v>
      </c>
      <c r="C1608" s="19" t="s">
        <v>13</v>
      </c>
      <c r="D1608" s="19" t="s">
        <v>41</v>
      </c>
      <c r="E1608" s="19" t="s">
        <v>22</v>
      </c>
      <c r="F1608" s="19" t="s">
        <v>60</v>
      </c>
      <c r="G1608" s="19" t="s">
        <v>67</v>
      </c>
      <c r="H1608" s="19" t="s">
        <v>29</v>
      </c>
      <c r="I1608" s="19">
        <v>1</v>
      </c>
      <c r="J1608" s="21">
        <v>1560</v>
      </c>
      <c r="K1608" s="22">
        <v>0.08</v>
      </c>
      <c r="L1608" s="21">
        <v>1435.2</v>
      </c>
    </row>
    <row r="1609" spans="1:12">
      <c r="A1609" s="19" t="s">
        <v>1679</v>
      </c>
      <c r="B1609" s="20">
        <v>46096</v>
      </c>
      <c r="C1609" s="19" t="s">
        <v>31</v>
      </c>
      <c r="D1609" s="19" t="s">
        <v>21</v>
      </c>
      <c r="E1609" s="19" t="s">
        <v>15</v>
      </c>
      <c r="F1609" s="19" t="s">
        <v>16</v>
      </c>
      <c r="G1609" s="19" t="s">
        <v>57</v>
      </c>
      <c r="H1609" s="19" t="s">
        <v>39</v>
      </c>
      <c r="I1609" s="19">
        <v>5</v>
      </c>
      <c r="J1609" s="21">
        <v>38</v>
      </c>
      <c r="K1609" s="22">
        <v>0.03</v>
      </c>
      <c r="L1609" s="21">
        <v>184.29999999999998</v>
      </c>
    </row>
    <row r="1610" spans="1:12">
      <c r="A1610" s="19" t="s">
        <v>1680</v>
      </c>
      <c r="B1610" s="20">
        <v>46204</v>
      </c>
      <c r="C1610" s="19" t="s">
        <v>20</v>
      </c>
      <c r="D1610" s="19" t="s">
        <v>21</v>
      </c>
      <c r="E1610" s="19" t="s">
        <v>22</v>
      </c>
      <c r="F1610" s="19" t="s">
        <v>48</v>
      </c>
      <c r="G1610" s="19" t="s">
        <v>99</v>
      </c>
      <c r="H1610" s="19" t="s">
        <v>58</v>
      </c>
      <c r="I1610" s="19">
        <v>1</v>
      </c>
      <c r="J1610" s="21">
        <v>3120</v>
      </c>
      <c r="K1610" s="22">
        <v>0.05</v>
      </c>
      <c r="L1610" s="21">
        <v>2964</v>
      </c>
    </row>
    <row r="1611" spans="1:12">
      <c r="A1611" s="19" t="s">
        <v>1681</v>
      </c>
      <c r="B1611" s="20">
        <v>46036</v>
      </c>
      <c r="C1611" s="19" t="s">
        <v>31</v>
      </c>
      <c r="D1611" s="19" t="s">
        <v>14</v>
      </c>
      <c r="E1611" s="19" t="s">
        <v>22</v>
      </c>
      <c r="F1611" s="19" t="s">
        <v>27</v>
      </c>
      <c r="G1611" s="19" t="s">
        <v>155</v>
      </c>
      <c r="H1611" s="19" t="s">
        <v>79</v>
      </c>
      <c r="I1611" s="19">
        <v>2</v>
      </c>
      <c r="J1611" s="21">
        <v>174.6</v>
      </c>
      <c r="K1611" s="22">
        <v>0.08</v>
      </c>
      <c r="L1611" s="21">
        <v>321.26400000000001</v>
      </c>
    </row>
    <row r="1612" spans="1:12">
      <c r="A1612" s="19" t="s">
        <v>1682</v>
      </c>
      <c r="B1612" s="20">
        <v>46056</v>
      </c>
      <c r="C1612" s="19" t="s">
        <v>31</v>
      </c>
      <c r="D1612" s="19" t="s">
        <v>41</v>
      </c>
      <c r="E1612" s="19" t="s">
        <v>22</v>
      </c>
      <c r="F1612" s="19" t="s">
        <v>23</v>
      </c>
      <c r="G1612" s="19" t="s">
        <v>38</v>
      </c>
      <c r="H1612" s="19" t="s">
        <v>39</v>
      </c>
      <c r="I1612" s="19">
        <v>3</v>
      </c>
      <c r="J1612" s="21">
        <v>326.39999999999998</v>
      </c>
      <c r="K1612" s="22">
        <v>0.2</v>
      </c>
      <c r="L1612" s="21">
        <v>783.36</v>
      </c>
    </row>
    <row r="1613" spans="1:12">
      <c r="A1613" s="19" t="s">
        <v>1683</v>
      </c>
      <c r="B1613" s="20">
        <v>46353</v>
      </c>
      <c r="C1613" s="19" t="s">
        <v>47</v>
      </c>
      <c r="D1613" s="19" t="s">
        <v>35</v>
      </c>
      <c r="E1613" s="19" t="s">
        <v>15</v>
      </c>
      <c r="F1613" s="19" t="s">
        <v>48</v>
      </c>
      <c r="G1613" s="19" t="s">
        <v>49</v>
      </c>
      <c r="H1613" s="19" t="s">
        <v>50</v>
      </c>
      <c r="I1613" s="19">
        <v>1</v>
      </c>
      <c r="J1613" s="21">
        <v>3990</v>
      </c>
      <c r="K1613" s="22">
        <v>0.2</v>
      </c>
      <c r="L1613" s="21">
        <v>3192</v>
      </c>
    </row>
    <row r="1614" spans="1:12">
      <c r="A1614" s="19" t="s">
        <v>1684</v>
      </c>
      <c r="B1614" s="20">
        <v>46367</v>
      </c>
      <c r="C1614" s="19" t="s">
        <v>20</v>
      </c>
      <c r="D1614" s="19" t="s">
        <v>14</v>
      </c>
      <c r="E1614" s="19" t="s">
        <v>15</v>
      </c>
      <c r="F1614" s="19" t="s">
        <v>73</v>
      </c>
      <c r="G1614" s="19" t="s">
        <v>127</v>
      </c>
      <c r="H1614" s="19" t="s">
        <v>63</v>
      </c>
      <c r="I1614" s="19">
        <v>2</v>
      </c>
      <c r="J1614" s="21">
        <v>25</v>
      </c>
      <c r="K1614" s="22">
        <v>0.2</v>
      </c>
      <c r="L1614" s="21">
        <v>40</v>
      </c>
    </row>
    <row r="1615" spans="1:12">
      <c r="A1615" s="19" t="s">
        <v>1685</v>
      </c>
      <c r="B1615" s="20">
        <v>46212</v>
      </c>
      <c r="C1615" s="19" t="s">
        <v>31</v>
      </c>
      <c r="D1615" s="19" t="s">
        <v>14</v>
      </c>
      <c r="E1615" s="19" t="s">
        <v>15</v>
      </c>
      <c r="F1615" s="19" t="s">
        <v>16</v>
      </c>
      <c r="G1615" s="19" t="s">
        <v>112</v>
      </c>
      <c r="H1615" s="19" t="s">
        <v>33</v>
      </c>
      <c r="I1615" s="19">
        <v>2</v>
      </c>
      <c r="J1615" s="21">
        <v>65</v>
      </c>
      <c r="K1615" s="22">
        <v>0.08</v>
      </c>
      <c r="L1615" s="21">
        <v>119.60000000000001</v>
      </c>
    </row>
    <row r="1616" spans="1:12">
      <c r="A1616" s="19" t="s">
        <v>1686</v>
      </c>
      <c r="B1616" s="20">
        <v>46176</v>
      </c>
      <c r="C1616" s="19" t="s">
        <v>20</v>
      </c>
      <c r="D1616" s="19" t="s">
        <v>35</v>
      </c>
      <c r="E1616" s="19" t="s">
        <v>22</v>
      </c>
      <c r="F1616" s="19" t="s">
        <v>27</v>
      </c>
      <c r="G1616" s="19" t="s">
        <v>32</v>
      </c>
      <c r="H1616" s="19" t="s">
        <v>58</v>
      </c>
      <c r="I1616" s="19">
        <v>9</v>
      </c>
      <c r="J1616" s="21">
        <v>280</v>
      </c>
      <c r="K1616" s="22">
        <v>0.1</v>
      </c>
      <c r="L1616" s="21">
        <v>2268</v>
      </c>
    </row>
    <row r="1617" spans="1:12">
      <c r="A1617" s="19" t="s">
        <v>1687</v>
      </c>
      <c r="B1617" s="20">
        <v>46316</v>
      </c>
      <c r="C1617" s="19" t="s">
        <v>31</v>
      </c>
      <c r="D1617" s="19" t="s">
        <v>21</v>
      </c>
      <c r="E1617" s="19" t="s">
        <v>22</v>
      </c>
      <c r="F1617" s="19" t="s">
        <v>16</v>
      </c>
      <c r="G1617" s="19" t="s">
        <v>69</v>
      </c>
      <c r="H1617" s="19" t="s">
        <v>33</v>
      </c>
      <c r="I1617" s="19">
        <v>5</v>
      </c>
      <c r="J1617" s="21">
        <v>58.3</v>
      </c>
      <c r="K1617" s="22">
        <v>0</v>
      </c>
      <c r="L1617" s="21">
        <v>291.5</v>
      </c>
    </row>
    <row r="1618" spans="1:12">
      <c r="A1618" s="19" t="s">
        <v>1688</v>
      </c>
      <c r="B1618" s="20">
        <v>46062</v>
      </c>
      <c r="C1618" s="19" t="s">
        <v>86</v>
      </c>
      <c r="D1618" s="19" t="s">
        <v>41</v>
      </c>
      <c r="E1618" s="19" t="s">
        <v>15</v>
      </c>
      <c r="F1618" s="19" t="s">
        <v>16</v>
      </c>
      <c r="G1618" s="19" t="s">
        <v>57</v>
      </c>
      <c r="H1618" s="19" t="s">
        <v>102</v>
      </c>
      <c r="I1618" s="19">
        <v>6</v>
      </c>
      <c r="J1618" s="21">
        <v>38</v>
      </c>
      <c r="K1618" s="22">
        <v>0.08</v>
      </c>
      <c r="L1618" s="21">
        <v>209.76000000000002</v>
      </c>
    </row>
    <row r="1619" spans="1:12">
      <c r="A1619" s="19" t="s">
        <v>1689</v>
      </c>
      <c r="B1619" s="20">
        <v>46223</v>
      </c>
      <c r="C1619" s="19" t="s">
        <v>13</v>
      </c>
      <c r="D1619" s="19" t="s">
        <v>21</v>
      </c>
      <c r="E1619" s="19" t="s">
        <v>22</v>
      </c>
      <c r="F1619" s="19" t="s">
        <v>23</v>
      </c>
      <c r="G1619" s="19" t="s">
        <v>24</v>
      </c>
      <c r="H1619" s="19" t="s">
        <v>43</v>
      </c>
      <c r="I1619" s="19">
        <v>2</v>
      </c>
      <c r="J1619" s="21">
        <v>95.4</v>
      </c>
      <c r="K1619" s="22">
        <v>0.05</v>
      </c>
      <c r="L1619" s="21">
        <v>181.26</v>
      </c>
    </row>
    <row r="1620" spans="1:12">
      <c r="A1620" s="19" t="s">
        <v>1690</v>
      </c>
      <c r="B1620" s="20">
        <v>46171</v>
      </c>
      <c r="C1620" s="19" t="s">
        <v>47</v>
      </c>
      <c r="D1620" s="19" t="s">
        <v>14</v>
      </c>
      <c r="E1620" s="19" t="s">
        <v>22</v>
      </c>
      <c r="F1620" s="19" t="s">
        <v>27</v>
      </c>
      <c r="G1620" s="19" t="s">
        <v>32</v>
      </c>
      <c r="H1620" s="19" t="s">
        <v>55</v>
      </c>
      <c r="I1620" s="19">
        <v>1</v>
      </c>
      <c r="J1620" s="21">
        <v>271.60000000000002</v>
      </c>
      <c r="K1620" s="22">
        <v>0</v>
      </c>
      <c r="L1620" s="21">
        <v>271.60000000000002</v>
      </c>
    </row>
    <row r="1621" spans="1:12">
      <c r="A1621" s="19" t="s">
        <v>1691</v>
      </c>
      <c r="B1621" s="20">
        <v>46267</v>
      </c>
      <c r="C1621" s="19" t="s">
        <v>47</v>
      </c>
      <c r="D1621" s="19" t="s">
        <v>35</v>
      </c>
      <c r="E1621" s="19" t="s">
        <v>22</v>
      </c>
      <c r="F1621" s="19" t="s">
        <v>48</v>
      </c>
      <c r="G1621" s="19" t="s">
        <v>49</v>
      </c>
      <c r="H1621" s="19" t="s">
        <v>50</v>
      </c>
      <c r="I1621" s="19">
        <v>1</v>
      </c>
      <c r="J1621" s="21">
        <v>3990</v>
      </c>
      <c r="K1621" s="22">
        <v>0</v>
      </c>
      <c r="L1621" s="21">
        <v>3990</v>
      </c>
    </row>
    <row r="1622" spans="1:12">
      <c r="A1622" s="19" t="s">
        <v>1692</v>
      </c>
      <c r="B1622" s="20">
        <v>46197</v>
      </c>
      <c r="C1622" s="19" t="s">
        <v>31</v>
      </c>
      <c r="D1622" s="19" t="s">
        <v>41</v>
      </c>
      <c r="E1622" s="19" t="s">
        <v>22</v>
      </c>
      <c r="F1622" s="19" t="s">
        <v>73</v>
      </c>
      <c r="G1622" s="19" t="s">
        <v>145</v>
      </c>
      <c r="H1622" s="19" t="s">
        <v>39</v>
      </c>
      <c r="I1622" s="19">
        <v>2</v>
      </c>
      <c r="J1622" s="21">
        <v>18</v>
      </c>
      <c r="K1622" s="22">
        <v>0.05</v>
      </c>
      <c r="L1622" s="21">
        <v>34.199999999999996</v>
      </c>
    </row>
    <row r="1623" spans="1:12">
      <c r="A1623" s="19" t="s">
        <v>1693</v>
      </c>
      <c r="B1623" s="20">
        <v>46269</v>
      </c>
      <c r="C1623" s="19" t="s">
        <v>20</v>
      </c>
      <c r="D1623" s="19" t="s">
        <v>14</v>
      </c>
      <c r="E1623" s="19" t="s">
        <v>22</v>
      </c>
      <c r="F1623" s="19" t="s">
        <v>16</v>
      </c>
      <c r="G1623" s="19" t="s">
        <v>69</v>
      </c>
      <c r="H1623" s="19" t="s">
        <v>58</v>
      </c>
      <c r="I1623" s="19">
        <v>1</v>
      </c>
      <c r="J1623" s="21">
        <v>52.25</v>
      </c>
      <c r="K1623" s="22">
        <v>0.08</v>
      </c>
      <c r="L1623" s="21">
        <v>48.07</v>
      </c>
    </row>
    <row r="1624" spans="1:12">
      <c r="A1624" s="19" t="s">
        <v>1694</v>
      </c>
      <c r="B1624" s="20">
        <v>46260</v>
      </c>
      <c r="C1624" s="19" t="s">
        <v>31</v>
      </c>
      <c r="D1624" s="19" t="s">
        <v>21</v>
      </c>
      <c r="E1624" s="19" t="s">
        <v>22</v>
      </c>
      <c r="F1624" s="19" t="s">
        <v>16</v>
      </c>
      <c r="G1624" s="19" t="s">
        <v>57</v>
      </c>
      <c r="H1624" s="19" t="s">
        <v>33</v>
      </c>
      <c r="I1624" s="19">
        <v>8</v>
      </c>
      <c r="J1624" s="21">
        <v>39.520000000000003</v>
      </c>
      <c r="K1624" s="22">
        <v>0.08</v>
      </c>
      <c r="L1624" s="21">
        <v>290.86720000000003</v>
      </c>
    </row>
    <row r="1625" spans="1:12">
      <c r="A1625" s="19" t="s">
        <v>1695</v>
      </c>
      <c r="B1625" s="20">
        <v>46319</v>
      </c>
      <c r="C1625" s="19" t="s">
        <v>47</v>
      </c>
      <c r="D1625" s="19" t="s">
        <v>21</v>
      </c>
      <c r="E1625" s="19" t="s">
        <v>22</v>
      </c>
      <c r="F1625" s="19" t="s">
        <v>48</v>
      </c>
      <c r="G1625" s="19" t="s">
        <v>54</v>
      </c>
      <c r="H1625" s="19" t="s">
        <v>83</v>
      </c>
      <c r="I1625" s="19">
        <v>1</v>
      </c>
      <c r="J1625" s="21">
        <v>1872</v>
      </c>
      <c r="K1625" s="22">
        <v>0</v>
      </c>
      <c r="L1625" s="21">
        <v>1872</v>
      </c>
    </row>
    <row r="1626" spans="1:12">
      <c r="A1626" s="19" t="s">
        <v>1696</v>
      </c>
      <c r="B1626" s="20">
        <v>46170</v>
      </c>
      <c r="C1626" s="19" t="s">
        <v>86</v>
      </c>
      <c r="D1626" s="19" t="s">
        <v>35</v>
      </c>
      <c r="E1626" s="19" t="s">
        <v>15</v>
      </c>
      <c r="F1626" s="19" t="s">
        <v>27</v>
      </c>
      <c r="G1626" s="19" t="s">
        <v>155</v>
      </c>
      <c r="H1626" s="19" t="s">
        <v>93</v>
      </c>
      <c r="I1626" s="19">
        <v>10</v>
      </c>
      <c r="J1626" s="21">
        <v>180</v>
      </c>
      <c r="K1626" s="22">
        <v>0.2</v>
      </c>
      <c r="L1626" s="21">
        <v>1440</v>
      </c>
    </row>
    <row r="1627" spans="1:12">
      <c r="A1627" s="19" t="s">
        <v>1697</v>
      </c>
      <c r="B1627" s="20">
        <v>46321</v>
      </c>
      <c r="C1627" s="19" t="s">
        <v>20</v>
      </c>
      <c r="D1627" s="19" t="s">
        <v>21</v>
      </c>
      <c r="E1627" s="19" t="s">
        <v>15</v>
      </c>
      <c r="F1627" s="19" t="s">
        <v>73</v>
      </c>
      <c r="G1627" s="19" t="s">
        <v>129</v>
      </c>
      <c r="H1627" s="19" t="s">
        <v>58</v>
      </c>
      <c r="I1627" s="19">
        <v>5</v>
      </c>
      <c r="J1627" s="21">
        <v>36.4</v>
      </c>
      <c r="K1627" s="22">
        <v>0.08</v>
      </c>
      <c r="L1627" s="21">
        <v>167.44</v>
      </c>
    </row>
    <row r="1628" spans="1:12">
      <c r="A1628" s="19" t="s">
        <v>1698</v>
      </c>
      <c r="B1628" s="20">
        <v>46095</v>
      </c>
      <c r="C1628" s="19" t="s">
        <v>86</v>
      </c>
      <c r="D1628" s="19" t="s">
        <v>14</v>
      </c>
      <c r="E1628" s="19" t="s">
        <v>15</v>
      </c>
      <c r="F1628" s="19" t="s">
        <v>23</v>
      </c>
      <c r="G1628" s="19" t="s">
        <v>138</v>
      </c>
      <c r="H1628" s="19" t="s">
        <v>87</v>
      </c>
      <c r="I1628" s="19">
        <v>6</v>
      </c>
      <c r="J1628" s="21">
        <v>60</v>
      </c>
      <c r="K1628" s="22">
        <v>0</v>
      </c>
      <c r="L1628" s="21">
        <v>360</v>
      </c>
    </row>
    <row r="1629" spans="1:12">
      <c r="A1629" s="19" t="s">
        <v>1699</v>
      </c>
      <c r="B1629" s="20">
        <v>46201</v>
      </c>
      <c r="C1629" s="19" t="s">
        <v>31</v>
      </c>
      <c r="D1629" s="19" t="s">
        <v>14</v>
      </c>
      <c r="E1629" s="19" t="s">
        <v>15</v>
      </c>
      <c r="F1629" s="19" t="s">
        <v>27</v>
      </c>
      <c r="G1629" s="19" t="s">
        <v>155</v>
      </c>
      <c r="H1629" s="19" t="s">
        <v>39</v>
      </c>
      <c r="I1629" s="19">
        <v>7</v>
      </c>
      <c r="J1629" s="21">
        <v>187.2</v>
      </c>
      <c r="K1629" s="22">
        <v>0.08</v>
      </c>
      <c r="L1629" s="21">
        <v>1205.568</v>
      </c>
    </row>
    <row r="1630" spans="1:12">
      <c r="A1630" s="19" t="s">
        <v>1700</v>
      </c>
      <c r="B1630" s="20">
        <v>46186</v>
      </c>
      <c r="C1630" s="19" t="s">
        <v>31</v>
      </c>
      <c r="D1630" s="19" t="s">
        <v>14</v>
      </c>
      <c r="E1630" s="19" t="s">
        <v>15</v>
      </c>
      <c r="F1630" s="19" t="s">
        <v>16</v>
      </c>
      <c r="G1630" s="19" t="s">
        <v>42</v>
      </c>
      <c r="H1630" s="19" t="s">
        <v>79</v>
      </c>
      <c r="I1630" s="19">
        <v>2</v>
      </c>
      <c r="J1630" s="21">
        <v>45</v>
      </c>
      <c r="K1630" s="22">
        <v>0.2</v>
      </c>
      <c r="L1630" s="21">
        <v>72</v>
      </c>
    </row>
    <row r="1631" spans="1:12">
      <c r="A1631" s="19" t="s">
        <v>1701</v>
      </c>
      <c r="B1631" s="20">
        <v>46170</v>
      </c>
      <c r="C1631" s="19" t="s">
        <v>20</v>
      </c>
      <c r="D1631" s="19" t="s">
        <v>41</v>
      </c>
      <c r="E1631" s="19" t="s">
        <v>22</v>
      </c>
      <c r="F1631" s="19" t="s">
        <v>60</v>
      </c>
      <c r="G1631" s="19" t="s">
        <v>76</v>
      </c>
      <c r="H1631" s="19" t="s">
        <v>58</v>
      </c>
      <c r="I1631" s="19">
        <v>1</v>
      </c>
      <c r="J1631" s="21">
        <v>665</v>
      </c>
      <c r="K1631" s="22">
        <v>0.15</v>
      </c>
      <c r="L1631" s="21">
        <v>565.25</v>
      </c>
    </row>
    <row r="1632" spans="1:12">
      <c r="A1632" s="19" t="s">
        <v>1702</v>
      </c>
      <c r="B1632" s="20">
        <v>46038</v>
      </c>
      <c r="C1632" s="19" t="s">
        <v>20</v>
      </c>
      <c r="D1632" s="19" t="s">
        <v>41</v>
      </c>
      <c r="E1632" s="19" t="s">
        <v>22</v>
      </c>
      <c r="F1632" s="19" t="s">
        <v>60</v>
      </c>
      <c r="G1632" s="19" t="s">
        <v>61</v>
      </c>
      <c r="H1632" s="19" t="s">
        <v>58</v>
      </c>
      <c r="I1632" s="19">
        <v>3</v>
      </c>
      <c r="J1632" s="21">
        <v>850</v>
      </c>
      <c r="K1632" s="22">
        <v>0.03</v>
      </c>
      <c r="L1632" s="21">
        <v>2473.5</v>
      </c>
    </row>
    <row r="1633" spans="1:12">
      <c r="A1633" s="19" t="s">
        <v>1703</v>
      </c>
      <c r="B1633" s="20">
        <v>46338</v>
      </c>
      <c r="C1633" s="19" t="s">
        <v>20</v>
      </c>
      <c r="D1633" s="19" t="s">
        <v>35</v>
      </c>
      <c r="E1633" s="19" t="s">
        <v>15</v>
      </c>
      <c r="F1633" s="19" t="s">
        <v>73</v>
      </c>
      <c r="G1633" s="19" t="s">
        <v>145</v>
      </c>
      <c r="H1633" s="19" t="s">
        <v>63</v>
      </c>
      <c r="I1633" s="19">
        <v>15</v>
      </c>
      <c r="J1633" s="21">
        <v>18</v>
      </c>
      <c r="K1633" s="22">
        <v>0.08</v>
      </c>
      <c r="L1633" s="21">
        <v>248.4</v>
      </c>
    </row>
    <row r="1634" spans="1:12">
      <c r="A1634" s="19" t="s">
        <v>1704</v>
      </c>
      <c r="B1634" s="20">
        <v>46347</v>
      </c>
      <c r="C1634" s="19" t="s">
        <v>47</v>
      </c>
      <c r="D1634" s="19" t="s">
        <v>14</v>
      </c>
      <c r="E1634" s="19" t="s">
        <v>22</v>
      </c>
      <c r="F1634" s="19" t="s">
        <v>27</v>
      </c>
      <c r="G1634" s="19" t="s">
        <v>32</v>
      </c>
      <c r="H1634" s="19" t="s">
        <v>83</v>
      </c>
      <c r="I1634" s="19">
        <v>3</v>
      </c>
      <c r="J1634" s="21">
        <v>280</v>
      </c>
      <c r="K1634" s="22">
        <v>0.05</v>
      </c>
      <c r="L1634" s="21">
        <v>798</v>
      </c>
    </row>
    <row r="1635" spans="1:12">
      <c r="A1635" s="19" t="s">
        <v>1705</v>
      </c>
      <c r="B1635" s="20">
        <v>46156</v>
      </c>
      <c r="C1635" s="19" t="s">
        <v>86</v>
      </c>
      <c r="D1635" s="19" t="s">
        <v>21</v>
      </c>
      <c r="E1635" s="19" t="s">
        <v>22</v>
      </c>
      <c r="F1635" s="19" t="s">
        <v>73</v>
      </c>
      <c r="G1635" s="19" t="s">
        <v>127</v>
      </c>
      <c r="H1635" s="19" t="s">
        <v>87</v>
      </c>
      <c r="I1635" s="19">
        <v>3</v>
      </c>
      <c r="J1635" s="21">
        <v>26.5</v>
      </c>
      <c r="K1635" s="22">
        <v>0.2</v>
      </c>
      <c r="L1635" s="21">
        <v>63.6</v>
      </c>
    </row>
    <row r="1636" spans="1:12">
      <c r="A1636" s="19" t="s">
        <v>1706</v>
      </c>
      <c r="B1636" s="20">
        <v>46090</v>
      </c>
      <c r="C1636" s="19" t="s">
        <v>47</v>
      </c>
      <c r="D1636" s="19" t="s">
        <v>14</v>
      </c>
      <c r="E1636" s="19" t="s">
        <v>15</v>
      </c>
      <c r="F1636" s="19" t="s">
        <v>23</v>
      </c>
      <c r="G1636" s="19" t="s">
        <v>38</v>
      </c>
      <c r="H1636" s="19" t="s">
        <v>83</v>
      </c>
      <c r="I1636" s="19">
        <v>5</v>
      </c>
      <c r="J1636" s="21">
        <v>326.39999999999998</v>
      </c>
      <c r="K1636" s="22">
        <v>0.03</v>
      </c>
      <c r="L1636" s="21">
        <v>1583.04</v>
      </c>
    </row>
    <row r="1637" spans="1:12">
      <c r="A1637" s="19" t="s">
        <v>1707</v>
      </c>
      <c r="B1637" s="20">
        <v>46044</v>
      </c>
      <c r="C1637" s="19" t="s">
        <v>47</v>
      </c>
      <c r="D1637" s="19" t="s">
        <v>14</v>
      </c>
      <c r="E1637" s="19" t="s">
        <v>22</v>
      </c>
      <c r="F1637" s="19" t="s">
        <v>16</v>
      </c>
      <c r="G1637" s="19" t="s">
        <v>69</v>
      </c>
      <c r="H1637" s="19" t="s">
        <v>50</v>
      </c>
      <c r="I1637" s="19">
        <v>4</v>
      </c>
      <c r="J1637" s="21">
        <v>56.1</v>
      </c>
      <c r="K1637" s="22">
        <v>0.15</v>
      </c>
      <c r="L1637" s="21">
        <v>190.74</v>
      </c>
    </row>
    <row r="1638" spans="1:12">
      <c r="A1638" s="19" t="s">
        <v>1708</v>
      </c>
      <c r="B1638" s="20">
        <v>46060</v>
      </c>
      <c r="C1638" s="19" t="s">
        <v>31</v>
      </c>
      <c r="D1638" s="19" t="s">
        <v>35</v>
      </c>
      <c r="E1638" s="19" t="s">
        <v>22</v>
      </c>
      <c r="F1638" s="19" t="s">
        <v>73</v>
      </c>
      <c r="G1638" s="19" t="s">
        <v>74</v>
      </c>
      <c r="H1638" s="19" t="s">
        <v>79</v>
      </c>
      <c r="I1638" s="19">
        <v>9</v>
      </c>
      <c r="J1638" s="21">
        <v>8.48</v>
      </c>
      <c r="K1638" s="22">
        <v>0.08</v>
      </c>
      <c r="L1638" s="21">
        <v>70.214400000000012</v>
      </c>
    </row>
    <row r="1639" spans="1:12">
      <c r="A1639" s="19" t="s">
        <v>1709</v>
      </c>
      <c r="B1639" s="20">
        <v>46202</v>
      </c>
      <c r="C1639" s="19" t="s">
        <v>13</v>
      </c>
      <c r="D1639" s="19" t="s">
        <v>35</v>
      </c>
      <c r="E1639" s="19" t="s">
        <v>15</v>
      </c>
      <c r="F1639" s="19" t="s">
        <v>48</v>
      </c>
      <c r="G1639" s="19" t="s">
        <v>96</v>
      </c>
      <c r="H1639" s="19" t="s">
        <v>43</v>
      </c>
      <c r="I1639" s="19">
        <v>1</v>
      </c>
      <c r="J1639" s="21">
        <v>2650</v>
      </c>
      <c r="K1639" s="22">
        <v>0.05</v>
      </c>
      <c r="L1639" s="21">
        <v>2517.5</v>
      </c>
    </row>
    <row r="1640" spans="1:12">
      <c r="A1640" s="19" t="s">
        <v>1710</v>
      </c>
      <c r="B1640" s="20">
        <v>46225</v>
      </c>
      <c r="C1640" s="19" t="s">
        <v>31</v>
      </c>
      <c r="D1640" s="19" t="s">
        <v>14</v>
      </c>
      <c r="E1640" s="19" t="s">
        <v>22</v>
      </c>
      <c r="F1640" s="19" t="s">
        <v>23</v>
      </c>
      <c r="G1640" s="19" t="s">
        <v>52</v>
      </c>
      <c r="H1640" s="19" t="s">
        <v>79</v>
      </c>
      <c r="I1640" s="19">
        <v>3</v>
      </c>
      <c r="J1640" s="21">
        <v>436.5</v>
      </c>
      <c r="K1640" s="22">
        <v>0.05</v>
      </c>
      <c r="L1640" s="21">
        <v>1244.0249999999999</v>
      </c>
    </row>
    <row r="1641" spans="1:12">
      <c r="A1641" s="19" t="s">
        <v>1711</v>
      </c>
      <c r="B1641" s="20">
        <v>46335</v>
      </c>
      <c r="C1641" s="19" t="s">
        <v>86</v>
      </c>
      <c r="D1641" s="19" t="s">
        <v>21</v>
      </c>
      <c r="E1641" s="19" t="s">
        <v>15</v>
      </c>
      <c r="F1641" s="19" t="s">
        <v>23</v>
      </c>
      <c r="G1641" s="19" t="s">
        <v>38</v>
      </c>
      <c r="H1641" s="19" t="s">
        <v>93</v>
      </c>
      <c r="I1641" s="19">
        <v>4</v>
      </c>
      <c r="J1641" s="21">
        <v>326.39999999999998</v>
      </c>
      <c r="K1641" s="22">
        <v>0.08</v>
      </c>
      <c r="L1641" s="21">
        <v>1201.152</v>
      </c>
    </row>
    <row r="1642" spans="1:12">
      <c r="A1642" s="19" t="s">
        <v>1712</v>
      </c>
      <c r="B1642" s="20">
        <v>46141</v>
      </c>
      <c r="C1642" s="19" t="s">
        <v>31</v>
      </c>
      <c r="D1642" s="19" t="s">
        <v>41</v>
      </c>
      <c r="E1642" s="19" t="s">
        <v>22</v>
      </c>
      <c r="F1642" s="19" t="s">
        <v>16</v>
      </c>
      <c r="G1642" s="19" t="s">
        <v>17</v>
      </c>
      <c r="H1642" s="19" t="s">
        <v>33</v>
      </c>
      <c r="I1642" s="19">
        <v>3</v>
      </c>
      <c r="J1642" s="21">
        <v>14.55</v>
      </c>
      <c r="K1642" s="22">
        <v>0.1</v>
      </c>
      <c r="L1642" s="21">
        <v>39.285000000000004</v>
      </c>
    </row>
    <row r="1643" spans="1:12">
      <c r="A1643" s="19" t="s">
        <v>1713</v>
      </c>
      <c r="B1643" s="20">
        <v>46190</v>
      </c>
      <c r="C1643" s="19" t="s">
        <v>86</v>
      </c>
      <c r="D1643" s="19" t="s">
        <v>41</v>
      </c>
      <c r="E1643" s="19" t="s">
        <v>22</v>
      </c>
      <c r="F1643" s="19" t="s">
        <v>16</v>
      </c>
      <c r="G1643" s="19" t="s">
        <v>112</v>
      </c>
      <c r="H1643" s="19" t="s">
        <v>102</v>
      </c>
      <c r="I1643" s="19">
        <v>2</v>
      </c>
      <c r="J1643" s="21">
        <v>65</v>
      </c>
      <c r="K1643" s="22">
        <v>0.2</v>
      </c>
      <c r="L1643" s="21">
        <v>104</v>
      </c>
    </row>
    <row r="1644" spans="1:12">
      <c r="A1644" s="19" t="s">
        <v>1714</v>
      </c>
      <c r="B1644" s="20">
        <v>46126</v>
      </c>
      <c r="C1644" s="19" t="s">
        <v>31</v>
      </c>
      <c r="D1644" s="19" t="s">
        <v>21</v>
      </c>
      <c r="E1644" s="19" t="s">
        <v>22</v>
      </c>
      <c r="F1644" s="19" t="s">
        <v>73</v>
      </c>
      <c r="G1644" s="19" t="s">
        <v>127</v>
      </c>
      <c r="H1644" s="19" t="s">
        <v>39</v>
      </c>
      <c r="I1644" s="19">
        <v>3</v>
      </c>
      <c r="J1644" s="21">
        <v>26.5</v>
      </c>
      <c r="K1644" s="22">
        <v>0.03</v>
      </c>
      <c r="L1644" s="21">
        <v>77.114999999999995</v>
      </c>
    </row>
    <row r="1645" spans="1:12">
      <c r="A1645" s="19" t="s">
        <v>1715</v>
      </c>
      <c r="B1645" s="20">
        <v>46299</v>
      </c>
      <c r="C1645" s="19" t="s">
        <v>31</v>
      </c>
      <c r="D1645" s="19" t="s">
        <v>35</v>
      </c>
      <c r="E1645" s="19" t="s">
        <v>22</v>
      </c>
      <c r="F1645" s="19" t="s">
        <v>73</v>
      </c>
      <c r="G1645" s="19" t="s">
        <v>129</v>
      </c>
      <c r="H1645" s="19" t="s">
        <v>39</v>
      </c>
      <c r="I1645" s="19">
        <v>8</v>
      </c>
      <c r="J1645" s="21">
        <v>35</v>
      </c>
      <c r="K1645" s="22">
        <v>0.03</v>
      </c>
      <c r="L1645" s="21">
        <v>271.59999999999997</v>
      </c>
    </row>
    <row r="1646" spans="1:12">
      <c r="A1646" s="19" t="s">
        <v>1716</v>
      </c>
      <c r="B1646" s="20">
        <v>46190</v>
      </c>
      <c r="C1646" s="19" t="s">
        <v>20</v>
      </c>
      <c r="D1646" s="19" t="s">
        <v>14</v>
      </c>
      <c r="E1646" s="19" t="s">
        <v>22</v>
      </c>
      <c r="F1646" s="19" t="s">
        <v>48</v>
      </c>
      <c r="G1646" s="19" t="s">
        <v>99</v>
      </c>
      <c r="H1646" s="19" t="s">
        <v>25</v>
      </c>
      <c r="I1646" s="19">
        <v>4</v>
      </c>
      <c r="J1646" s="21">
        <v>3120</v>
      </c>
      <c r="K1646" s="22">
        <v>0.08</v>
      </c>
      <c r="L1646" s="21">
        <v>11481.6</v>
      </c>
    </row>
    <row r="1647" spans="1:12">
      <c r="A1647" s="19" t="s">
        <v>1717</v>
      </c>
      <c r="B1647" s="20">
        <v>46351</v>
      </c>
      <c r="C1647" s="19" t="s">
        <v>13</v>
      </c>
      <c r="D1647" s="19" t="s">
        <v>14</v>
      </c>
      <c r="E1647" s="19" t="s">
        <v>22</v>
      </c>
      <c r="F1647" s="19" t="s">
        <v>48</v>
      </c>
      <c r="G1647" s="19" t="s">
        <v>99</v>
      </c>
      <c r="H1647" s="19" t="s">
        <v>29</v>
      </c>
      <c r="I1647" s="19">
        <v>2</v>
      </c>
      <c r="J1647" s="21">
        <v>3000</v>
      </c>
      <c r="K1647" s="22">
        <v>0.03</v>
      </c>
      <c r="L1647" s="21">
        <v>5820</v>
      </c>
    </row>
    <row r="1648" spans="1:12">
      <c r="A1648" s="19" t="s">
        <v>1718</v>
      </c>
      <c r="B1648" s="20">
        <v>46274</v>
      </c>
      <c r="C1648" s="19" t="s">
        <v>86</v>
      </c>
      <c r="D1648" s="19" t="s">
        <v>14</v>
      </c>
      <c r="E1648" s="19" t="s">
        <v>15</v>
      </c>
      <c r="F1648" s="19" t="s">
        <v>23</v>
      </c>
      <c r="G1648" s="19" t="s">
        <v>24</v>
      </c>
      <c r="H1648" s="19" t="s">
        <v>93</v>
      </c>
      <c r="I1648" s="19">
        <v>1</v>
      </c>
      <c r="J1648" s="21">
        <v>90</v>
      </c>
      <c r="K1648" s="22">
        <v>0</v>
      </c>
      <c r="L1648" s="21">
        <v>90</v>
      </c>
    </row>
    <row r="1649" spans="1:12">
      <c r="A1649" s="19" t="s">
        <v>1719</v>
      </c>
      <c r="B1649" s="20">
        <v>46347</v>
      </c>
      <c r="C1649" s="19" t="s">
        <v>31</v>
      </c>
      <c r="D1649" s="19" t="s">
        <v>21</v>
      </c>
      <c r="E1649" s="19" t="s">
        <v>22</v>
      </c>
      <c r="F1649" s="19" t="s">
        <v>48</v>
      </c>
      <c r="G1649" s="19" t="s">
        <v>71</v>
      </c>
      <c r="H1649" s="19" t="s">
        <v>39</v>
      </c>
      <c r="I1649" s="19">
        <v>4</v>
      </c>
      <c r="J1649" s="21">
        <v>3200</v>
      </c>
      <c r="K1649" s="22">
        <v>0.2</v>
      </c>
      <c r="L1649" s="21">
        <v>10240</v>
      </c>
    </row>
    <row r="1650" spans="1:12">
      <c r="A1650" s="19" t="s">
        <v>1720</v>
      </c>
      <c r="B1650" s="20">
        <v>46204</v>
      </c>
      <c r="C1650" s="19" t="s">
        <v>86</v>
      </c>
      <c r="D1650" s="19" t="s">
        <v>41</v>
      </c>
      <c r="E1650" s="19" t="s">
        <v>22</v>
      </c>
      <c r="F1650" s="19" t="s">
        <v>60</v>
      </c>
      <c r="G1650" s="19" t="s">
        <v>61</v>
      </c>
      <c r="H1650" s="19" t="s">
        <v>93</v>
      </c>
      <c r="I1650" s="19">
        <v>2</v>
      </c>
      <c r="J1650" s="21">
        <v>807.5</v>
      </c>
      <c r="K1650" s="22">
        <v>0.08</v>
      </c>
      <c r="L1650" s="21">
        <v>1485.8</v>
      </c>
    </row>
    <row r="1651" spans="1:12">
      <c r="A1651" s="19" t="s">
        <v>1721</v>
      </c>
      <c r="B1651" s="20">
        <v>46085</v>
      </c>
      <c r="C1651" s="19" t="s">
        <v>31</v>
      </c>
      <c r="D1651" s="19" t="s">
        <v>14</v>
      </c>
      <c r="E1651" s="19" t="s">
        <v>15</v>
      </c>
      <c r="F1651" s="19" t="s">
        <v>16</v>
      </c>
      <c r="G1651" s="19" t="s">
        <v>42</v>
      </c>
      <c r="H1651" s="19" t="s">
        <v>33</v>
      </c>
      <c r="I1651" s="19">
        <v>1</v>
      </c>
      <c r="J1651" s="21">
        <v>42.75</v>
      </c>
      <c r="K1651" s="22">
        <v>0.05</v>
      </c>
      <c r="L1651" s="21">
        <v>40.612499999999997</v>
      </c>
    </row>
    <row r="1652" spans="1:12">
      <c r="A1652" s="19" t="s">
        <v>1722</v>
      </c>
      <c r="B1652" s="20">
        <v>46177</v>
      </c>
      <c r="C1652" s="19" t="s">
        <v>31</v>
      </c>
      <c r="D1652" s="19" t="s">
        <v>14</v>
      </c>
      <c r="E1652" s="19" t="s">
        <v>22</v>
      </c>
      <c r="F1652" s="19" t="s">
        <v>60</v>
      </c>
      <c r="G1652" s="19" t="s">
        <v>76</v>
      </c>
      <c r="H1652" s="19" t="s">
        <v>33</v>
      </c>
      <c r="I1652" s="19">
        <v>1</v>
      </c>
      <c r="J1652" s="21">
        <v>728</v>
      </c>
      <c r="K1652" s="22">
        <v>0.08</v>
      </c>
      <c r="L1652" s="21">
        <v>669.76</v>
      </c>
    </row>
    <row r="1653" spans="1:12">
      <c r="A1653" s="19" t="s">
        <v>1723</v>
      </c>
      <c r="B1653" s="20">
        <v>46094</v>
      </c>
      <c r="C1653" s="19" t="s">
        <v>47</v>
      </c>
      <c r="D1653" s="19" t="s">
        <v>14</v>
      </c>
      <c r="E1653" s="19" t="s">
        <v>22</v>
      </c>
      <c r="F1653" s="19" t="s">
        <v>16</v>
      </c>
      <c r="G1653" s="19" t="s">
        <v>65</v>
      </c>
      <c r="H1653" s="19" t="s">
        <v>55</v>
      </c>
      <c r="I1653" s="19">
        <v>6</v>
      </c>
      <c r="J1653" s="21">
        <v>80</v>
      </c>
      <c r="K1653" s="22">
        <v>0.08</v>
      </c>
      <c r="L1653" s="21">
        <v>441.6</v>
      </c>
    </row>
    <row r="1654" spans="1:12">
      <c r="A1654" s="19" t="s">
        <v>1724</v>
      </c>
      <c r="B1654" s="20">
        <v>46375</v>
      </c>
      <c r="C1654" s="19" t="s">
        <v>20</v>
      </c>
      <c r="D1654" s="19" t="s">
        <v>14</v>
      </c>
      <c r="E1654" s="19" t="s">
        <v>22</v>
      </c>
      <c r="F1654" s="19" t="s">
        <v>48</v>
      </c>
      <c r="G1654" s="19" t="s">
        <v>99</v>
      </c>
      <c r="H1654" s="19" t="s">
        <v>58</v>
      </c>
      <c r="I1654" s="19">
        <v>1</v>
      </c>
      <c r="J1654" s="21">
        <v>3000</v>
      </c>
      <c r="K1654" s="22">
        <v>0.05</v>
      </c>
      <c r="L1654" s="21">
        <v>2850</v>
      </c>
    </row>
    <row r="1655" spans="1:12">
      <c r="A1655" s="19" t="s">
        <v>1725</v>
      </c>
      <c r="B1655" s="20">
        <v>46164</v>
      </c>
      <c r="C1655" s="19" t="s">
        <v>47</v>
      </c>
      <c r="D1655" s="19" t="s">
        <v>14</v>
      </c>
      <c r="E1655" s="19" t="s">
        <v>15</v>
      </c>
      <c r="F1655" s="19" t="s">
        <v>23</v>
      </c>
      <c r="G1655" s="19" t="s">
        <v>52</v>
      </c>
      <c r="H1655" s="19" t="s">
        <v>50</v>
      </c>
      <c r="I1655" s="19">
        <v>5</v>
      </c>
      <c r="J1655" s="21">
        <v>477</v>
      </c>
      <c r="K1655" s="22">
        <v>0.03</v>
      </c>
      <c r="L1655" s="21">
        <v>2313.4499999999998</v>
      </c>
    </row>
    <row r="1656" spans="1:12">
      <c r="A1656" s="19" t="s">
        <v>1726</v>
      </c>
      <c r="B1656" s="20">
        <v>46049</v>
      </c>
      <c r="C1656" s="19" t="s">
        <v>47</v>
      </c>
      <c r="D1656" s="19" t="s">
        <v>41</v>
      </c>
      <c r="E1656" s="19" t="s">
        <v>22</v>
      </c>
      <c r="F1656" s="19" t="s">
        <v>23</v>
      </c>
      <c r="G1656" s="19" t="s">
        <v>24</v>
      </c>
      <c r="H1656" s="19" t="s">
        <v>50</v>
      </c>
      <c r="I1656" s="19">
        <v>2</v>
      </c>
      <c r="J1656" s="21">
        <v>87.3</v>
      </c>
      <c r="K1656" s="22">
        <v>0.15</v>
      </c>
      <c r="L1656" s="21">
        <v>148.41</v>
      </c>
    </row>
    <row r="1657" spans="1:12">
      <c r="A1657" s="19" t="s">
        <v>1727</v>
      </c>
      <c r="B1657" s="20">
        <v>46202</v>
      </c>
      <c r="C1657" s="19" t="s">
        <v>13</v>
      </c>
      <c r="D1657" s="19" t="s">
        <v>21</v>
      </c>
      <c r="E1657" s="19" t="s">
        <v>15</v>
      </c>
      <c r="F1657" s="19" t="s">
        <v>16</v>
      </c>
      <c r="G1657" s="19" t="s">
        <v>17</v>
      </c>
      <c r="H1657" s="19" t="s">
        <v>18</v>
      </c>
      <c r="I1657" s="19">
        <v>6</v>
      </c>
      <c r="J1657" s="21">
        <v>15.6</v>
      </c>
      <c r="K1657" s="22">
        <v>0.05</v>
      </c>
      <c r="L1657" s="21">
        <v>88.919999999999987</v>
      </c>
    </row>
    <row r="1658" spans="1:12">
      <c r="A1658" s="19" t="s">
        <v>1728</v>
      </c>
      <c r="B1658" s="20">
        <v>46288</v>
      </c>
      <c r="C1658" s="19" t="s">
        <v>47</v>
      </c>
      <c r="D1658" s="19" t="s">
        <v>41</v>
      </c>
      <c r="E1658" s="19" t="s">
        <v>15</v>
      </c>
      <c r="F1658" s="19" t="s">
        <v>16</v>
      </c>
      <c r="G1658" s="19" t="s">
        <v>69</v>
      </c>
      <c r="H1658" s="19" t="s">
        <v>55</v>
      </c>
      <c r="I1658" s="19">
        <v>1</v>
      </c>
      <c r="J1658" s="21">
        <v>56.1</v>
      </c>
      <c r="K1658" s="22">
        <v>0.08</v>
      </c>
      <c r="L1658" s="21">
        <v>51.612000000000002</v>
      </c>
    </row>
    <row r="1659" spans="1:12">
      <c r="A1659" s="19" t="s">
        <v>1729</v>
      </c>
      <c r="B1659" s="20">
        <v>46132</v>
      </c>
      <c r="C1659" s="19" t="s">
        <v>20</v>
      </c>
      <c r="D1659" s="19" t="s">
        <v>21</v>
      </c>
      <c r="E1659" s="19" t="s">
        <v>15</v>
      </c>
      <c r="F1659" s="19" t="s">
        <v>73</v>
      </c>
      <c r="G1659" s="19" t="s">
        <v>81</v>
      </c>
      <c r="H1659" s="19" t="s">
        <v>58</v>
      </c>
      <c r="I1659" s="19">
        <v>2</v>
      </c>
      <c r="J1659" s="21">
        <v>12.48</v>
      </c>
      <c r="K1659" s="22">
        <v>0</v>
      </c>
      <c r="L1659" s="21">
        <v>24.96</v>
      </c>
    </row>
    <row r="1660" spans="1:12">
      <c r="A1660" s="19" t="s">
        <v>1730</v>
      </c>
      <c r="B1660" s="20">
        <v>46099</v>
      </c>
      <c r="C1660" s="19" t="s">
        <v>13</v>
      </c>
      <c r="D1660" s="19" t="s">
        <v>21</v>
      </c>
      <c r="E1660" s="19" t="s">
        <v>22</v>
      </c>
      <c r="F1660" s="19" t="s">
        <v>48</v>
      </c>
      <c r="G1660" s="19" t="s">
        <v>49</v>
      </c>
      <c r="H1660" s="19" t="s">
        <v>43</v>
      </c>
      <c r="I1660" s="19">
        <v>1</v>
      </c>
      <c r="J1660" s="21">
        <v>3990</v>
      </c>
      <c r="K1660" s="22">
        <v>0.05</v>
      </c>
      <c r="L1660" s="21">
        <v>3790.5</v>
      </c>
    </row>
    <row r="1661" spans="1:12">
      <c r="A1661" s="19" t="s">
        <v>1731</v>
      </c>
      <c r="B1661" s="20">
        <v>46232</v>
      </c>
      <c r="C1661" s="19" t="s">
        <v>13</v>
      </c>
      <c r="D1661" s="19" t="s">
        <v>14</v>
      </c>
      <c r="E1661" s="19" t="s">
        <v>22</v>
      </c>
      <c r="F1661" s="19" t="s">
        <v>23</v>
      </c>
      <c r="G1661" s="19" t="s">
        <v>24</v>
      </c>
      <c r="H1661" s="19" t="s">
        <v>43</v>
      </c>
      <c r="I1661" s="19">
        <v>2</v>
      </c>
      <c r="J1661" s="21">
        <v>87.3</v>
      </c>
      <c r="K1661" s="22">
        <v>0.05</v>
      </c>
      <c r="L1661" s="21">
        <v>165.86999999999998</v>
      </c>
    </row>
    <row r="1662" spans="1:12">
      <c r="A1662" s="19" t="s">
        <v>1732</v>
      </c>
      <c r="B1662" s="20">
        <v>46185</v>
      </c>
      <c r="C1662" s="19" t="s">
        <v>20</v>
      </c>
      <c r="D1662" s="19" t="s">
        <v>14</v>
      </c>
      <c r="E1662" s="19" t="s">
        <v>22</v>
      </c>
      <c r="F1662" s="19" t="s">
        <v>48</v>
      </c>
      <c r="G1662" s="19" t="s">
        <v>99</v>
      </c>
      <c r="H1662" s="19" t="s">
        <v>25</v>
      </c>
      <c r="I1662" s="19">
        <v>1</v>
      </c>
      <c r="J1662" s="21">
        <v>3000</v>
      </c>
      <c r="K1662" s="22">
        <v>0.2</v>
      </c>
      <c r="L1662" s="21">
        <v>2400</v>
      </c>
    </row>
    <row r="1663" spans="1:12">
      <c r="A1663" s="19" t="s">
        <v>1733</v>
      </c>
      <c r="B1663" s="20">
        <v>46196</v>
      </c>
      <c r="C1663" s="19" t="s">
        <v>13</v>
      </c>
      <c r="D1663" s="19" t="s">
        <v>14</v>
      </c>
      <c r="E1663" s="19" t="s">
        <v>22</v>
      </c>
      <c r="F1663" s="19" t="s">
        <v>23</v>
      </c>
      <c r="G1663" s="19" t="s">
        <v>38</v>
      </c>
      <c r="H1663" s="19" t="s">
        <v>43</v>
      </c>
      <c r="I1663" s="19">
        <v>1</v>
      </c>
      <c r="J1663" s="21">
        <v>332.8</v>
      </c>
      <c r="K1663" s="22">
        <v>0.2</v>
      </c>
      <c r="L1663" s="21">
        <v>266.24</v>
      </c>
    </row>
    <row r="1664" spans="1:12">
      <c r="A1664" s="19" t="s">
        <v>1734</v>
      </c>
      <c r="B1664" s="20">
        <v>46351</v>
      </c>
      <c r="C1664" s="19" t="s">
        <v>47</v>
      </c>
      <c r="D1664" s="19" t="s">
        <v>41</v>
      </c>
      <c r="E1664" s="19" t="s">
        <v>22</v>
      </c>
      <c r="F1664" s="19" t="s">
        <v>16</v>
      </c>
      <c r="G1664" s="19" t="s">
        <v>42</v>
      </c>
      <c r="H1664" s="19" t="s">
        <v>50</v>
      </c>
      <c r="I1664" s="19">
        <v>2</v>
      </c>
      <c r="J1664" s="21">
        <v>47.7</v>
      </c>
      <c r="K1664" s="22">
        <v>0.08</v>
      </c>
      <c r="L1664" s="21">
        <v>87.768000000000015</v>
      </c>
    </row>
    <row r="1665" spans="1:12">
      <c r="A1665" s="19" t="s">
        <v>1735</v>
      </c>
      <c r="B1665" s="20">
        <v>46188</v>
      </c>
      <c r="C1665" s="19" t="s">
        <v>86</v>
      </c>
      <c r="D1665" s="19" t="s">
        <v>14</v>
      </c>
      <c r="E1665" s="19" t="s">
        <v>22</v>
      </c>
      <c r="F1665" s="19" t="s">
        <v>60</v>
      </c>
      <c r="G1665" s="19" t="s">
        <v>76</v>
      </c>
      <c r="H1665" s="19" t="s">
        <v>87</v>
      </c>
      <c r="I1665" s="19">
        <v>3</v>
      </c>
      <c r="J1665" s="21">
        <v>700</v>
      </c>
      <c r="K1665" s="22">
        <v>0.03</v>
      </c>
      <c r="L1665" s="21">
        <v>2037</v>
      </c>
    </row>
    <row r="1666" spans="1:12">
      <c r="A1666" s="19" t="s">
        <v>1736</v>
      </c>
      <c r="B1666" s="20">
        <v>46347</v>
      </c>
      <c r="C1666" s="19" t="s">
        <v>20</v>
      </c>
      <c r="D1666" s="19" t="s">
        <v>14</v>
      </c>
      <c r="E1666" s="19" t="s">
        <v>22</v>
      </c>
      <c r="F1666" s="19" t="s">
        <v>60</v>
      </c>
      <c r="G1666" s="19" t="s">
        <v>61</v>
      </c>
      <c r="H1666" s="19" t="s">
        <v>58</v>
      </c>
      <c r="I1666" s="19">
        <v>1</v>
      </c>
      <c r="J1666" s="21">
        <v>884</v>
      </c>
      <c r="K1666" s="22">
        <v>0.03</v>
      </c>
      <c r="L1666" s="21">
        <v>857.48</v>
      </c>
    </row>
    <row r="1667" spans="1:12">
      <c r="A1667" s="19" t="s">
        <v>1737</v>
      </c>
      <c r="B1667" s="20">
        <v>46367</v>
      </c>
      <c r="C1667" s="19" t="s">
        <v>20</v>
      </c>
      <c r="D1667" s="19" t="s">
        <v>14</v>
      </c>
      <c r="E1667" s="19" t="s">
        <v>15</v>
      </c>
      <c r="F1667" s="19" t="s">
        <v>23</v>
      </c>
      <c r="G1667" s="19" t="s">
        <v>138</v>
      </c>
      <c r="H1667" s="19" t="s">
        <v>58</v>
      </c>
      <c r="I1667" s="19">
        <v>2</v>
      </c>
      <c r="J1667" s="21">
        <v>61.2</v>
      </c>
      <c r="K1667" s="22">
        <v>0.03</v>
      </c>
      <c r="L1667" s="21">
        <v>118.72800000000001</v>
      </c>
    </row>
    <row r="1668" spans="1:12">
      <c r="A1668" s="19" t="s">
        <v>1738</v>
      </c>
      <c r="B1668" s="20">
        <v>46152</v>
      </c>
      <c r="C1668" s="19" t="s">
        <v>86</v>
      </c>
      <c r="D1668" s="19" t="s">
        <v>41</v>
      </c>
      <c r="E1668" s="19" t="s">
        <v>15</v>
      </c>
      <c r="F1668" s="19" t="s">
        <v>48</v>
      </c>
      <c r="G1668" s="19" t="s">
        <v>99</v>
      </c>
      <c r="H1668" s="19" t="s">
        <v>93</v>
      </c>
      <c r="I1668" s="19">
        <v>1</v>
      </c>
      <c r="J1668" s="21">
        <v>3000</v>
      </c>
      <c r="K1668" s="22">
        <v>0.08</v>
      </c>
      <c r="L1668" s="21">
        <v>2760</v>
      </c>
    </row>
    <row r="1669" spans="1:12">
      <c r="A1669" s="19" t="s">
        <v>1739</v>
      </c>
      <c r="B1669" s="20">
        <v>46338</v>
      </c>
      <c r="C1669" s="19" t="s">
        <v>20</v>
      </c>
      <c r="D1669" s="19" t="s">
        <v>14</v>
      </c>
      <c r="E1669" s="19" t="s">
        <v>22</v>
      </c>
      <c r="F1669" s="19" t="s">
        <v>27</v>
      </c>
      <c r="G1669" s="19" t="s">
        <v>32</v>
      </c>
      <c r="H1669" s="19" t="s">
        <v>58</v>
      </c>
      <c r="I1669" s="19">
        <v>3</v>
      </c>
      <c r="J1669" s="21">
        <v>271.60000000000002</v>
      </c>
      <c r="K1669" s="22">
        <v>0.05</v>
      </c>
      <c r="L1669" s="21">
        <v>774.06000000000006</v>
      </c>
    </row>
    <row r="1670" spans="1:12">
      <c r="A1670" s="19" t="s">
        <v>1740</v>
      </c>
      <c r="B1670" s="20">
        <v>46340</v>
      </c>
      <c r="C1670" s="19" t="s">
        <v>86</v>
      </c>
      <c r="D1670" s="19" t="s">
        <v>14</v>
      </c>
      <c r="E1670" s="19" t="s">
        <v>15</v>
      </c>
      <c r="F1670" s="19" t="s">
        <v>73</v>
      </c>
      <c r="G1670" s="19" t="s">
        <v>129</v>
      </c>
      <c r="H1670" s="19" t="s">
        <v>87</v>
      </c>
      <c r="I1670" s="19">
        <v>8</v>
      </c>
      <c r="J1670" s="21">
        <v>37.1</v>
      </c>
      <c r="K1670" s="22">
        <v>0.08</v>
      </c>
      <c r="L1670" s="21">
        <v>273.05600000000004</v>
      </c>
    </row>
    <row r="1671" spans="1:12">
      <c r="A1671" s="19" t="s">
        <v>1741</v>
      </c>
      <c r="B1671" s="20">
        <v>46263</v>
      </c>
      <c r="C1671" s="19" t="s">
        <v>13</v>
      </c>
      <c r="D1671" s="19" t="s">
        <v>35</v>
      </c>
      <c r="E1671" s="19" t="s">
        <v>15</v>
      </c>
      <c r="F1671" s="19" t="s">
        <v>48</v>
      </c>
      <c r="G1671" s="19" t="s">
        <v>99</v>
      </c>
      <c r="H1671" s="19" t="s">
        <v>29</v>
      </c>
      <c r="I1671" s="19">
        <v>1</v>
      </c>
      <c r="J1671" s="21">
        <v>3000</v>
      </c>
      <c r="K1671" s="22">
        <v>0.05</v>
      </c>
      <c r="L1671" s="21">
        <v>2850</v>
      </c>
    </row>
    <row r="1672" spans="1:12">
      <c r="A1672" s="19" t="s">
        <v>1742</v>
      </c>
      <c r="B1672" s="20">
        <v>46117</v>
      </c>
      <c r="C1672" s="19" t="s">
        <v>47</v>
      </c>
      <c r="D1672" s="19" t="s">
        <v>14</v>
      </c>
      <c r="E1672" s="19" t="s">
        <v>22</v>
      </c>
      <c r="F1672" s="19" t="s">
        <v>60</v>
      </c>
      <c r="G1672" s="19" t="s">
        <v>67</v>
      </c>
      <c r="H1672" s="19" t="s">
        <v>83</v>
      </c>
      <c r="I1672" s="19">
        <v>1</v>
      </c>
      <c r="J1672" s="21">
        <v>1425</v>
      </c>
      <c r="K1672" s="22">
        <v>0</v>
      </c>
      <c r="L1672" s="21">
        <v>1425</v>
      </c>
    </row>
    <row r="1673" spans="1:12">
      <c r="A1673" s="19" t="s">
        <v>1743</v>
      </c>
      <c r="B1673" s="20">
        <v>46377</v>
      </c>
      <c r="C1673" s="19" t="s">
        <v>13</v>
      </c>
      <c r="D1673" s="19" t="s">
        <v>41</v>
      </c>
      <c r="E1673" s="19" t="s">
        <v>15</v>
      </c>
      <c r="F1673" s="19" t="s">
        <v>23</v>
      </c>
      <c r="G1673" s="19" t="s">
        <v>52</v>
      </c>
      <c r="H1673" s="19" t="s">
        <v>18</v>
      </c>
      <c r="I1673" s="19">
        <v>5</v>
      </c>
      <c r="J1673" s="21">
        <v>450</v>
      </c>
      <c r="K1673" s="22">
        <v>0.15</v>
      </c>
      <c r="L1673" s="21">
        <v>1912.5</v>
      </c>
    </row>
    <row r="1674" spans="1:12">
      <c r="A1674" s="19" t="s">
        <v>1744</v>
      </c>
      <c r="B1674" s="20">
        <v>46378</v>
      </c>
      <c r="C1674" s="19" t="s">
        <v>31</v>
      </c>
      <c r="D1674" s="19" t="s">
        <v>14</v>
      </c>
      <c r="E1674" s="19" t="s">
        <v>15</v>
      </c>
      <c r="F1674" s="19" t="s">
        <v>73</v>
      </c>
      <c r="G1674" s="19" t="s">
        <v>129</v>
      </c>
      <c r="H1674" s="19" t="s">
        <v>33</v>
      </c>
      <c r="I1674" s="19">
        <v>7</v>
      </c>
      <c r="J1674" s="21">
        <v>35</v>
      </c>
      <c r="K1674" s="22">
        <v>0.15</v>
      </c>
      <c r="L1674" s="21">
        <v>208.25</v>
      </c>
    </row>
    <row r="1675" spans="1:12">
      <c r="A1675" s="19" t="s">
        <v>1745</v>
      </c>
      <c r="B1675" s="20">
        <v>46041</v>
      </c>
      <c r="C1675" s="19" t="s">
        <v>31</v>
      </c>
      <c r="D1675" s="19" t="s">
        <v>14</v>
      </c>
      <c r="E1675" s="19" t="s">
        <v>22</v>
      </c>
      <c r="F1675" s="19" t="s">
        <v>73</v>
      </c>
      <c r="G1675" s="19" t="s">
        <v>74</v>
      </c>
      <c r="H1675" s="19" t="s">
        <v>33</v>
      </c>
      <c r="I1675" s="19">
        <v>4</v>
      </c>
      <c r="J1675" s="21">
        <v>8.16</v>
      </c>
      <c r="K1675" s="22">
        <v>0</v>
      </c>
      <c r="L1675" s="21">
        <v>32.64</v>
      </c>
    </row>
    <row r="1676" spans="1:12">
      <c r="A1676" s="19" t="s">
        <v>1746</v>
      </c>
      <c r="B1676" s="20">
        <v>46135</v>
      </c>
      <c r="C1676" s="19" t="s">
        <v>47</v>
      </c>
      <c r="D1676" s="19" t="s">
        <v>35</v>
      </c>
      <c r="E1676" s="19" t="s">
        <v>22</v>
      </c>
      <c r="F1676" s="19" t="s">
        <v>60</v>
      </c>
      <c r="G1676" s="19" t="s">
        <v>67</v>
      </c>
      <c r="H1676" s="19" t="s">
        <v>55</v>
      </c>
      <c r="I1676" s="19">
        <v>2</v>
      </c>
      <c r="J1676" s="21">
        <v>1530</v>
      </c>
      <c r="K1676" s="22">
        <v>0.03</v>
      </c>
      <c r="L1676" s="21">
        <v>2968.2</v>
      </c>
    </row>
    <row r="1677" spans="1:12">
      <c r="A1677" s="19" t="s">
        <v>1747</v>
      </c>
      <c r="B1677" s="20">
        <v>46100</v>
      </c>
      <c r="C1677" s="19" t="s">
        <v>20</v>
      </c>
      <c r="D1677" s="19" t="s">
        <v>21</v>
      </c>
      <c r="E1677" s="19" t="s">
        <v>22</v>
      </c>
      <c r="F1677" s="19" t="s">
        <v>16</v>
      </c>
      <c r="G1677" s="19" t="s">
        <v>69</v>
      </c>
      <c r="H1677" s="19" t="s">
        <v>63</v>
      </c>
      <c r="I1677" s="19">
        <v>1</v>
      </c>
      <c r="J1677" s="21">
        <v>56.1</v>
      </c>
      <c r="K1677" s="22">
        <v>0.03</v>
      </c>
      <c r="L1677" s="21">
        <v>54.417000000000002</v>
      </c>
    </row>
    <row r="1678" spans="1:12">
      <c r="A1678" s="19" t="s">
        <v>1748</v>
      </c>
      <c r="B1678" s="20">
        <v>46309</v>
      </c>
      <c r="C1678" s="19" t="s">
        <v>47</v>
      </c>
      <c r="D1678" s="19" t="s">
        <v>14</v>
      </c>
      <c r="E1678" s="19" t="s">
        <v>22</v>
      </c>
      <c r="F1678" s="19" t="s">
        <v>23</v>
      </c>
      <c r="G1678" s="19" t="s">
        <v>38</v>
      </c>
      <c r="H1678" s="19" t="s">
        <v>55</v>
      </c>
      <c r="I1678" s="19">
        <v>1</v>
      </c>
      <c r="J1678" s="21">
        <v>339.2</v>
      </c>
      <c r="K1678" s="22">
        <v>0.03</v>
      </c>
      <c r="L1678" s="21">
        <v>329.024</v>
      </c>
    </row>
    <row r="1679" spans="1:12">
      <c r="A1679" s="19" t="s">
        <v>1749</v>
      </c>
      <c r="B1679" s="20">
        <v>46078</v>
      </c>
      <c r="C1679" s="19" t="s">
        <v>13</v>
      </c>
      <c r="D1679" s="19" t="s">
        <v>14</v>
      </c>
      <c r="E1679" s="19" t="s">
        <v>15</v>
      </c>
      <c r="F1679" s="19" t="s">
        <v>16</v>
      </c>
      <c r="G1679" s="19" t="s">
        <v>57</v>
      </c>
      <c r="H1679" s="19" t="s">
        <v>29</v>
      </c>
      <c r="I1679" s="19">
        <v>1</v>
      </c>
      <c r="J1679" s="21">
        <v>39.520000000000003</v>
      </c>
      <c r="K1679" s="22">
        <v>0</v>
      </c>
      <c r="L1679" s="21">
        <v>39.520000000000003</v>
      </c>
    </row>
    <row r="1680" spans="1:12">
      <c r="A1680" s="19" t="s">
        <v>1750</v>
      </c>
      <c r="B1680" s="20">
        <v>46333</v>
      </c>
      <c r="C1680" s="19" t="s">
        <v>47</v>
      </c>
      <c r="D1680" s="19" t="s">
        <v>35</v>
      </c>
      <c r="E1680" s="19" t="s">
        <v>22</v>
      </c>
      <c r="F1680" s="19" t="s">
        <v>60</v>
      </c>
      <c r="G1680" s="19" t="s">
        <v>61</v>
      </c>
      <c r="H1680" s="19" t="s">
        <v>55</v>
      </c>
      <c r="I1680" s="19">
        <v>3</v>
      </c>
      <c r="J1680" s="21">
        <v>867</v>
      </c>
      <c r="K1680" s="22">
        <v>0.03</v>
      </c>
      <c r="L1680" s="21">
        <v>2522.9699999999998</v>
      </c>
    </row>
    <row r="1681" spans="1:12">
      <c r="A1681" s="19" t="s">
        <v>1751</v>
      </c>
      <c r="B1681" s="20">
        <v>46050</v>
      </c>
      <c r="C1681" s="19" t="s">
        <v>86</v>
      </c>
      <c r="D1681" s="19" t="s">
        <v>21</v>
      </c>
      <c r="E1681" s="19" t="s">
        <v>15</v>
      </c>
      <c r="F1681" s="19" t="s">
        <v>60</v>
      </c>
      <c r="G1681" s="19" t="s">
        <v>61</v>
      </c>
      <c r="H1681" s="19" t="s">
        <v>102</v>
      </c>
      <c r="I1681" s="19">
        <v>5</v>
      </c>
      <c r="J1681" s="21">
        <v>850</v>
      </c>
      <c r="K1681" s="22">
        <v>0.2</v>
      </c>
      <c r="L1681" s="21">
        <v>3400</v>
      </c>
    </row>
    <row r="1682" spans="1:12">
      <c r="A1682" s="19" t="s">
        <v>1752</v>
      </c>
      <c r="B1682" s="20">
        <v>46373</v>
      </c>
      <c r="C1682" s="19" t="s">
        <v>31</v>
      </c>
      <c r="D1682" s="19" t="s">
        <v>14</v>
      </c>
      <c r="E1682" s="19" t="s">
        <v>15</v>
      </c>
      <c r="F1682" s="19" t="s">
        <v>73</v>
      </c>
      <c r="G1682" s="19" t="s">
        <v>145</v>
      </c>
      <c r="H1682" s="19" t="s">
        <v>79</v>
      </c>
      <c r="I1682" s="19">
        <v>2</v>
      </c>
      <c r="J1682" s="21">
        <v>18</v>
      </c>
      <c r="K1682" s="22">
        <v>0.03</v>
      </c>
      <c r="L1682" s="21">
        <v>34.92</v>
      </c>
    </row>
    <row r="1683" spans="1:12">
      <c r="A1683" s="19" t="s">
        <v>1753</v>
      </c>
      <c r="B1683" s="20">
        <v>46144</v>
      </c>
      <c r="C1683" s="19" t="s">
        <v>20</v>
      </c>
      <c r="D1683" s="19" t="s">
        <v>21</v>
      </c>
      <c r="E1683" s="19" t="s">
        <v>15</v>
      </c>
      <c r="F1683" s="19" t="s">
        <v>16</v>
      </c>
      <c r="G1683" s="19" t="s">
        <v>57</v>
      </c>
      <c r="H1683" s="19" t="s">
        <v>63</v>
      </c>
      <c r="I1683" s="19">
        <v>3</v>
      </c>
      <c r="J1683" s="21">
        <v>40.28</v>
      </c>
      <c r="K1683" s="22">
        <v>0.03</v>
      </c>
      <c r="L1683" s="21">
        <v>117.2148</v>
      </c>
    </row>
    <row r="1684" spans="1:12">
      <c r="A1684" s="19" t="s">
        <v>1754</v>
      </c>
      <c r="B1684" s="20">
        <v>46362</v>
      </c>
      <c r="C1684" s="19" t="s">
        <v>31</v>
      </c>
      <c r="D1684" s="19" t="s">
        <v>14</v>
      </c>
      <c r="E1684" s="19" t="s">
        <v>22</v>
      </c>
      <c r="F1684" s="19" t="s">
        <v>60</v>
      </c>
      <c r="G1684" s="19" t="s">
        <v>67</v>
      </c>
      <c r="H1684" s="19" t="s">
        <v>39</v>
      </c>
      <c r="I1684" s="19">
        <v>1</v>
      </c>
      <c r="J1684" s="21">
        <v>1530</v>
      </c>
      <c r="K1684" s="22">
        <v>0.08</v>
      </c>
      <c r="L1684" s="21">
        <v>1407.6000000000001</v>
      </c>
    </row>
    <row r="1685" spans="1:12">
      <c r="A1685" s="19" t="s">
        <v>1755</v>
      </c>
      <c r="B1685" s="20">
        <v>46143</v>
      </c>
      <c r="C1685" s="19" t="s">
        <v>13</v>
      </c>
      <c r="D1685" s="19" t="s">
        <v>21</v>
      </c>
      <c r="E1685" s="19" t="s">
        <v>22</v>
      </c>
      <c r="F1685" s="19" t="s">
        <v>16</v>
      </c>
      <c r="G1685" s="19" t="s">
        <v>42</v>
      </c>
      <c r="H1685" s="19" t="s">
        <v>29</v>
      </c>
      <c r="I1685" s="19">
        <v>2</v>
      </c>
      <c r="J1685" s="21">
        <v>43.65</v>
      </c>
      <c r="K1685" s="22">
        <v>0.05</v>
      </c>
      <c r="L1685" s="21">
        <v>82.934999999999988</v>
      </c>
    </row>
    <row r="1686" spans="1:12">
      <c r="A1686" s="19" t="s">
        <v>1756</v>
      </c>
      <c r="B1686" s="20">
        <v>46075</v>
      </c>
      <c r="C1686" s="19" t="s">
        <v>31</v>
      </c>
      <c r="D1686" s="19" t="s">
        <v>14</v>
      </c>
      <c r="E1686" s="19" t="s">
        <v>15</v>
      </c>
      <c r="F1686" s="19" t="s">
        <v>27</v>
      </c>
      <c r="G1686" s="19" t="s">
        <v>155</v>
      </c>
      <c r="H1686" s="19" t="s">
        <v>39</v>
      </c>
      <c r="I1686" s="19">
        <v>4</v>
      </c>
      <c r="J1686" s="21">
        <v>171</v>
      </c>
      <c r="K1686" s="22">
        <v>0</v>
      </c>
      <c r="L1686" s="21">
        <v>684</v>
      </c>
    </row>
    <row r="1687" spans="1:12">
      <c r="A1687" s="19" t="s">
        <v>1757</v>
      </c>
      <c r="B1687" s="20">
        <v>46045</v>
      </c>
      <c r="C1687" s="19" t="s">
        <v>13</v>
      </c>
      <c r="D1687" s="19" t="s">
        <v>41</v>
      </c>
      <c r="E1687" s="19" t="s">
        <v>15</v>
      </c>
      <c r="F1687" s="19" t="s">
        <v>73</v>
      </c>
      <c r="G1687" s="19" t="s">
        <v>129</v>
      </c>
      <c r="H1687" s="19" t="s">
        <v>18</v>
      </c>
      <c r="I1687" s="19">
        <v>4</v>
      </c>
      <c r="J1687" s="21">
        <v>33.950000000000003</v>
      </c>
      <c r="K1687" s="22">
        <v>0.2</v>
      </c>
      <c r="L1687" s="21">
        <v>108.64000000000001</v>
      </c>
    </row>
    <row r="1688" spans="1:12">
      <c r="A1688" s="19" t="s">
        <v>1758</v>
      </c>
      <c r="B1688" s="20">
        <v>46271</v>
      </c>
      <c r="C1688" s="19" t="s">
        <v>20</v>
      </c>
      <c r="D1688" s="19" t="s">
        <v>14</v>
      </c>
      <c r="E1688" s="19" t="s">
        <v>22</v>
      </c>
      <c r="F1688" s="19" t="s">
        <v>60</v>
      </c>
      <c r="G1688" s="19" t="s">
        <v>91</v>
      </c>
      <c r="H1688" s="19" t="s">
        <v>58</v>
      </c>
      <c r="I1688" s="19">
        <v>1</v>
      </c>
      <c r="J1688" s="21">
        <v>551</v>
      </c>
      <c r="K1688" s="22">
        <v>0.05</v>
      </c>
      <c r="L1688" s="21">
        <v>523.44999999999993</v>
      </c>
    </row>
    <row r="1689" spans="1:12">
      <c r="A1689" s="19" t="s">
        <v>1759</v>
      </c>
      <c r="B1689" s="20">
        <v>46359</v>
      </c>
      <c r="C1689" s="19" t="s">
        <v>86</v>
      </c>
      <c r="D1689" s="19" t="s">
        <v>14</v>
      </c>
      <c r="E1689" s="19" t="s">
        <v>22</v>
      </c>
      <c r="F1689" s="19" t="s">
        <v>27</v>
      </c>
      <c r="G1689" s="19" t="s">
        <v>28</v>
      </c>
      <c r="H1689" s="19" t="s">
        <v>102</v>
      </c>
      <c r="I1689" s="19">
        <v>2</v>
      </c>
      <c r="J1689" s="21">
        <v>20</v>
      </c>
      <c r="K1689" s="22">
        <v>0.15</v>
      </c>
      <c r="L1689" s="21">
        <v>34</v>
      </c>
    </row>
    <row r="1690" spans="1:12">
      <c r="A1690" s="19" t="s">
        <v>1760</v>
      </c>
      <c r="B1690" s="20">
        <v>46032</v>
      </c>
      <c r="C1690" s="19" t="s">
        <v>31</v>
      </c>
      <c r="D1690" s="19" t="s">
        <v>41</v>
      </c>
      <c r="E1690" s="19" t="s">
        <v>15</v>
      </c>
      <c r="F1690" s="19" t="s">
        <v>48</v>
      </c>
      <c r="G1690" s="19" t="s">
        <v>96</v>
      </c>
      <c r="H1690" s="19" t="s">
        <v>33</v>
      </c>
      <c r="I1690" s="19">
        <v>1</v>
      </c>
      <c r="J1690" s="21">
        <v>2500</v>
      </c>
      <c r="K1690" s="22">
        <v>0.08</v>
      </c>
      <c r="L1690" s="21">
        <v>2300</v>
      </c>
    </row>
    <row r="1691" spans="1:12">
      <c r="A1691" s="19" t="s">
        <v>1761</v>
      </c>
      <c r="B1691" s="20">
        <v>46284</v>
      </c>
      <c r="C1691" s="19" t="s">
        <v>13</v>
      </c>
      <c r="D1691" s="19" t="s">
        <v>35</v>
      </c>
      <c r="E1691" s="19" t="s">
        <v>22</v>
      </c>
      <c r="F1691" s="19" t="s">
        <v>23</v>
      </c>
      <c r="G1691" s="19" t="s">
        <v>52</v>
      </c>
      <c r="H1691" s="19" t="s">
        <v>43</v>
      </c>
      <c r="I1691" s="19">
        <v>2</v>
      </c>
      <c r="J1691" s="21">
        <v>427.5</v>
      </c>
      <c r="K1691" s="22">
        <v>0.05</v>
      </c>
      <c r="L1691" s="21">
        <v>812.25</v>
      </c>
    </row>
    <row r="1692" spans="1:12">
      <c r="A1692" s="19" t="s">
        <v>1762</v>
      </c>
      <c r="B1692" s="20">
        <v>46244</v>
      </c>
      <c r="C1692" s="19" t="s">
        <v>13</v>
      </c>
      <c r="D1692" s="19" t="s">
        <v>14</v>
      </c>
      <c r="E1692" s="19" t="s">
        <v>22</v>
      </c>
      <c r="F1692" s="19" t="s">
        <v>60</v>
      </c>
      <c r="G1692" s="19" t="s">
        <v>91</v>
      </c>
      <c r="H1692" s="19" t="s">
        <v>18</v>
      </c>
      <c r="I1692" s="19">
        <v>1</v>
      </c>
      <c r="J1692" s="21">
        <v>580</v>
      </c>
      <c r="K1692" s="22">
        <v>0.15</v>
      </c>
      <c r="L1692" s="21">
        <v>493</v>
      </c>
    </row>
    <row r="1693" spans="1:12">
      <c r="A1693" s="19" t="s">
        <v>1763</v>
      </c>
      <c r="B1693" s="20">
        <v>46190</v>
      </c>
      <c r="C1693" s="19" t="s">
        <v>20</v>
      </c>
      <c r="D1693" s="19" t="s">
        <v>41</v>
      </c>
      <c r="E1693" s="19" t="s">
        <v>15</v>
      </c>
      <c r="F1693" s="19" t="s">
        <v>16</v>
      </c>
      <c r="G1693" s="19" t="s">
        <v>57</v>
      </c>
      <c r="H1693" s="19" t="s">
        <v>63</v>
      </c>
      <c r="I1693" s="19">
        <v>7</v>
      </c>
      <c r="J1693" s="21">
        <v>36.86</v>
      </c>
      <c r="K1693" s="22">
        <v>0.2</v>
      </c>
      <c r="L1693" s="21">
        <v>206.416</v>
      </c>
    </row>
    <row r="1694" spans="1:12">
      <c r="A1694" s="19" t="s">
        <v>1764</v>
      </c>
      <c r="B1694" s="20">
        <v>46346</v>
      </c>
      <c r="C1694" s="19" t="s">
        <v>47</v>
      </c>
      <c r="D1694" s="19" t="s">
        <v>41</v>
      </c>
      <c r="E1694" s="19" t="s">
        <v>15</v>
      </c>
      <c r="F1694" s="19" t="s">
        <v>23</v>
      </c>
      <c r="G1694" s="19" t="s">
        <v>38</v>
      </c>
      <c r="H1694" s="19" t="s">
        <v>50</v>
      </c>
      <c r="I1694" s="19">
        <v>4</v>
      </c>
      <c r="J1694" s="21">
        <v>326.39999999999998</v>
      </c>
      <c r="K1694" s="22">
        <v>0.05</v>
      </c>
      <c r="L1694" s="21">
        <v>1240.32</v>
      </c>
    </row>
    <row r="1695" spans="1:12">
      <c r="A1695" s="19" t="s">
        <v>1765</v>
      </c>
      <c r="B1695" s="20">
        <v>46145</v>
      </c>
      <c r="C1695" s="19" t="s">
        <v>31</v>
      </c>
      <c r="D1695" s="19" t="s">
        <v>21</v>
      </c>
      <c r="E1695" s="19" t="s">
        <v>22</v>
      </c>
      <c r="F1695" s="19" t="s">
        <v>27</v>
      </c>
      <c r="G1695" s="19" t="s">
        <v>32</v>
      </c>
      <c r="H1695" s="19" t="s">
        <v>39</v>
      </c>
      <c r="I1695" s="19">
        <v>2</v>
      </c>
      <c r="J1695" s="21">
        <v>266</v>
      </c>
      <c r="K1695" s="22">
        <v>0.05</v>
      </c>
      <c r="L1695" s="21">
        <v>505.4</v>
      </c>
    </row>
    <row r="1696" spans="1:12">
      <c r="A1696" s="19" t="s">
        <v>1766</v>
      </c>
      <c r="B1696" s="20">
        <v>46040</v>
      </c>
      <c r="C1696" s="19" t="s">
        <v>86</v>
      </c>
      <c r="D1696" s="19" t="s">
        <v>21</v>
      </c>
      <c r="E1696" s="19" t="s">
        <v>15</v>
      </c>
      <c r="F1696" s="19" t="s">
        <v>73</v>
      </c>
      <c r="G1696" s="19" t="s">
        <v>81</v>
      </c>
      <c r="H1696" s="19" t="s">
        <v>93</v>
      </c>
      <c r="I1696" s="19">
        <v>3</v>
      </c>
      <c r="J1696" s="21">
        <v>12.72</v>
      </c>
      <c r="K1696" s="22">
        <v>0.08</v>
      </c>
      <c r="L1696" s="21">
        <v>35.107200000000006</v>
      </c>
    </row>
    <row r="1697" spans="1:12">
      <c r="A1697" s="19" t="s">
        <v>1767</v>
      </c>
      <c r="B1697" s="20">
        <v>46272</v>
      </c>
      <c r="C1697" s="19" t="s">
        <v>13</v>
      </c>
      <c r="D1697" s="19" t="s">
        <v>21</v>
      </c>
      <c r="E1697" s="19" t="s">
        <v>15</v>
      </c>
      <c r="F1697" s="19" t="s">
        <v>60</v>
      </c>
      <c r="G1697" s="19" t="s">
        <v>67</v>
      </c>
      <c r="H1697" s="19" t="s">
        <v>29</v>
      </c>
      <c r="I1697" s="19">
        <v>1</v>
      </c>
      <c r="J1697" s="21">
        <v>1500</v>
      </c>
      <c r="K1697" s="22">
        <v>0.03</v>
      </c>
      <c r="L1697" s="21">
        <v>1455</v>
      </c>
    </row>
    <row r="1698" spans="1:12">
      <c r="A1698" s="19" t="s">
        <v>1768</v>
      </c>
      <c r="B1698" s="20">
        <v>46170</v>
      </c>
      <c r="C1698" s="19" t="s">
        <v>47</v>
      </c>
      <c r="D1698" s="19" t="s">
        <v>14</v>
      </c>
      <c r="E1698" s="19" t="s">
        <v>15</v>
      </c>
      <c r="F1698" s="19" t="s">
        <v>16</v>
      </c>
      <c r="G1698" s="19" t="s">
        <v>57</v>
      </c>
      <c r="H1698" s="19" t="s">
        <v>83</v>
      </c>
      <c r="I1698" s="19">
        <v>1</v>
      </c>
      <c r="J1698" s="21">
        <v>36.1</v>
      </c>
      <c r="K1698" s="22">
        <v>0</v>
      </c>
      <c r="L1698" s="21">
        <v>36.1</v>
      </c>
    </row>
    <row r="1699" spans="1:12">
      <c r="A1699" s="19" t="s">
        <v>1769</v>
      </c>
      <c r="B1699" s="20">
        <v>46147</v>
      </c>
      <c r="C1699" s="19" t="s">
        <v>47</v>
      </c>
      <c r="D1699" s="19" t="s">
        <v>14</v>
      </c>
      <c r="E1699" s="19" t="s">
        <v>15</v>
      </c>
      <c r="F1699" s="19" t="s">
        <v>60</v>
      </c>
      <c r="G1699" s="19" t="s">
        <v>61</v>
      </c>
      <c r="H1699" s="19" t="s">
        <v>55</v>
      </c>
      <c r="I1699" s="19">
        <v>2</v>
      </c>
      <c r="J1699" s="21">
        <v>807.5</v>
      </c>
      <c r="K1699" s="22">
        <v>0.08</v>
      </c>
      <c r="L1699" s="21">
        <v>1485.8</v>
      </c>
    </row>
    <row r="1700" spans="1:12">
      <c r="A1700" s="19" t="s">
        <v>1770</v>
      </c>
      <c r="B1700" s="20">
        <v>46270</v>
      </c>
      <c r="C1700" s="19" t="s">
        <v>31</v>
      </c>
      <c r="D1700" s="19" t="s">
        <v>14</v>
      </c>
      <c r="E1700" s="19" t="s">
        <v>15</v>
      </c>
      <c r="F1700" s="19" t="s">
        <v>16</v>
      </c>
      <c r="G1700" s="19" t="s">
        <v>42</v>
      </c>
      <c r="H1700" s="19" t="s">
        <v>33</v>
      </c>
      <c r="I1700" s="19">
        <v>3</v>
      </c>
      <c r="J1700" s="21">
        <v>42.75</v>
      </c>
      <c r="K1700" s="22">
        <v>0.05</v>
      </c>
      <c r="L1700" s="21">
        <v>121.83749999999999</v>
      </c>
    </row>
    <row r="1701" spans="1:12">
      <c r="A1701" s="19" t="s">
        <v>1771</v>
      </c>
      <c r="B1701" s="20">
        <v>46328</v>
      </c>
      <c r="C1701" s="19" t="s">
        <v>86</v>
      </c>
      <c r="D1701" s="19" t="s">
        <v>14</v>
      </c>
      <c r="E1701" s="19" t="s">
        <v>22</v>
      </c>
      <c r="F1701" s="19" t="s">
        <v>60</v>
      </c>
      <c r="G1701" s="19" t="s">
        <v>76</v>
      </c>
      <c r="H1701" s="19" t="s">
        <v>93</v>
      </c>
      <c r="I1701" s="19">
        <v>1</v>
      </c>
      <c r="J1701" s="21">
        <v>700</v>
      </c>
      <c r="K1701" s="22">
        <v>0.03</v>
      </c>
      <c r="L1701" s="21">
        <v>679</v>
      </c>
    </row>
    <row r="1702" spans="1:12">
      <c r="A1702" s="19" t="s">
        <v>1772</v>
      </c>
      <c r="B1702" s="20">
        <v>46066</v>
      </c>
      <c r="C1702" s="19" t="s">
        <v>20</v>
      </c>
      <c r="D1702" s="19" t="s">
        <v>35</v>
      </c>
      <c r="E1702" s="19" t="s">
        <v>22</v>
      </c>
      <c r="F1702" s="19" t="s">
        <v>16</v>
      </c>
      <c r="G1702" s="19" t="s">
        <v>17</v>
      </c>
      <c r="H1702" s="19" t="s">
        <v>63</v>
      </c>
      <c r="I1702" s="19">
        <v>13</v>
      </c>
      <c r="J1702" s="21">
        <v>15.3</v>
      </c>
      <c r="K1702" s="22">
        <v>0.15</v>
      </c>
      <c r="L1702" s="21">
        <v>169.065</v>
      </c>
    </row>
    <row r="1703" spans="1:12">
      <c r="A1703" s="19" t="s">
        <v>1773</v>
      </c>
      <c r="B1703" s="20">
        <v>46171</v>
      </c>
      <c r="C1703" s="19" t="s">
        <v>47</v>
      </c>
      <c r="D1703" s="19" t="s">
        <v>21</v>
      </c>
      <c r="E1703" s="19" t="s">
        <v>22</v>
      </c>
      <c r="F1703" s="19" t="s">
        <v>60</v>
      </c>
      <c r="G1703" s="19" t="s">
        <v>61</v>
      </c>
      <c r="H1703" s="19" t="s">
        <v>83</v>
      </c>
      <c r="I1703" s="19">
        <v>1</v>
      </c>
      <c r="J1703" s="21">
        <v>824.5</v>
      </c>
      <c r="K1703" s="22">
        <v>0.1</v>
      </c>
      <c r="L1703" s="21">
        <v>742.05000000000007</v>
      </c>
    </row>
    <row r="1704" spans="1:12">
      <c r="A1704" s="19" t="s">
        <v>1774</v>
      </c>
      <c r="B1704" s="20">
        <v>46155</v>
      </c>
      <c r="C1704" s="19" t="s">
        <v>31</v>
      </c>
      <c r="D1704" s="19" t="s">
        <v>41</v>
      </c>
      <c r="E1704" s="19" t="s">
        <v>15</v>
      </c>
      <c r="F1704" s="19" t="s">
        <v>23</v>
      </c>
      <c r="G1704" s="19" t="s">
        <v>38</v>
      </c>
      <c r="H1704" s="19" t="s">
        <v>33</v>
      </c>
      <c r="I1704" s="19">
        <v>6</v>
      </c>
      <c r="J1704" s="21">
        <v>304</v>
      </c>
      <c r="K1704" s="22">
        <v>0.03</v>
      </c>
      <c r="L1704" s="21">
        <v>1769.28</v>
      </c>
    </row>
    <row r="1705" spans="1:12">
      <c r="A1705" s="19" t="s">
        <v>1775</v>
      </c>
      <c r="B1705" s="20">
        <v>46148</v>
      </c>
      <c r="C1705" s="19" t="s">
        <v>31</v>
      </c>
      <c r="D1705" s="19" t="s">
        <v>21</v>
      </c>
      <c r="E1705" s="19" t="s">
        <v>22</v>
      </c>
      <c r="F1705" s="19" t="s">
        <v>16</v>
      </c>
      <c r="G1705" s="19" t="s">
        <v>65</v>
      </c>
      <c r="H1705" s="19" t="s">
        <v>79</v>
      </c>
      <c r="I1705" s="19">
        <v>1</v>
      </c>
      <c r="J1705" s="21">
        <v>80</v>
      </c>
      <c r="K1705" s="22">
        <v>0.05</v>
      </c>
      <c r="L1705" s="21">
        <v>76</v>
      </c>
    </row>
    <row r="1706" spans="1:12">
      <c r="A1706" s="19" t="s">
        <v>1776</v>
      </c>
      <c r="B1706" s="20">
        <v>46353</v>
      </c>
      <c r="C1706" s="19" t="s">
        <v>31</v>
      </c>
      <c r="D1706" s="19" t="s">
        <v>35</v>
      </c>
      <c r="E1706" s="19" t="s">
        <v>22</v>
      </c>
      <c r="F1706" s="19" t="s">
        <v>48</v>
      </c>
      <c r="G1706" s="19" t="s">
        <v>49</v>
      </c>
      <c r="H1706" s="19" t="s">
        <v>39</v>
      </c>
      <c r="I1706" s="19">
        <v>1</v>
      </c>
      <c r="J1706" s="21">
        <v>4200</v>
      </c>
      <c r="K1706" s="22">
        <v>0.15</v>
      </c>
      <c r="L1706" s="21">
        <v>3570</v>
      </c>
    </row>
    <row r="1707" spans="1:12">
      <c r="A1707" s="19" t="s">
        <v>1777</v>
      </c>
      <c r="B1707" s="20">
        <v>46268</v>
      </c>
      <c r="C1707" s="19" t="s">
        <v>86</v>
      </c>
      <c r="D1707" s="19" t="s">
        <v>41</v>
      </c>
      <c r="E1707" s="19" t="s">
        <v>22</v>
      </c>
      <c r="F1707" s="19" t="s">
        <v>60</v>
      </c>
      <c r="G1707" s="19" t="s">
        <v>76</v>
      </c>
      <c r="H1707" s="19" t="s">
        <v>102</v>
      </c>
      <c r="I1707" s="19">
        <v>2</v>
      </c>
      <c r="J1707" s="21">
        <v>665</v>
      </c>
      <c r="K1707" s="22">
        <v>0.08</v>
      </c>
      <c r="L1707" s="21">
        <v>1223.6000000000001</v>
      </c>
    </row>
    <row r="1708" spans="1:12">
      <c r="A1708" s="19" t="s">
        <v>1778</v>
      </c>
      <c r="B1708" s="20">
        <v>46057</v>
      </c>
      <c r="C1708" s="19" t="s">
        <v>20</v>
      </c>
      <c r="D1708" s="19" t="s">
        <v>14</v>
      </c>
      <c r="E1708" s="19" t="s">
        <v>22</v>
      </c>
      <c r="F1708" s="19" t="s">
        <v>60</v>
      </c>
      <c r="G1708" s="19" t="s">
        <v>91</v>
      </c>
      <c r="H1708" s="19" t="s">
        <v>63</v>
      </c>
      <c r="I1708" s="19">
        <v>2</v>
      </c>
      <c r="J1708" s="21">
        <v>591.6</v>
      </c>
      <c r="K1708" s="22">
        <v>0.05</v>
      </c>
      <c r="L1708" s="21">
        <v>1124.04</v>
      </c>
    </row>
    <row r="1709" spans="1:12">
      <c r="A1709" s="19" t="s">
        <v>1779</v>
      </c>
      <c r="B1709" s="20">
        <v>46104</v>
      </c>
      <c r="C1709" s="19" t="s">
        <v>31</v>
      </c>
      <c r="D1709" s="19" t="s">
        <v>21</v>
      </c>
      <c r="E1709" s="19" t="s">
        <v>15</v>
      </c>
      <c r="F1709" s="19" t="s">
        <v>16</v>
      </c>
      <c r="G1709" s="19" t="s">
        <v>57</v>
      </c>
      <c r="H1709" s="19" t="s">
        <v>39</v>
      </c>
      <c r="I1709" s="19">
        <v>2</v>
      </c>
      <c r="J1709" s="21">
        <v>38</v>
      </c>
      <c r="K1709" s="22">
        <v>0.08</v>
      </c>
      <c r="L1709" s="21">
        <v>69.92</v>
      </c>
    </row>
    <row r="1710" spans="1:12">
      <c r="A1710" s="19" t="s">
        <v>1780</v>
      </c>
      <c r="B1710" s="20">
        <v>46241</v>
      </c>
      <c r="C1710" s="19" t="s">
        <v>31</v>
      </c>
      <c r="D1710" s="19" t="s">
        <v>41</v>
      </c>
      <c r="E1710" s="19" t="s">
        <v>22</v>
      </c>
      <c r="F1710" s="19" t="s">
        <v>16</v>
      </c>
      <c r="G1710" s="19" t="s">
        <v>65</v>
      </c>
      <c r="H1710" s="19" t="s">
        <v>33</v>
      </c>
      <c r="I1710" s="19">
        <v>6</v>
      </c>
      <c r="J1710" s="21">
        <v>84.8</v>
      </c>
      <c r="K1710" s="22">
        <v>0.15</v>
      </c>
      <c r="L1710" s="21">
        <v>432.47999999999996</v>
      </c>
    </row>
    <row r="1711" spans="1:12">
      <c r="A1711" s="19" t="s">
        <v>1781</v>
      </c>
      <c r="B1711" s="20">
        <v>46171</v>
      </c>
      <c r="C1711" s="19" t="s">
        <v>86</v>
      </c>
      <c r="D1711" s="19" t="s">
        <v>14</v>
      </c>
      <c r="E1711" s="19" t="s">
        <v>15</v>
      </c>
      <c r="F1711" s="19" t="s">
        <v>60</v>
      </c>
      <c r="G1711" s="19" t="s">
        <v>61</v>
      </c>
      <c r="H1711" s="19" t="s">
        <v>87</v>
      </c>
      <c r="I1711" s="19">
        <v>1</v>
      </c>
      <c r="J1711" s="21">
        <v>901</v>
      </c>
      <c r="K1711" s="22">
        <v>0</v>
      </c>
      <c r="L1711" s="21">
        <v>901</v>
      </c>
    </row>
    <row r="1712" spans="1:12">
      <c r="A1712" s="19" t="s">
        <v>1782</v>
      </c>
      <c r="B1712" s="20">
        <v>46091</v>
      </c>
      <c r="C1712" s="19" t="s">
        <v>20</v>
      </c>
      <c r="D1712" s="19" t="s">
        <v>21</v>
      </c>
      <c r="E1712" s="19" t="s">
        <v>22</v>
      </c>
      <c r="F1712" s="19" t="s">
        <v>48</v>
      </c>
      <c r="G1712" s="19" t="s">
        <v>96</v>
      </c>
      <c r="H1712" s="19" t="s">
        <v>63</v>
      </c>
      <c r="I1712" s="19">
        <v>1</v>
      </c>
      <c r="J1712" s="21">
        <v>2375</v>
      </c>
      <c r="K1712" s="22">
        <v>0.03</v>
      </c>
      <c r="L1712" s="21">
        <v>2303.75</v>
      </c>
    </row>
    <row r="1713" spans="1:12">
      <c r="A1713" s="19" t="s">
        <v>1783</v>
      </c>
      <c r="B1713" s="20">
        <v>46377</v>
      </c>
      <c r="C1713" s="19" t="s">
        <v>31</v>
      </c>
      <c r="D1713" s="19" t="s">
        <v>14</v>
      </c>
      <c r="E1713" s="19" t="s">
        <v>22</v>
      </c>
      <c r="F1713" s="19" t="s">
        <v>60</v>
      </c>
      <c r="G1713" s="19" t="s">
        <v>91</v>
      </c>
      <c r="H1713" s="19" t="s">
        <v>33</v>
      </c>
      <c r="I1713" s="19">
        <v>1</v>
      </c>
      <c r="J1713" s="21">
        <v>562.6</v>
      </c>
      <c r="K1713" s="22">
        <v>0.2</v>
      </c>
      <c r="L1713" s="21">
        <v>450.08000000000004</v>
      </c>
    </row>
    <row r="1714" spans="1:12">
      <c r="A1714" s="19" t="s">
        <v>1784</v>
      </c>
      <c r="B1714" s="20">
        <v>46257</v>
      </c>
      <c r="C1714" s="19" t="s">
        <v>31</v>
      </c>
      <c r="D1714" s="19" t="s">
        <v>14</v>
      </c>
      <c r="E1714" s="19" t="s">
        <v>15</v>
      </c>
      <c r="F1714" s="19" t="s">
        <v>23</v>
      </c>
      <c r="G1714" s="19" t="s">
        <v>52</v>
      </c>
      <c r="H1714" s="19" t="s">
        <v>79</v>
      </c>
      <c r="I1714" s="19">
        <v>1</v>
      </c>
      <c r="J1714" s="21">
        <v>450</v>
      </c>
      <c r="K1714" s="22">
        <v>0</v>
      </c>
      <c r="L1714" s="21">
        <v>450</v>
      </c>
    </row>
    <row r="1715" spans="1:12">
      <c r="A1715" s="19" t="s">
        <v>1785</v>
      </c>
      <c r="B1715" s="20">
        <v>46135</v>
      </c>
      <c r="C1715" s="19" t="s">
        <v>13</v>
      </c>
      <c r="D1715" s="19" t="s">
        <v>14</v>
      </c>
      <c r="E1715" s="19" t="s">
        <v>15</v>
      </c>
      <c r="F1715" s="19" t="s">
        <v>23</v>
      </c>
      <c r="G1715" s="19" t="s">
        <v>24</v>
      </c>
      <c r="H1715" s="19" t="s">
        <v>18</v>
      </c>
      <c r="I1715" s="19">
        <v>5</v>
      </c>
      <c r="J1715" s="21">
        <v>91.8</v>
      </c>
      <c r="K1715" s="22">
        <v>0</v>
      </c>
      <c r="L1715" s="21">
        <v>459</v>
      </c>
    </row>
    <row r="1716" spans="1:12">
      <c r="A1716" s="19" t="s">
        <v>1786</v>
      </c>
      <c r="B1716" s="20">
        <v>46135</v>
      </c>
      <c r="C1716" s="19" t="s">
        <v>31</v>
      </c>
      <c r="D1716" s="19" t="s">
        <v>41</v>
      </c>
      <c r="E1716" s="19" t="s">
        <v>22</v>
      </c>
      <c r="F1716" s="19" t="s">
        <v>60</v>
      </c>
      <c r="G1716" s="19" t="s">
        <v>76</v>
      </c>
      <c r="H1716" s="19" t="s">
        <v>33</v>
      </c>
      <c r="I1716" s="19">
        <v>3</v>
      </c>
      <c r="J1716" s="21">
        <v>714</v>
      </c>
      <c r="K1716" s="22">
        <v>0.05</v>
      </c>
      <c r="L1716" s="21">
        <v>2034.8999999999999</v>
      </c>
    </row>
    <row r="1717" spans="1:12">
      <c r="A1717" s="19" t="s">
        <v>1787</v>
      </c>
      <c r="B1717" s="20">
        <v>46103</v>
      </c>
      <c r="C1717" s="19" t="s">
        <v>47</v>
      </c>
      <c r="D1717" s="19" t="s">
        <v>14</v>
      </c>
      <c r="E1717" s="19" t="s">
        <v>22</v>
      </c>
      <c r="F1717" s="19" t="s">
        <v>60</v>
      </c>
      <c r="G1717" s="19" t="s">
        <v>76</v>
      </c>
      <c r="H1717" s="19" t="s">
        <v>55</v>
      </c>
      <c r="I1717" s="19">
        <v>1</v>
      </c>
      <c r="J1717" s="21">
        <v>742</v>
      </c>
      <c r="K1717" s="22">
        <v>0.05</v>
      </c>
      <c r="L1717" s="21">
        <v>704.9</v>
      </c>
    </row>
    <row r="1718" spans="1:12">
      <c r="A1718" s="19" t="s">
        <v>1788</v>
      </c>
      <c r="B1718" s="20">
        <v>46071</v>
      </c>
      <c r="C1718" s="19" t="s">
        <v>31</v>
      </c>
      <c r="D1718" s="19" t="s">
        <v>35</v>
      </c>
      <c r="E1718" s="19" t="s">
        <v>22</v>
      </c>
      <c r="F1718" s="19" t="s">
        <v>23</v>
      </c>
      <c r="G1718" s="19" t="s">
        <v>52</v>
      </c>
      <c r="H1718" s="19" t="s">
        <v>39</v>
      </c>
      <c r="I1718" s="19">
        <v>9</v>
      </c>
      <c r="J1718" s="21">
        <v>468</v>
      </c>
      <c r="K1718" s="22">
        <v>0.15</v>
      </c>
      <c r="L1718" s="21">
        <v>3580.2</v>
      </c>
    </row>
    <row r="1719" spans="1:12">
      <c r="A1719" s="19" t="s">
        <v>1789</v>
      </c>
      <c r="B1719" s="20">
        <v>46032</v>
      </c>
      <c r="C1719" s="19" t="s">
        <v>86</v>
      </c>
      <c r="D1719" s="19" t="s">
        <v>21</v>
      </c>
      <c r="E1719" s="19" t="s">
        <v>22</v>
      </c>
      <c r="F1719" s="19" t="s">
        <v>16</v>
      </c>
      <c r="G1719" s="19" t="s">
        <v>17</v>
      </c>
      <c r="H1719" s="19" t="s">
        <v>102</v>
      </c>
      <c r="I1719" s="19">
        <v>1</v>
      </c>
      <c r="J1719" s="21">
        <v>15</v>
      </c>
      <c r="K1719" s="22">
        <v>0.1</v>
      </c>
      <c r="L1719" s="21">
        <v>13.5</v>
      </c>
    </row>
    <row r="1720" spans="1:12">
      <c r="A1720" s="19" t="s">
        <v>1790</v>
      </c>
      <c r="B1720" s="20">
        <v>46136</v>
      </c>
      <c r="C1720" s="19" t="s">
        <v>20</v>
      </c>
      <c r="D1720" s="19" t="s">
        <v>14</v>
      </c>
      <c r="E1720" s="19" t="s">
        <v>22</v>
      </c>
      <c r="F1720" s="19" t="s">
        <v>48</v>
      </c>
      <c r="G1720" s="19" t="s">
        <v>96</v>
      </c>
      <c r="H1720" s="19" t="s">
        <v>25</v>
      </c>
      <c r="I1720" s="19">
        <v>2</v>
      </c>
      <c r="J1720" s="21">
        <v>2425</v>
      </c>
      <c r="K1720" s="22">
        <v>0.03</v>
      </c>
      <c r="L1720" s="21">
        <v>4704.5</v>
      </c>
    </row>
    <row r="1721" spans="1:12">
      <c r="A1721" s="19" t="s">
        <v>1791</v>
      </c>
      <c r="B1721" s="20">
        <v>46174</v>
      </c>
      <c r="C1721" s="19" t="s">
        <v>20</v>
      </c>
      <c r="D1721" s="19" t="s">
        <v>14</v>
      </c>
      <c r="E1721" s="19" t="s">
        <v>22</v>
      </c>
      <c r="F1721" s="19" t="s">
        <v>48</v>
      </c>
      <c r="G1721" s="19" t="s">
        <v>49</v>
      </c>
      <c r="H1721" s="19" t="s">
        <v>25</v>
      </c>
      <c r="I1721" s="19">
        <v>1</v>
      </c>
      <c r="J1721" s="21">
        <v>4368</v>
      </c>
      <c r="K1721" s="22">
        <v>0.15</v>
      </c>
      <c r="L1721" s="21">
        <v>3712.7999999999997</v>
      </c>
    </row>
    <row r="1722" spans="1:12">
      <c r="A1722" s="19" t="s">
        <v>1792</v>
      </c>
      <c r="B1722" s="20">
        <v>46196</v>
      </c>
      <c r="C1722" s="19" t="s">
        <v>86</v>
      </c>
      <c r="D1722" s="19" t="s">
        <v>14</v>
      </c>
      <c r="E1722" s="19" t="s">
        <v>22</v>
      </c>
      <c r="F1722" s="19" t="s">
        <v>73</v>
      </c>
      <c r="G1722" s="19" t="s">
        <v>129</v>
      </c>
      <c r="H1722" s="19" t="s">
        <v>102</v>
      </c>
      <c r="I1722" s="19">
        <v>1</v>
      </c>
      <c r="J1722" s="21">
        <v>35.700000000000003</v>
      </c>
      <c r="K1722" s="22">
        <v>0.1</v>
      </c>
      <c r="L1722" s="21">
        <v>32.130000000000003</v>
      </c>
    </row>
    <row r="1723" spans="1:12">
      <c r="A1723" s="19" t="s">
        <v>1793</v>
      </c>
      <c r="B1723" s="20">
        <v>46114</v>
      </c>
      <c r="C1723" s="19" t="s">
        <v>20</v>
      </c>
      <c r="D1723" s="19" t="s">
        <v>21</v>
      </c>
      <c r="E1723" s="19" t="s">
        <v>22</v>
      </c>
      <c r="F1723" s="19" t="s">
        <v>23</v>
      </c>
      <c r="G1723" s="19" t="s">
        <v>38</v>
      </c>
      <c r="H1723" s="19" t="s">
        <v>63</v>
      </c>
      <c r="I1723" s="19">
        <v>3</v>
      </c>
      <c r="J1723" s="21">
        <v>320</v>
      </c>
      <c r="K1723" s="22">
        <v>0.05</v>
      </c>
      <c r="L1723" s="21">
        <v>912</v>
      </c>
    </row>
    <row r="1724" spans="1:12">
      <c r="A1724" s="19" t="s">
        <v>1794</v>
      </c>
      <c r="B1724" s="20">
        <v>46278</v>
      </c>
      <c r="C1724" s="19" t="s">
        <v>31</v>
      </c>
      <c r="D1724" s="19" t="s">
        <v>14</v>
      </c>
      <c r="E1724" s="19" t="s">
        <v>22</v>
      </c>
      <c r="F1724" s="19" t="s">
        <v>48</v>
      </c>
      <c r="G1724" s="19" t="s">
        <v>49</v>
      </c>
      <c r="H1724" s="19" t="s">
        <v>33</v>
      </c>
      <c r="I1724" s="19">
        <v>1</v>
      </c>
      <c r="J1724" s="21">
        <v>4074</v>
      </c>
      <c r="K1724" s="22">
        <v>0.2</v>
      </c>
      <c r="L1724" s="21">
        <v>3259.2000000000003</v>
      </c>
    </row>
    <row r="1725" spans="1:12">
      <c r="A1725" s="19" t="s">
        <v>1795</v>
      </c>
      <c r="B1725" s="20">
        <v>46095</v>
      </c>
      <c r="C1725" s="19" t="s">
        <v>13</v>
      </c>
      <c r="D1725" s="19" t="s">
        <v>41</v>
      </c>
      <c r="E1725" s="19" t="s">
        <v>22</v>
      </c>
      <c r="F1725" s="19" t="s">
        <v>27</v>
      </c>
      <c r="G1725" s="19" t="s">
        <v>28</v>
      </c>
      <c r="H1725" s="19" t="s">
        <v>43</v>
      </c>
      <c r="I1725" s="19">
        <v>4</v>
      </c>
      <c r="J1725" s="21">
        <v>20</v>
      </c>
      <c r="K1725" s="22">
        <v>0</v>
      </c>
      <c r="L1725" s="21">
        <v>80</v>
      </c>
    </row>
    <row r="1726" spans="1:12">
      <c r="A1726" s="19" t="s">
        <v>1796</v>
      </c>
      <c r="B1726" s="20">
        <v>46347</v>
      </c>
      <c r="C1726" s="19" t="s">
        <v>47</v>
      </c>
      <c r="D1726" s="19" t="s">
        <v>14</v>
      </c>
      <c r="E1726" s="19" t="s">
        <v>22</v>
      </c>
      <c r="F1726" s="19" t="s">
        <v>27</v>
      </c>
      <c r="G1726" s="19" t="s">
        <v>32</v>
      </c>
      <c r="H1726" s="19" t="s">
        <v>83</v>
      </c>
      <c r="I1726" s="19">
        <v>1</v>
      </c>
      <c r="J1726" s="21">
        <v>291.2</v>
      </c>
      <c r="K1726" s="22">
        <v>0.05</v>
      </c>
      <c r="L1726" s="21">
        <v>276.64</v>
      </c>
    </row>
    <row r="1727" spans="1:12">
      <c r="A1727" s="19" t="s">
        <v>1797</v>
      </c>
      <c r="B1727" s="20">
        <v>46379</v>
      </c>
      <c r="C1727" s="19" t="s">
        <v>31</v>
      </c>
      <c r="D1727" s="19" t="s">
        <v>21</v>
      </c>
      <c r="E1727" s="19" t="s">
        <v>22</v>
      </c>
      <c r="F1727" s="19" t="s">
        <v>48</v>
      </c>
      <c r="G1727" s="19" t="s">
        <v>96</v>
      </c>
      <c r="H1727" s="19" t="s">
        <v>39</v>
      </c>
      <c r="I1727" s="19">
        <v>2</v>
      </c>
      <c r="J1727" s="21">
        <v>2550</v>
      </c>
      <c r="K1727" s="22">
        <v>0.15</v>
      </c>
      <c r="L1727" s="21">
        <v>4335</v>
      </c>
    </row>
    <row r="1728" spans="1:12">
      <c r="A1728" s="19" t="s">
        <v>1798</v>
      </c>
      <c r="B1728" s="20">
        <v>46366</v>
      </c>
      <c r="C1728" s="19" t="s">
        <v>47</v>
      </c>
      <c r="D1728" s="19" t="s">
        <v>41</v>
      </c>
      <c r="E1728" s="19" t="s">
        <v>15</v>
      </c>
      <c r="F1728" s="19" t="s">
        <v>48</v>
      </c>
      <c r="G1728" s="19" t="s">
        <v>71</v>
      </c>
      <c r="H1728" s="19" t="s">
        <v>83</v>
      </c>
      <c r="I1728" s="19">
        <v>1</v>
      </c>
      <c r="J1728" s="21">
        <v>3264</v>
      </c>
      <c r="K1728" s="22">
        <v>0.05</v>
      </c>
      <c r="L1728" s="21">
        <v>3100.7999999999997</v>
      </c>
    </row>
    <row r="1729" spans="1:12">
      <c r="A1729" s="19" t="s">
        <v>1799</v>
      </c>
      <c r="B1729" s="20">
        <v>46387</v>
      </c>
      <c r="C1729" s="19" t="s">
        <v>47</v>
      </c>
      <c r="D1729" s="19" t="s">
        <v>41</v>
      </c>
      <c r="E1729" s="19" t="s">
        <v>15</v>
      </c>
      <c r="F1729" s="19" t="s">
        <v>16</v>
      </c>
      <c r="G1729" s="19" t="s">
        <v>57</v>
      </c>
      <c r="H1729" s="19" t="s">
        <v>55</v>
      </c>
      <c r="I1729" s="19">
        <v>2</v>
      </c>
      <c r="J1729" s="21">
        <v>40.28</v>
      </c>
      <c r="K1729" s="22">
        <v>0.08</v>
      </c>
      <c r="L1729" s="21">
        <v>74.115200000000002</v>
      </c>
    </row>
    <row r="1730" spans="1:12">
      <c r="A1730" s="19" t="s">
        <v>1800</v>
      </c>
      <c r="B1730" s="20">
        <v>46140</v>
      </c>
      <c r="C1730" s="19" t="s">
        <v>20</v>
      </c>
      <c r="D1730" s="19" t="s">
        <v>35</v>
      </c>
      <c r="E1730" s="19" t="s">
        <v>22</v>
      </c>
      <c r="F1730" s="19" t="s">
        <v>60</v>
      </c>
      <c r="G1730" s="19" t="s">
        <v>67</v>
      </c>
      <c r="H1730" s="19" t="s">
        <v>58</v>
      </c>
      <c r="I1730" s="19">
        <v>1</v>
      </c>
      <c r="J1730" s="21">
        <v>1590</v>
      </c>
      <c r="K1730" s="22">
        <v>0.05</v>
      </c>
      <c r="L1730" s="21">
        <v>1510.5</v>
      </c>
    </row>
    <row r="1731" spans="1:12">
      <c r="A1731" s="19" t="s">
        <v>1801</v>
      </c>
      <c r="B1731" s="20">
        <v>46289</v>
      </c>
      <c r="C1731" s="19" t="s">
        <v>47</v>
      </c>
      <c r="D1731" s="19" t="s">
        <v>14</v>
      </c>
      <c r="E1731" s="19" t="s">
        <v>22</v>
      </c>
      <c r="F1731" s="19" t="s">
        <v>27</v>
      </c>
      <c r="G1731" s="19" t="s">
        <v>28</v>
      </c>
      <c r="H1731" s="19" t="s">
        <v>83</v>
      </c>
      <c r="I1731" s="19">
        <v>2</v>
      </c>
      <c r="J1731" s="21">
        <v>20</v>
      </c>
      <c r="K1731" s="22">
        <v>0.03</v>
      </c>
      <c r="L1731" s="21">
        <v>38.799999999999997</v>
      </c>
    </row>
    <row r="1732" spans="1:12">
      <c r="A1732" s="19" t="s">
        <v>1802</v>
      </c>
      <c r="B1732" s="20">
        <v>46262</v>
      </c>
      <c r="C1732" s="19" t="s">
        <v>86</v>
      </c>
      <c r="D1732" s="19" t="s">
        <v>21</v>
      </c>
      <c r="E1732" s="19" t="s">
        <v>22</v>
      </c>
      <c r="F1732" s="19" t="s">
        <v>73</v>
      </c>
      <c r="G1732" s="19" t="s">
        <v>145</v>
      </c>
      <c r="H1732" s="19" t="s">
        <v>93</v>
      </c>
      <c r="I1732" s="19">
        <v>2</v>
      </c>
      <c r="J1732" s="21">
        <v>17.46</v>
      </c>
      <c r="K1732" s="22">
        <v>0.15</v>
      </c>
      <c r="L1732" s="21">
        <v>29.682000000000002</v>
      </c>
    </row>
    <row r="1733" spans="1:12">
      <c r="A1733" s="19" t="s">
        <v>1803</v>
      </c>
      <c r="B1733" s="20">
        <v>46064</v>
      </c>
      <c r="C1733" s="19" t="s">
        <v>86</v>
      </c>
      <c r="D1733" s="19" t="s">
        <v>14</v>
      </c>
      <c r="E1733" s="19" t="s">
        <v>22</v>
      </c>
      <c r="F1733" s="19" t="s">
        <v>16</v>
      </c>
      <c r="G1733" s="19" t="s">
        <v>57</v>
      </c>
      <c r="H1733" s="19" t="s">
        <v>93</v>
      </c>
      <c r="I1733" s="19">
        <v>3</v>
      </c>
      <c r="J1733" s="21">
        <v>38</v>
      </c>
      <c r="K1733" s="22">
        <v>0.1</v>
      </c>
      <c r="L1733" s="21">
        <v>102.60000000000001</v>
      </c>
    </row>
    <row r="1734" spans="1:12">
      <c r="A1734" s="19" t="s">
        <v>1804</v>
      </c>
      <c r="B1734" s="20">
        <v>46315</v>
      </c>
      <c r="C1734" s="19" t="s">
        <v>31</v>
      </c>
      <c r="D1734" s="19" t="s">
        <v>35</v>
      </c>
      <c r="E1734" s="19" t="s">
        <v>22</v>
      </c>
      <c r="F1734" s="19" t="s">
        <v>60</v>
      </c>
      <c r="G1734" s="19" t="s">
        <v>67</v>
      </c>
      <c r="H1734" s="19" t="s">
        <v>79</v>
      </c>
      <c r="I1734" s="19">
        <v>1</v>
      </c>
      <c r="J1734" s="21">
        <v>1590</v>
      </c>
      <c r="K1734" s="22">
        <v>0.15</v>
      </c>
      <c r="L1734" s="21">
        <v>1351.5</v>
      </c>
    </row>
    <row r="1735" spans="1:12">
      <c r="A1735" s="19" t="s">
        <v>1805</v>
      </c>
      <c r="B1735" s="20">
        <v>46050</v>
      </c>
      <c r="C1735" s="19" t="s">
        <v>47</v>
      </c>
      <c r="D1735" s="19" t="s">
        <v>14</v>
      </c>
      <c r="E1735" s="19" t="s">
        <v>22</v>
      </c>
      <c r="F1735" s="19" t="s">
        <v>23</v>
      </c>
      <c r="G1735" s="19" t="s">
        <v>52</v>
      </c>
      <c r="H1735" s="19" t="s">
        <v>83</v>
      </c>
      <c r="I1735" s="19">
        <v>1</v>
      </c>
      <c r="J1735" s="21">
        <v>450</v>
      </c>
      <c r="K1735" s="22">
        <v>0</v>
      </c>
      <c r="L1735" s="21">
        <v>450</v>
      </c>
    </row>
    <row r="1736" spans="1:12">
      <c r="A1736" s="19" t="s">
        <v>1806</v>
      </c>
      <c r="B1736" s="20">
        <v>46044</v>
      </c>
      <c r="C1736" s="19" t="s">
        <v>47</v>
      </c>
      <c r="D1736" s="19" t="s">
        <v>35</v>
      </c>
      <c r="E1736" s="19" t="s">
        <v>22</v>
      </c>
      <c r="F1736" s="19" t="s">
        <v>48</v>
      </c>
      <c r="G1736" s="19" t="s">
        <v>96</v>
      </c>
      <c r="H1736" s="19" t="s">
        <v>83</v>
      </c>
      <c r="I1736" s="19">
        <v>2</v>
      </c>
      <c r="J1736" s="21">
        <v>2600</v>
      </c>
      <c r="K1736" s="22">
        <v>0.05</v>
      </c>
      <c r="L1736" s="21">
        <v>4940</v>
      </c>
    </row>
    <row r="1737" spans="1:12">
      <c r="A1737" s="19" t="s">
        <v>1807</v>
      </c>
      <c r="B1737" s="20">
        <v>46333</v>
      </c>
      <c r="C1737" s="19" t="s">
        <v>13</v>
      </c>
      <c r="D1737" s="19" t="s">
        <v>14</v>
      </c>
      <c r="E1737" s="19" t="s">
        <v>22</v>
      </c>
      <c r="F1737" s="19" t="s">
        <v>16</v>
      </c>
      <c r="G1737" s="19" t="s">
        <v>69</v>
      </c>
      <c r="H1737" s="19" t="s">
        <v>18</v>
      </c>
      <c r="I1737" s="19">
        <v>1</v>
      </c>
      <c r="J1737" s="21">
        <v>55</v>
      </c>
      <c r="K1737" s="22">
        <v>0.2</v>
      </c>
      <c r="L1737" s="21">
        <v>44</v>
      </c>
    </row>
    <row r="1738" spans="1:12">
      <c r="A1738" s="19" t="s">
        <v>1808</v>
      </c>
      <c r="B1738" s="20">
        <v>46043</v>
      </c>
      <c r="C1738" s="19" t="s">
        <v>13</v>
      </c>
      <c r="D1738" s="19" t="s">
        <v>14</v>
      </c>
      <c r="E1738" s="19" t="s">
        <v>22</v>
      </c>
      <c r="F1738" s="19" t="s">
        <v>73</v>
      </c>
      <c r="G1738" s="19" t="s">
        <v>81</v>
      </c>
      <c r="H1738" s="19" t="s">
        <v>43</v>
      </c>
      <c r="I1738" s="19">
        <v>6</v>
      </c>
      <c r="J1738" s="21">
        <v>12</v>
      </c>
      <c r="K1738" s="22">
        <v>0</v>
      </c>
      <c r="L1738" s="21">
        <v>72</v>
      </c>
    </row>
    <row r="1739" spans="1:12">
      <c r="A1739" s="19" t="s">
        <v>1809</v>
      </c>
      <c r="B1739" s="20">
        <v>46206</v>
      </c>
      <c r="C1739" s="19" t="s">
        <v>47</v>
      </c>
      <c r="D1739" s="19" t="s">
        <v>21</v>
      </c>
      <c r="E1739" s="19" t="s">
        <v>15</v>
      </c>
      <c r="F1739" s="19" t="s">
        <v>16</v>
      </c>
      <c r="G1739" s="19" t="s">
        <v>17</v>
      </c>
      <c r="H1739" s="19" t="s">
        <v>55</v>
      </c>
      <c r="I1739" s="19">
        <v>4</v>
      </c>
      <c r="J1739" s="21">
        <v>15</v>
      </c>
      <c r="K1739" s="22">
        <v>0</v>
      </c>
      <c r="L1739" s="21">
        <v>60</v>
      </c>
    </row>
    <row r="1740" spans="1:12">
      <c r="A1740" s="19" t="s">
        <v>1810</v>
      </c>
      <c r="B1740" s="20">
        <v>46335</v>
      </c>
      <c r="C1740" s="19" t="s">
        <v>86</v>
      </c>
      <c r="D1740" s="19" t="s">
        <v>35</v>
      </c>
      <c r="E1740" s="19" t="s">
        <v>22</v>
      </c>
      <c r="F1740" s="19" t="s">
        <v>60</v>
      </c>
      <c r="G1740" s="19" t="s">
        <v>91</v>
      </c>
      <c r="H1740" s="19" t="s">
        <v>87</v>
      </c>
      <c r="I1740" s="19">
        <v>1</v>
      </c>
      <c r="J1740" s="21">
        <v>614.79999999999995</v>
      </c>
      <c r="K1740" s="22">
        <v>0.2</v>
      </c>
      <c r="L1740" s="21">
        <v>491.84</v>
      </c>
    </row>
    <row r="1741" spans="1:12">
      <c r="A1741" s="19" t="s">
        <v>1811</v>
      </c>
      <c r="B1741" s="20">
        <v>46378</v>
      </c>
      <c r="C1741" s="19" t="s">
        <v>31</v>
      </c>
      <c r="D1741" s="19" t="s">
        <v>21</v>
      </c>
      <c r="E1741" s="19" t="s">
        <v>22</v>
      </c>
      <c r="F1741" s="19" t="s">
        <v>73</v>
      </c>
      <c r="G1741" s="19" t="s">
        <v>81</v>
      </c>
      <c r="H1741" s="19" t="s">
        <v>79</v>
      </c>
      <c r="I1741" s="19">
        <v>6</v>
      </c>
      <c r="J1741" s="21">
        <v>12</v>
      </c>
      <c r="K1741" s="22">
        <v>0.08</v>
      </c>
      <c r="L1741" s="21">
        <v>66.240000000000009</v>
      </c>
    </row>
    <row r="1742" spans="1:12">
      <c r="A1742" s="19" t="s">
        <v>1812</v>
      </c>
      <c r="B1742" s="20">
        <v>46247</v>
      </c>
      <c r="C1742" s="19" t="s">
        <v>13</v>
      </c>
      <c r="D1742" s="19" t="s">
        <v>21</v>
      </c>
      <c r="E1742" s="19" t="s">
        <v>15</v>
      </c>
      <c r="F1742" s="19" t="s">
        <v>16</v>
      </c>
      <c r="G1742" s="19" t="s">
        <v>57</v>
      </c>
      <c r="H1742" s="19" t="s">
        <v>43</v>
      </c>
      <c r="I1742" s="19">
        <v>3</v>
      </c>
      <c r="J1742" s="21">
        <v>36.1</v>
      </c>
      <c r="K1742" s="22">
        <v>0</v>
      </c>
      <c r="L1742" s="21">
        <v>108.30000000000001</v>
      </c>
    </row>
    <row r="1743" spans="1:12">
      <c r="A1743" s="19" t="s">
        <v>1813</v>
      </c>
      <c r="B1743" s="20">
        <v>46292</v>
      </c>
      <c r="C1743" s="19" t="s">
        <v>31</v>
      </c>
      <c r="D1743" s="19" t="s">
        <v>21</v>
      </c>
      <c r="E1743" s="19" t="s">
        <v>22</v>
      </c>
      <c r="F1743" s="19" t="s">
        <v>16</v>
      </c>
      <c r="G1743" s="19" t="s">
        <v>57</v>
      </c>
      <c r="H1743" s="19" t="s">
        <v>79</v>
      </c>
      <c r="I1743" s="19">
        <v>3</v>
      </c>
      <c r="J1743" s="21">
        <v>38.76</v>
      </c>
      <c r="K1743" s="22">
        <v>0.08</v>
      </c>
      <c r="L1743" s="21">
        <v>106.97760000000001</v>
      </c>
    </row>
    <row r="1744" spans="1:12">
      <c r="A1744" s="19" t="s">
        <v>1814</v>
      </c>
      <c r="B1744" s="20">
        <v>46052</v>
      </c>
      <c r="C1744" s="19" t="s">
        <v>31</v>
      </c>
      <c r="D1744" s="19" t="s">
        <v>41</v>
      </c>
      <c r="E1744" s="19" t="s">
        <v>15</v>
      </c>
      <c r="F1744" s="19" t="s">
        <v>16</v>
      </c>
      <c r="G1744" s="19" t="s">
        <v>57</v>
      </c>
      <c r="H1744" s="19" t="s">
        <v>79</v>
      </c>
      <c r="I1744" s="19">
        <v>2</v>
      </c>
      <c r="J1744" s="21">
        <v>38</v>
      </c>
      <c r="K1744" s="22">
        <v>0.1</v>
      </c>
      <c r="L1744" s="21">
        <v>68.400000000000006</v>
      </c>
    </row>
    <row r="1745" spans="1:12">
      <c r="A1745" s="19" t="s">
        <v>1815</v>
      </c>
      <c r="B1745" s="20">
        <v>46054</v>
      </c>
      <c r="C1745" s="19" t="s">
        <v>20</v>
      </c>
      <c r="D1745" s="19" t="s">
        <v>14</v>
      </c>
      <c r="E1745" s="19" t="s">
        <v>22</v>
      </c>
      <c r="F1745" s="19" t="s">
        <v>23</v>
      </c>
      <c r="G1745" s="19" t="s">
        <v>38</v>
      </c>
      <c r="H1745" s="19" t="s">
        <v>25</v>
      </c>
      <c r="I1745" s="19">
        <v>3</v>
      </c>
      <c r="J1745" s="21">
        <v>332.8</v>
      </c>
      <c r="K1745" s="22">
        <v>0.08</v>
      </c>
      <c r="L1745" s="21">
        <v>918.52800000000013</v>
      </c>
    </row>
    <row r="1746" spans="1:12">
      <c r="A1746" s="19" t="s">
        <v>1816</v>
      </c>
      <c r="B1746" s="20">
        <v>46209</v>
      </c>
      <c r="C1746" s="19" t="s">
        <v>47</v>
      </c>
      <c r="D1746" s="19" t="s">
        <v>14</v>
      </c>
      <c r="E1746" s="19" t="s">
        <v>15</v>
      </c>
      <c r="F1746" s="19" t="s">
        <v>23</v>
      </c>
      <c r="G1746" s="19" t="s">
        <v>138</v>
      </c>
      <c r="H1746" s="19" t="s">
        <v>55</v>
      </c>
      <c r="I1746" s="19">
        <v>3</v>
      </c>
      <c r="J1746" s="21">
        <v>60</v>
      </c>
      <c r="K1746" s="22">
        <v>0.03</v>
      </c>
      <c r="L1746" s="21">
        <v>174.6</v>
      </c>
    </row>
    <row r="1747" spans="1:12">
      <c r="A1747" s="19" t="s">
        <v>1817</v>
      </c>
      <c r="B1747" s="20">
        <v>46043</v>
      </c>
      <c r="C1747" s="19" t="s">
        <v>31</v>
      </c>
      <c r="D1747" s="19" t="s">
        <v>35</v>
      </c>
      <c r="E1747" s="19" t="s">
        <v>22</v>
      </c>
      <c r="F1747" s="19" t="s">
        <v>73</v>
      </c>
      <c r="G1747" s="19" t="s">
        <v>129</v>
      </c>
      <c r="H1747" s="19" t="s">
        <v>33</v>
      </c>
      <c r="I1747" s="19">
        <v>9</v>
      </c>
      <c r="J1747" s="21">
        <v>35</v>
      </c>
      <c r="K1747" s="22">
        <v>0.2</v>
      </c>
      <c r="L1747" s="21">
        <v>252</v>
      </c>
    </row>
    <row r="1748" spans="1:12">
      <c r="A1748" s="19" t="s">
        <v>1818</v>
      </c>
      <c r="B1748" s="20">
        <v>46354</v>
      </c>
      <c r="C1748" s="19" t="s">
        <v>13</v>
      </c>
      <c r="D1748" s="19" t="s">
        <v>14</v>
      </c>
      <c r="E1748" s="19" t="s">
        <v>15</v>
      </c>
      <c r="F1748" s="19" t="s">
        <v>16</v>
      </c>
      <c r="G1748" s="19" t="s">
        <v>17</v>
      </c>
      <c r="H1748" s="19" t="s">
        <v>43</v>
      </c>
      <c r="I1748" s="19">
        <v>1</v>
      </c>
      <c r="J1748" s="21">
        <v>15.9</v>
      </c>
      <c r="K1748" s="22">
        <v>0.1</v>
      </c>
      <c r="L1748" s="21">
        <v>14.31</v>
      </c>
    </row>
    <row r="1749" spans="1:12">
      <c r="A1749" s="19" t="s">
        <v>1819</v>
      </c>
      <c r="B1749" s="20">
        <v>46240</v>
      </c>
      <c r="C1749" s="19" t="s">
        <v>31</v>
      </c>
      <c r="D1749" s="19" t="s">
        <v>14</v>
      </c>
      <c r="E1749" s="19" t="s">
        <v>22</v>
      </c>
      <c r="F1749" s="19" t="s">
        <v>23</v>
      </c>
      <c r="G1749" s="19" t="s">
        <v>38</v>
      </c>
      <c r="H1749" s="19" t="s">
        <v>33</v>
      </c>
      <c r="I1749" s="19">
        <v>1</v>
      </c>
      <c r="J1749" s="21">
        <v>326.39999999999998</v>
      </c>
      <c r="K1749" s="22">
        <v>0.03</v>
      </c>
      <c r="L1749" s="21">
        <v>316.60799999999995</v>
      </c>
    </row>
    <row r="1750" spans="1:12">
      <c r="A1750" s="19" t="s">
        <v>1820</v>
      </c>
      <c r="B1750" s="20">
        <v>46065</v>
      </c>
      <c r="C1750" s="19" t="s">
        <v>47</v>
      </c>
      <c r="D1750" s="19" t="s">
        <v>21</v>
      </c>
      <c r="E1750" s="19" t="s">
        <v>15</v>
      </c>
      <c r="F1750" s="19" t="s">
        <v>16</v>
      </c>
      <c r="G1750" s="19" t="s">
        <v>69</v>
      </c>
      <c r="H1750" s="19" t="s">
        <v>83</v>
      </c>
      <c r="I1750" s="19">
        <v>3</v>
      </c>
      <c r="J1750" s="21">
        <v>52.25</v>
      </c>
      <c r="K1750" s="22">
        <v>0.03</v>
      </c>
      <c r="L1750" s="21">
        <v>152.04749999999999</v>
      </c>
    </row>
    <row r="1751" spans="1:12">
      <c r="A1751" s="19" t="s">
        <v>1821</v>
      </c>
      <c r="B1751" s="20">
        <v>46299</v>
      </c>
      <c r="C1751" s="19" t="s">
        <v>13</v>
      </c>
      <c r="D1751" s="19" t="s">
        <v>41</v>
      </c>
      <c r="E1751" s="19" t="s">
        <v>22</v>
      </c>
      <c r="F1751" s="19" t="s">
        <v>16</v>
      </c>
      <c r="G1751" s="19" t="s">
        <v>42</v>
      </c>
      <c r="H1751" s="19" t="s">
        <v>29</v>
      </c>
      <c r="I1751" s="19">
        <v>1</v>
      </c>
      <c r="J1751" s="21">
        <v>43.65</v>
      </c>
      <c r="K1751" s="22">
        <v>0.03</v>
      </c>
      <c r="L1751" s="21">
        <v>42.340499999999999</v>
      </c>
    </row>
    <row r="1752" spans="1:12">
      <c r="A1752" s="19" t="s">
        <v>1822</v>
      </c>
      <c r="B1752" s="20">
        <v>46074</v>
      </c>
      <c r="C1752" s="19" t="s">
        <v>47</v>
      </c>
      <c r="D1752" s="19" t="s">
        <v>41</v>
      </c>
      <c r="E1752" s="19" t="s">
        <v>22</v>
      </c>
      <c r="F1752" s="19" t="s">
        <v>73</v>
      </c>
      <c r="G1752" s="19" t="s">
        <v>74</v>
      </c>
      <c r="H1752" s="19" t="s">
        <v>83</v>
      </c>
      <c r="I1752" s="19">
        <v>4</v>
      </c>
      <c r="J1752" s="21">
        <v>8</v>
      </c>
      <c r="K1752" s="22">
        <v>0.2</v>
      </c>
      <c r="L1752" s="21">
        <v>25.6</v>
      </c>
    </row>
    <row r="1753" spans="1:12">
      <c r="A1753" s="19" t="s">
        <v>1823</v>
      </c>
      <c r="B1753" s="20">
        <v>46292</v>
      </c>
      <c r="C1753" s="19" t="s">
        <v>13</v>
      </c>
      <c r="D1753" s="19" t="s">
        <v>41</v>
      </c>
      <c r="E1753" s="19" t="s">
        <v>22</v>
      </c>
      <c r="F1753" s="19" t="s">
        <v>60</v>
      </c>
      <c r="G1753" s="19" t="s">
        <v>67</v>
      </c>
      <c r="H1753" s="19" t="s">
        <v>29</v>
      </c>
      <c r="I1753" s="19">
        <v>1</v>
      </c>
      <c r="J1753" s="21">
        <v>1560</v>
      </c>
      <c r="K1753" s="22">
        <v>0.05</v>
      </c>
      <c r="L1753" s="21">
        <v>1482</v>
      </c>
    </row>
    <row r="1754" spans="1:12">
      <c r="A1754" s="19" t="s">
        <v>1824</v>
      </c>
      <c r="B1754" s="20">
        <v>46060</v>
      </c>
      <c r="C1754" s="19" t="s">
        <v>47</v>
      </c>
      <c r="D1754" s="19" t="s">
        <v>41</v>
      </c>
      <c r="E1754" s="19" t="s">
        <v>22</v>
      </c>
      <c r="F1754" s="19" t="s">
        <v>27</v>
      </c>
      <c r="G1754" s="19" t="s">
        <v>36</v>
      </c>
      <c r="H1754" s="19" t="s">
        <v>55</v>
      </c>
      <c r="I1754" s="19">
        <v>6</v>
      </c>
      <c r="J1754" s="21">
        <v>750</v>
      </c>
      <c r="K1754" s="22">
        <v>0.08</v>
      </c>
      <c r="L1754" s="21">
        <v>4140</v>
      </c>
    </row>
    <row r="1755" spans="1:12">
      <c r="A1755" s="19" t="s">
        <v>1825</v>
      </c>
      <c r="B1755" s="20">
        <v>46073</v>
      </c>
      <c r="C1755" s="19" t="s">
        <v>86</v>
      </c>
      <c r="D1755" s="19" t="s">
        <v>41</v>
      </c>
      <c r="E1755" s="19" t="s">
        <v>15</v>
      </c>
      <c r="F1755" s="19" t="s">
        <v>27</v>
      </c>
      <c r="G1755" s="19" t="s">
        <v>36</v>
      </c>
      <c r="H1755" s="19" t="s">
        <v>102</v>
      </c>
      <c r="I1755" s="19">
        <v>1</v>
      </c>
      <c r="J1755" s="21">
        <v>750</v>
      </c>
      <c r="K1755" s="22">
        <v>0.2</v>
      </c>
      <c r="L1755" s="21">
        <v>600</v>
      </c>
    </row>
    <row r="1756" spans="1:12">
      <c r="A1756" s="19" t="s">
        <v>1826</v>
      </c>
      <c r="B1756" s="20">
        <v>46028</v>
      </c>
      <c r="C1756" s="19" t="s">
        <v>47</v>
      </c>
      <c r="D1756" s="19" t="s">
        <v>21</v>
      </c>
      <c r="E1756" s="19" t="s">
        <v>22</v>
      </c>
      <c r="F1756" s="19" t="s">
        <v>16</v>
      </c>
      <c r="G1756" s="19" t="s">
        <v>17</v>
      </c>
      <c r="H1756" s="19" t="s">
        <v>55</v>
      </c>
      <c r="I1756" s="19">
        <v>6</v>
      </c>
      <c r="J1756" s="21">
        <v>14.25</v>
      </c>
      <c r="K1756" s="22">
        <v>0.03</v>
      </c>
      <c r="L1756" s="21">
        <v>82.935000000000002</v>
      </c>
    </row>
    <row r="1757" spans="1:12">
      <c r="A1757" s="19" t="s">
        <v>1827</v>
      </c>
      <c r="B1757" s="20">
        <v>46311</v>
      </c>
      <c r="C1757" s="19" t="s">
        <v>47</v>
      </c>
      <c r="D1757" s="19" t="s">
        <v>14</v>
      </c>
      <c r="E1757" s="19" t="s">
        <v>22</v>
      </c>
      <c r="F1757" s="19" t="s">
        <v>16</v>
      </c>
      <c r="G1757" s="19" t="s">
        <v>42</v>
      </c>
      <c r="H1757" s="19" t="s">
        <v>83</v>
      </c>
      <c r="I1757" s="19">
        <v>2</v>
      </c>
      <c r="J1757" s="21">
        <v>45</v>
      </c>
      <c r="K1757" s="22">
        <v>0.1</v>
      </c>
      <c r="L1757" s="21">
        <v>81</v>
      </c>
    </row>
    <row r="1758" spans="1:12">
      <c r="A1758" s="19" t="s">
        <v>1828</v>
      </c>
      <c r="B1758" s="20">
        <v>46061</v>
      </c>
      <c r="C1758" s="19" t="s">
        <v>31</v>
      </c>
      <c r="D1758" s="19" t="s">
        <v>35</v>
      </c>
      <c r="E1758" s="19" t="s">
        <v>15</v>
      </c>
      <c r="F1758" s="19" t="s">
        <v>60</v>
      </c>
      <c r="G1758" s="19" t="s">
        <v>67</v>
      </c>
      <c r="H1758" s="19" t="s">
        <v>79</v>
      </c>
      <c r="I1758" s="19">
        <v>2</v>
      </c>
      <c r="J1758" s="21">
        <v>1455</v>
      </c>
      <c r="K1758" s="22">
        <v>0.05</v>
      </c>
      <c r="L1758" s="21">
        <v>2764.5</v>
      </c>
    </row>
    <row r="1759" spans="1:12">
      <c r="A1759" s="19" t="s">
        <v>1829</v>
      </c>
      <c r="B1759" s="20">
        <v>46329</v>
      </c>
      <c r="C1759" s="19" t="s">
        <v>31</v>
      </c>
      <c r="D1759" s="19" t="s">
        <v>21</v>
      </c>
      <c r="E1759" s="19" t="s">
        <v>22</v>
      </c>
      <c r="F1759" s="19" t="s">
        <v>16</v>
      </c>
      <c r="G1759" s="19" t="s">
        <v>57</v>
      </c>
      <c r="H1759" s="19" t="s">
        <v>33</v>
      </c>
      <c r="I1759" s="19">
        <v>1</v>
      </c>
      <c r="J1759" s="21">
        <v>39.520000000000003</v>
      </c>
      <c r="K1759" s="22">
        <v>0.15</v>
      </c>
      <c r="L1759" s="21">
        <v>33.591999999999999</v>
      </c>
    </row>
    <row r="1760" spans="1:12">
      <c r="A1760" s="19" t="s">
        <v>1830</v>
      </c>
      <c r="B1760" s="20">
        <v>46278</v>
      </c>
      <c r="C1760" s="19" t="s">
        <v>31</v>
      </c>
      <c r="D1760" s="19" t="s">
        <v>35</v>
      </c>
      <c r="E1760" s="19" t="s">
        <v>22</v>
      </c>
      <c r="F1760" s="19" t="s">
        <v>16</v>
      </c>
      <c r="G1760" s="19" t="s">
        <v>57</v>
      </c>
      <c r="H1760" s="19" t="s">
        <v>39</v>
      </c>
      <c r="I1760" s="19">
        <v>7</v>
      </c>
      <c r="J1760" s="21">
        <v>38</v>
      </c>
      <c r="K1760" s="22">
        <v>0.1</v>
      </c>
      <c r="L1760" s="21">
        <v>239.4</v>
      </c>
    </row>
    <row r="1761" spans="1:12">
      <c r="A1761" s="19" t="s">
        <v>1831</v>
      </c>
      <c r="B1761" s="20">
        <v>46277</v>
      </c>
      <c r="C1761" s="19" t="s">
        <v>31</v>
      </c>
      <c r="D1761" s="19" t="s">
        <v>41</v>
      </c>
      <c r="E1761" s="19" t="s">
        <v>15</v>
      </c>
      <c r="F1761" s="19" t="s">
        <v>16</v>
      </c>
      <c r="G1761" s="19" t="s">
        <v>17</v>
      </c>
      <c r="H1761" s="19" t="s">
        <v>39</v>
      </c>
      <c r="I1761" s="19">
        <v>2</v>
      </c>
      <c r="J1761" s="21">
        <v>15.3</v>
      </c>
      <c r="K1761" s="22">
        <v>0.05</v>
      </c>
      <c r="L1761" s="21">
        <v>29.07</v>
      </c>
    </row>
    <row r="1762" spans="1:12">
      <c r="A1762" s="19" t="s">
        <v>1832</v>
      </c>
      <c r="B1762" s="20">
        <v>46359</v>
      </c>
      <c r="C1762" s="19" t="s">
        <v>20</v>
      </c>
      <c r="D1762" s="19" t="s">
        <v>14</v>
      </c>
      <c r="E1762" s="19" t="s">
        <v>22</v>
      </c>
      <c r="F1762" s="19" t="s">
        <v>60</v>
      </c>
      <c r="G1762" s="19" t="s">
        <v>76</v>
      </c>
      <c r="H1762" s="19" t="s">
        <v>63</v>
      </c>
      <c r="I1762" s="19">
        <v>1</v>
      </c>
      <c r="J1762" s="21">
        <v>742</v>
      </c>
      <c r="K1762" s="22">
        <v>0.05</v>
      </c>
      <c r="L1762" s="21">
        <v>704.9</v>
      </c>
    </row>
    <row r="1763" spans="1:12">
      <c r="A1763" s="19" t="s">
        <v>1833</v>
      </c>
      <c r="B1763" s="20">
        <v>46352</v>
      </c>
      <c r="C1763" s="19" t="s">
        <v>31</v>
      </c>
      <c r="D1763" s="19" t="s">
        <v>14</v>
      </c>
      <c r="E1763" s="19" t="s">
        <v>22</v>
      </c>
      <c r="F1763" s="19" t="s">
        <v>16</v>
      </c>
      <c r="G1763" s="19" t="s">
        <v>42</v>
      </c>
      <c r="H1763" s="19" t="s">
        <v>79</v>
      </c>
      <c r="I1763" s="19">
        <v>3</v>
      </c>
      <c r="J1763" s="21">
        <v>43.65</v>
      </c>
      <c r="K1763" s="22">
        <v>0.1</v>
      </c>
      <c r="L1763" s="21">
        <v>117.85499999999999</v>
      </c>
    </row>
    <row r="1764" spans="1:12">
      <c r="A1764" s="19" t="s">
        <v>1834</v>
      </c>
      <c r="B1764" s="20">
        <v>46075</v>
      </c>
      <c r="C1764" s="19" t="s">
        <v>31</v>
      </c>
      <c r="D1764" s="19" t="s">
        <v>14</v>
      </c>
      <c r="E1764" s="19" t="s">
        <v>22</v>
      </c>
      <c r="F1764" s="19" t="s">
        <v>60</v>
      </c>
      <c r="G1764" s="19" t="s">
        <v>76</v>
      </c>
      <c r="H1764" s="19" t="s">
        <v>33</v>
      </c>
      <c r="I1764" s="19">
        <v>1</v>
      </c>
      <c r="J1764" s="21">
        <v>728</v>
      </c>
      <c r="K1764" s="22">
        <v>0.05</v>
      </c>
      <c r="L1764" s="21">
        <v>691.6</v>
      </c>
    </row>
    <row r="1765" spans="1:12">
      <c r="A1765" s="19" t="s">
        <v>1835</v>
      </c>
      <c r="B1765" s="20">
        <v>46192</v>
      </c>
      <c r="C1765" s="19" t="s">
        <v>47</v>
      </c>
      <c r="D1765" s="19" t="s">
        <v>21</v>
      </c>
      <c r="E1765" s="19" t="s">
        <v>15</v>
      </c>
      <c r="F1765" s="19" t="s">
        <v>60</v>
      </c>
      <c r="G1765" s="19" t="s">
        <v>76</v>
      </c>
      <c r="H1765" s="19" t="s">
        <v>50</v>
      </c>
      <c r="I1765" s="19">
        <v>1</v>
      </c>
      <c r="J1765" s="21">
        <v>700</v>
      </c>
      <c r="K1765" s="22">
        <v>0.1</v>
      </c>
      <c r="L1765" s="21">
        <v>630</v>
      </c>
    </row>
    <row r="1766" spans="1:12">
      <c r="A1766" s="19" t="s">
        <v>1836</v>
      </c>
      <c r="B1766" s="20">
        <v>46074</v>
      </c>
      <c r="C1766" s="19" t="s">
        <v>86</v>
      </c>
      <c r="D1766" s="19" t="s">
        <v>35</v>
      </c>
      <c r="E1766" s="19" t="s">
        <v>22</v>
      </c>
      <c r="F1766" s="19" t="s">
        <v>48</v>
      </c>
      <c r="G1766" s="19" t="s">
        <v>99</v>
      </c>
      <c r="H1766" s="19" t="s">
        <v>93</v>
      </c>
      <c r="I1766" s="19">
        <v>1</v>
      </c>
      <c r="J1766" s="21">
        <v>3180</v>
      </c>
      <c r="K1766" s="22">
        <v>0.05</v>
      </c>
      <c r="L1766" s="21">
        <v>3021</v>
      </c>
    </row>
    <row r="1767" spans="1:12">
      <c r="A1767" s="19" t="s">
        <v>1837</v>
      </c>
      <c r="B1767" s="20">
        <v>46356</v>
      </c>
      <c r="C1767" s="19" t="s">
        <v>31</v>
      </c>
      <c r="D1767" s="19" t="s">
        <v>21</v>
      </c>
      <c r="E1767" s="19" t="s">
        <v>22</v>
      </c>
      <c r="F1767" s="19" t="s">
        <v>73</v>
      </c>
      <c r="G1767" s="19" t="s">
        <v>129</v>
      </c>
      <c r="H1767" s="19" t="s">
        <v>33</v>
      </c>
      <c r="I1767" s="19">
        <v>1</v>
      </c>
      <c r="J1767" s="21">
        <v>35</v>
      </c>
      <c r="K1767" s="22">
        <v>0.03</v>
      </c>
      <c r="L1767" s="21">
        <v>33.949999999999996</v>
      </c>
    </row>
    <row r="1768" spans="1:12">
      <c r="A1768" s="19" t="s">
        <v>1838</v>
      </c>
      <c r="B1768" s="20">
        <v>46149</v>
      </c>
      <c r="C1768" s="19" t="s">
        <v>31</v>
      </c>
      <c r="D1768" s="19" t="s">
        <v>21</v>
      </c>
      <c r="E1768" s="19" t="s">
        <v>22</v>
      </c>
      <c r="F1768" s="19" t="s">
        <v>60</v>
      </c>
      <c r="G1768" s="19" t="s">
        <v>67</v>
      </c>
      <c r="H1768" s="19" t="s">
        <v>79</v>
      </c>
      <c r="I1768" s="19">
        <v>1</v>
      </c>
      <c r="J1768" s="21">
        <v>1500</v>
      </c>
      <c r="K1768" s="22">
        <v>0</v>
      </c>
      <c r="L1768" s="21">
        <v>1500</v>
      </c>
    </row>
    <row r="1769" spans="1:12">
      <c r="A1769" s="19" t="s">
        <v>1839</v>
      </c>
      <c r="B1769" s="20">
        <v>46056</v>
      </c>
      <c r="C1769" s="19" t="s">
        <v>86</v>
      </c>
      <c r="D1769" s="19" t="s">
        <v>14</v>
      </c>
      <c r="E1769" s="19" t="s">
        <v>15</v>
      </c>
      <c r="F1769" s="19" t="s">
        <v>73</v>
      </c>
      <c r="G1769" s="19" t="s">
        <v>129</v>
      </c>
      <c r="H1769" s="19" t="s">
        <v>102</v>
      </c>
      <c r="I1769" s="19">
        <v>3</v>
      </c>
      <c r="J1769" s="21">
        <v>35</v>
      </c>
      <c r="K1769" s="22">
        <v>0.05</v>
      </c>
      <c r="L1769" s="21">
        <v>99.75</v>
      </c>
    </row>
    <row r="1770" spans="1:12">
      <c r="A1770" s="19" t="s">
        <v>1840</v>
      </c>
      <c r="B1770" s="20">
        <v>46196</v>
      </c>
      <c r="C1770" s="19" t="s">
        <v>31</v>
      </c>
      <c r="D1770" s="19" t="s">
        <v>14</v>
      </c>
      <c r="E1770" s="19" t="s">
        <v>22</v>
      </c>
      <c r="F1770" s="19" t="s">
        <v>60</v>
      </c>
      <c r="G1770" s="19" t="s">
        <v>67</v>
      </c>
      <c r="H1770" s="19" t="s">
        <v>33</v>
      </c>
      <c r="I1770" s="19">
        <v>2</v>
      </c>
      <c r="J1770" s="21">
        <v>1500</v>
      </c>
      <c r="K1770" s="22">
        <v>0.15</v>
      </c>
      <c r="L1770" s="21">
        <v>2550</v>
      </c>
    </row>
    <row r="1771" spans="1:12">
      <c r="A1771" s="19" t="s">
        <v>1841</v>
      </c>
      <c r="B1771" s="20">
        <v>46192</v>
      </c>
      <c r="C1771" s="19" t="s">
        <v>20</v>
      </c>
      <c r="D1771" s="19" t="s">
        <v>21</v>
      </c>
      <c r="E1771" s="19" t="s">
        <v>15</v>
      </c>
      <c r="F1771" s="19" t="s">
        <v>27</v>
      </c>
      <c r="G1771" s="19" t="s">
        <v>155</v>
      </c>
      <c r="H1771" s="19" t="s">
        <v>58</v>
      </c>
      <c r="I1771" s="19">
        <v>2</v>
      </c>
      <c r="J1771" s="21">
        <v>180</v>
      </c>
      <c r="K1771" s="22">
        <v>0.05</v>
      </c>
      <c r="L1771" s="21">
        <v>342</v>
      </c>
    </row>
    <row r="1772" spans="1:12">
      <c r="A1772" s="19" t="s">
        <v>1842</v>
      </c>
      <c r="B1772" s="20">
        <v>46365</v>
      </c>
      <c r="C1772" s="19" t="s">
        <v>47</v>
      </c>
      <c r="D1772" s="19" t="s">
        <v>14</v>
      </c>
      <c r="E1772" s="19" t="s">
        <v>22</v>
      </c>
      <c r="F1772" s="19" t="s">
        <v>48</v>
      </c>
      <c r="G1772" s="19" t="s">
        <v>96</v>
      </c>
      <c r="H1772" s="19" t="s">
        <v>83</v>
      </c>
      <c r="I1772" s="19">
        <v>1</v>
      </c>
      <c r="J1772" s="21">
        <v>2650</v>
      </c>
      <c r="K1772" s="22">
        <v>0.1</v>
      </c>
      <c r="L1772" s="21">
        <v>2385</v>
      </c>
    </row>
    <row r="1773" spans="1:12">
      <c r="A1773" s="19" t="s">
        <v>1843</v>
      </c>
      <c r="B1773" s="20">
        <v>46375</v>
      </c>
      <c r="C1773" s="19" t="s">
        <v>20</v>
      </c>
      <c r="D1773" s="19" t="s">
        <v>14</v>
      </c>
      <c r="E1773" s="19" t="s">
        <v>22</v>
      </c>
      <c r="F1773" s="19" t="s">
        <v>16</v>
      </c>
      <c r="G1773" s="19" t="s">
        <v>17</v>
      </c>
      <c r="H1773" s="19" t="s">
        <v>25</v>
      </c>
      <c r="I1773" s="19">
        <v>1</v>
      </c>
      <c r="J1773" s="21">
        <v>15.3</v>
      </c>
      <c r="K1773" s="22">
        <v>0.1</v>
      </c>
      <c r="L1773" s="21">
        <v>13.770000000000001</v>
      </c>
    </row>
    <row r="1774" spans="1:12">
      <c r="A1774" s="19" t="s">
        <v>1844</v>
      </c>
      <c r="B1774" s="20">
        <v>46144</v>
      </c>
      <c r="C1774" s="19" t="s">
        <v>13</v>
      </c>
      <c r="D1774" s="19" t="s">
        <v>21</v>
      </c>
      <c r="E1774" s="19" t="s">
        <v>22</v>
      </c>
      <c r="F1774" s="19" t="s">
        <v>16</v>
      </c>
      <c r="G1774" s="19" t="s">
        <v>57</v>
      </c>
      <c r="H1774" s="19" t="s">
        <v>29</v>
      </c>
      <c r="I1774" s="19">
        <v>1</v>
      </c>
      <c r="J1774" s="21">
        <v>36.86</v>
      </c>
      <c r="K1774" s="22">
        <v>0</v>
      </c>
      <c r="L1774" s="21">
        <v>36.86</v>
      </c>
    </row>
    <row r="1775" spans="1:12">
      <c r="A1775" s="19" t="s">
        <v>1845</v>
      </c>
      <c r="B1775" s="20">
        <v>46279</v>
      </c>
      <c r="C1775" s="19" t="s">
        <v>86</v>
      </c>
      <c r="D1775" s="19" t="s">
        <v>41</v>
      </c>
      <c r="E1775" s="19" t="s">
        <v>22</v>
      </c>
      <c r="F1775" s="19" t="s">
        <v>23</v>
      </c>
      <c r="G1775" s="19" t="s">
        <v>138</v>
      </c>
      <c r="H1775" s="19" t="s">
        <v>87</v>
      </c>
      <c r="I1775" s="19">
        <v>2</v>
      </c>
      <c r="J1775" s="21">
        <v>62.4</v>
      </c>
      <c r="K1775" s="22">
        <v>0.05</v>
      </c>
      <c r="L1775" s="21">
        <v>118.55999999999999</v>
      </c>
    </row>
    <row r="1776" spans="1:12">
      <c r="A1776" s="19" t="s">
        <v>1846</v>
      </c>
      <c r="B1776" s="20">
        <v>46183</v>
      </c>
      <c r="C1776" s="19" t="s">
        <v>47</v>
      </c>
      <c r="D1776" s="19" t="s">
        <v>35</v>
      </c>
      <c r="E1776" s="19" t="s">
        <v>22</v>
      </c>
      <c r="F1776" s="19" t="s">
        <v>27</v>
      </c>
      <c r="G1776" s="19" t="s">
        <v>28</v>
      </c>
      <c r="H1776" s="19" t="s">
        <v>50</v>
      </c>
      <c r="I1776" s="19">
        <v>5</v>
      </c>
      <c r="J1776" s="21">
        <v>20</v>
      </c>
      <c r="K1776" s="22">
        <v>0.05</v>
      </c>
      <c r="L1776" s="21">
        <v>95</v>
      </c>
    </row>
    <row r="1777" spans="1:12">
      <c r="A1777" s="19" t="s">
        <v>1847</v>
      </c>
      <c r="B1777" s="20">
        <v>46305</v>
      </c>
      <c r="C1777" s="19" t="s">
        <v>20</v>
      </c>
      <c r="D1777" s="19" t="s">
        <v>21</v>
      </c>
      <c r="E1777" s="19" t="s">
        <v>22</v>
      </c>
      <c r="F1777" s="19" t="s">
        <v>60</v>
      </c>
      <c r="G1777" s="19" t="s">
        <v>61</v>
      </c>
      <c r="H1777" s="19" t="s">
        <v>25</v>
      </c>
      <c r="I1777" s="19">
        <v>1</v>
      </c>
      <c r="J1777" s="21">
        <v>850</v>
      </c>
      <c r="K1777" s="22">
        <v>0.05</v>
      </c>
      <c r="L1777" s="21">
        <v>807.5</v>
      </c>
    </row>
    <row r="1778" spans="1:12">
      <c r="A1778" s="19" t="s">
        <v>1848</v>
      </c>
      <c r="B1778" s="20">
        <v>46243</v>
      </c>
      <c r="C1778" s="19" t="s">
        <v>47</v>
      </c>
      <c r="D1778" s="19" t="s">
        <v>14</v>
      </c>
      <c r="E1778" s="19" t="s">
        <v>22</v>
      </c>
      <c r="F1778" s="19" t="s">
        <v>23</v>
      </c>
      <c r="G1778" s="19" t="s">
        <v>38</v>
      </c>
      <c r="H1778" s="19" t="s">
        <v>55</v>
      </c>
      <c r="I1778" s="19">
        <v>1</v>
      </c>
      <c r="J1778" s="21">
        <v>320</v>
      </c>
      <c r="K1778" s="22">
        <v>0.08</v>
      </c>
      <c r="L1778" s="21">
        <v>294.40000000000003</v>
      </c>
    </row>
    <row r="1779" spans="1:12">
      <c r="A1779" s="19" t="s">
        <v>1849</v>
      </c>
      <c r="B1779" s="20">
        <v>46193</v>
      </c>
      <c r="C1779" s="19" t="s">
        <v>13</v>
      </c>
      <c r="D1779" s="19" t="s">
        <v>35</v>
      </c>
      <c r="E1779" s="19" t="s">
        <v>15</v>
      </c>
      <c r="F1779" s="19" t="s">
        <v>60</v>
      </c>
      <c r="G1779" s="19" t="s">
        <v>67</v>
      </c>
      <c r="H1779" s="19" t="s">
        <v>18</v>
      </c>
      <c r="I1779" s="19">
        <v>1</v>
      </c>
      <c r="J1779" s="21">
        <v>1455</v>
      </c>
      <c r="K1779" s="22">
        <v>0.03</v>
      </c>
      <c r="L1779" s="21">
        <v>1411.35</v>
      </c>
    </row>
    <row r="1780" spans="1:12">
      <c r="A1780" s="19" t="s">
        <v>1850</v>
      </c>
      <c r="B1780" s="20">
        <v>46381</v>
      </c>
      <c r="C1780" s="19" t="s">
        <v>20</v>
      </c>
      <c r="D1780" s="19" t="s">
        <v>14</v>
      </c>
      <c r="E1780" s="19" t="s">
        <v>22</v>
      </c>
      <c r="F1780" s="19" t="s">
        <v>16</v>
      </c>
      <c r="G1780" s="19" t="s">
        <v>69</v>
      </c>
      <c r="H1780" s="19" t="s">
        <v>58</v>
      </c>
      <c r="I1780" s="19">
        <v>2</v>
      </c>
      <c r="J1780" s="21">
        <v>52.25</v>
      </c>
      <c r="K1780" s="22">
        <v>0.05</v>
      </c>
      <c r="L1780" s="21">
        <v>99.274999999999991</v>
      </c>
    </row>
    <row r="1781" spans="1:12">
      <c r="A1781" s="19" t="s">
        <v>1851</v>
      </c>
      <c r="B1781" s="20">
        <v>46152</v>
      </c>
      <c r="C1781" s="19" t="s">
        <v>13</v>
      </c>
      <c r="D1781" s="19" t="s">
        <v>35</v>
      </c>
      <c r="E1781" s="19" t="s">
        <v>22</v>
      </c>
      <c r="F1781" s="19" t="s">
        <v>60</v>
      </c>
      <c r="G1781" s="19" t="s">
        <v>61</v>
      </c>
      <c r="H1781" s="19" t="s">
        <v>29</v>
      </c>
      <c r="I1781" s="19">
        <v>1</v>
      </c>
      <c r="J1781" s="21">
        <v>850</v>
      </c>
      <c r="K1781" s="22">
        <v>0</v>
      </c>
      <c r="L1781" s="21">
        <v>850</v>
      </c>
    </row>
    <row r="1782" spans="1:12">
      <c r="A1782" s="19" t="s">
        <v>1852</v>
      </c>
      <c r="B1782" s="20">
        <v>46126</v>
      </c>
      <c r="C1782" s="19" t="s">
        <v>47</v>
      </c>
      <c r="D1782" s="19" t="s">
        <v>21</v>
      </c>
      <c r="E1782" s="19" t="s">
        <v>15</v>
      </c>
      <c r="F1782" s="19" t="s">
        <v>73</v>
      </c>
      <c r="G1782" s="19" t="s">
        <v>81</v>
      </c>
      <c r="H1782" s="19" t="s">
        <v>55</v>
      </c>
      <c r="I1782" s="19">
        <v>5</v>
      </c>
      <c r="J1782" s="21">
        <v>11.4</v>
      </c>
      <c r="K1782" s="22">
        <v>0</v>
      </c>
      <c r="L1782" s="21">
        <v>57</v>
      </c>
    </row>
    <row r="1783" spans="1:12">
      <c r="A1783" s="19" t="s">
        <v>1853</v>
      </c>
      <c r="B1783" s="20">
        <v>46330</v>
      </c>
      <c r="C1783" s="19" t="s">
        <v>31</v>
      </c>
      <c r="D1783" s="19" t="s">
        <v>14</v>
      </c>
      <c r="E1783" s="19" t="s">
        <v>22</v>
      </c>
      <c r="F1783" s="19" t="s">
        <v>60</v>
      </c>
      <c r="G1783" s="19" t="s">
        <v>76</v>
      </c>
      <c r="H1783" s="19" t="s">
        <v>79</v>
      </c>
      <c r="I1783" s="19">
        <v>2</v>
      </c>
      <c r="J1783" s="21">
        <v>714</v>
      </c>
      <c r="K1783" s="22">
        <v>0.1</v>
      </c>
      <c r="L1783" s="21">
        <v>1285.2</v>
      </c>
    </row>
    <row r="1784" spans="1:12">
      <c r="A1784" s="19" t="s">
        <v>1854</v>
      </c>
      <c r="B1784" s="20">
        <v>46153</v>
      </c>
      <c r="C1784" s="19" t="s">
        <v>13</v>
      </c>
      <c r="D1784" s="19" t="s">
        <v>41</v>
      </c>
      <c r="E1784" s="19" t="s">
        <v>22</v>
      </c>
      <c r="F1784" s="19" t="s">
        <v>60</v>
      </c>
      <c r="G1784" s="19" t="s">
        <v>76</v>
      </c>
      <c r="H1784" s="19" t="s">
        <v>18</v>
      </c>
      <c r="I1784" s="19">
        <v>4</v>
      </c>
      <c r="J1784" s="21">
        <v>679</v>
      </c>
      <c r="K1784" s="22">
        <v>0.08</v>
      </c>
      <c r="L1784" s="21">
        <v>2498.7200000000003</v>
      </c>
    </row>
    <row r="1785" spans="1:12">
      <c r="A1785" s="19" t="s">
        <v>1855</v>
      </c>
      <c r="B1785" s="20">
        <v>46124</v>
      </c>
      <c r="C1785" s="19" t="s">
        <v>20</v>
      </c>
      <c r="D1785" s="19" t="s">
        <v>14</v>
      </c>
      <c r="E1785" s="19" t="s">
        <v>22</v>
      </c>
      <c r="F1785" s="19" t="s">
        <v>48</v>
      </c>
      <c r="G1785" s="19" t="s">
        <v>96</v>
      </c>
      <c r="H1785" s="19" t="s">
        <v>58</v>
      </c>
      <c r="I1785" s="19">
        <v>1</v>
      </c>
      <c r="J1785" s="21">
        <v>2425</v>
      </c>
      <c r="K1785" s="22">
        <v>0.15</v>
      </c>
      <c r="L1785" s="21">
        <v>2061.25</v>
      </c>
    </row>
    <row r="1786" spans="1:12">
      <c r="A1786" s="19" t="s">
        <v>1856</v>
      </c>
      <c r="B1786" s="20">
        <v>46171</v>
      </c>
      <c r="C1786" s="19" t="s">
        <v>31</v>
      </c>
      <c r="D1786" s="19" t="s">
        <v>41</v>
      </c>
      <c r="E1786" s="19" t="s">
        <v>15</v>
      </c>
      <c r="F1786" s="19" t="s">
        <v>48</v>
      </c>
      <c r="G1786" s="19" t="s">
        <v>96</v>
      </c>
      <c r="H1786" s="19" t="s">
        <v>33</v>
      </c>
      <c r="I1786" s="19">
        <v>2</v>
      </c>
      <c r="J1786" s="21">
        <v>2375</v>
      </c>
      <c r="K1786" s="22">
        <v>0.03</v>
      </c>
      <c r="L1786" s="21">
        <v>4607.5</v>
      </c>
    </row>
    <row r="1787" spans="1:12">
      <c r="A1787" s="19" t="s">
        <v>1857</v>
      </c>
      <c r="B1787" s="20">
        <v>46121</v>
      </c>
      <c r="C1787" s="19" t="s">
        <v>86</v>
      </c>
      <c r="D1787" s="19" t="s">
        <v>35</v>
      </c>
      <c r="E1787" s="19" t="s">
        <v>15</v>
      </c>
      <c r="F1787" s="19" t="s">
        <v>48</v>
      </c>
      <c r="G1787" s="19" t="s">
        <v>49</v>
      </c>
      <c r="H1787" s="19" t="s">
        <v>87</v>
      </c>
      <c r="I1787" s="19">
        <v>1</v>
      </c>
      <c r="J1787" s="21">
        <v>4368</v>
      </c>
      <c r="K1787" s="22">
        <v>0.1</v>
      </c>
      <c r="L1787" s="21">
        <v>3931.2000000000003</v>
      </c>
    </row>
    <row r="1788" spans="1:12">
      <c r="A1788" s="19" t="s">
        <v>1858</v>
      </c>
      <c r="B1788" s="20">
        <v>46200</v>
      </c>
      <c r="C1788" s="19" t="s">
        <v>20</v>
      </c>
      <c r="D1788" s="19" t="s">
        <v>14</v>
      </c>
      <c r="E1788" s="19" t="s">
        <v>22</v>
      </c>
      <c r="F1788" s="19" t="s">
        <v>27</v>
      </c>
      <c r="G1788" s="19" t="s">
        <v>28</v>
      </c>
      <c r="H1788" s="19" t="s">
        <v>58</v>
      </c>
      <c r="I1788" s="19">
        <v>3</v>
      </c>
      <c r="J1788" s="21">
        <v>20</v>
      </c>
      <c r="K1788" s="22">
        <v>0.05</v>
      </c>
      <c r="L1788" s="21">
        <v>57</v>
      </c>
    </row>
    <row r="1789" spans="1:12">
      <c r="A1789" s="19" t="s">
        <v>1859</v>
      </c>
      <c r="B1789" s="20">
        <v>46361</v>
      </c>
      <c r="C1789" s="19" t="s">
        <v>47</v>
      </c>
      <c r="D1789" s="19" t="s">
        <v>35</v>
      </c>
      <c r="E1789" s="19" t="s">
        <v>22</v>
      </c>
      <c r="F1789" s="19" t="s">
        <v>27</v>
      </c>
      <c r="G1789" s="19" t="s">
        <v>155</v>
      </c>
      <c r="H1789" s="19" t="s">
        <v>50</v>
      </c>
      <c r="I1789" s="19">
        <v>3</v>
      </c>
      <c r="J1789" s="21">
        <v>180</v>
      </c>
      <c r="K1789" s="22">
        <v>0.05</v>
      </c>
      <c r="L1789" s="21">
        <v>513</v>
      </c>
    </row>
    <row r="1790" spans="1:12">
      <c r="A1790" s="19" t="s">
        <v>1860</v>
      </c>
      <c r="B1790" s="20">
        <v>46139</v>
      </c>
      <c r="C1790" s="19" t="s">
        <v>86</v>
      </c>
      <c r="D1790" s="19" t="s">
        <v>14</v>
      </c>
      <c r="E1790" s="19" t="s">
        <v>22</v>
      </c>
      <c r="F1790" s="19" t="s">
        <v>23</v>
      </c>
      <c r="G1790" s="19" t="s">
        <v>138</v>
      </c>
      <c r="H1790" s="19" t="s">
        <v>87</v>
      </c>
      <c r="I1790" s="19">
        <v>1</v>
      </c>
      <c r="J1790" s="21">
        <v>57</v>
      </c>
      <c r="K1790" s="22">
        <v>0.1</v>
      </c>
      <c r="L1790" s="21">
        <v>51.300000000000004</v>
      </c>
    </row>
    <row r="1791" spans="1:12">
      <c r="A1791" s="19" t="s">
        <v>1861</v>
      </c>
      <c r="B1791" s="20">
        <v>46370</v>
      </c>
      <c r="C1791" s="19" t="s">
        <v>86</v>
      </c>
      <c r="D1791" s="19" t="s">
        <v>14</v>
      </c>
      <c r="E1791" s="19" t="s">
        <v>22</v>
      </c>
      <c r="F1791" s="19" t="s">
        <v>23</v>
      </c>
      <c r="G1791" s="19" t="s">
        <v>38</v>
      </c>
      <c r="H1791" s="19" t="s">
        <v>93</v>
      </c>
      <c r="I1791" s="19">
        <v>1</v>
      </c>
      <c r="J1791" s="21">
        <v>320</v>
      </c>
      <c r="K1791" s="22">
        <v>0.08</v>
      </c>
      <c r="L1791" s="21">
        <v>294.40000000000003</v>
      </c>
    </row>
    <row r="1792" spans="1:12">
      <c r="A1792" s="19" t="s">
        <v>1862</v>
      </c>
      <c r="B1792" s="20">
        <v>46242</v>
      </c>
      <c r="C1792" s="19" t="s">
        <v>31</v>
      </c>
      <c r="D1792" s="19" t="s">
        <v>14</v>
      </c>
      <c r="E1792" s="19" t="s">
        <v>15</v>
      </c>
      <c r="F1792" s="19" t="s">
        <v>60</v>
      </c>
      <c r="G1792" s="19" t="s">
        <v>91</v>
      </c>
      <c r="H1792" s="19" t="s">
        <v>79</v>
      </c>
      <c r="I1792" s="19">
        <v>1</v>
      </c>
      <c r="J1792" s="21">
        <v>580</v>
      </c>
      <c r="K1792" s="22">
        <v>0</v>
      </c>
      <c r="L1792" s="21">
        <v>580</v>
      </c>
    </row>
    <row r="1793" spans="1:12">
      <c r="A1793" s="19" t="s">
        <v>1863</v>
      </c>
      <c r="B1793" s="20">
        <v>46090</v>
      </c>
      <c r="C1793" s="19" t="s">
        <v>86</v>
      </c>
      <c r="D1793" s="19" t="s">
        <v>21</v>
      </c>
      <c r="E1793" s="19" t="s">
        <v>22</v>
      </c>
      <c r="F1793" s="19" t="s">
        <v>16</v>
      </c>
      <c r="G1793" s="19" t="s">
        <v>69</v>
      </c>
      <c r="H1793" s="19" t="s">
        <v>102</v>
      </c>
      <c r="I1793" s="19">
        <v>2</v>
      </c>
      <c r="J1793" s="21">
        <v>58.3</v>
      </c>
      <c r="K1793" s="22">
        <v>0.1</v>
      </c>
      <c r="L1793" s="21">
        <v>104.94</v>
      </c>
    </row>
    <row r="1794" spans="1:12">
      <c r="A1794" s="19" t="s">
        <v>1864</v>
      </c>
      <c r="B1794" s="20">
        <v>46331</v>
      </c>
      <c r="C1794" s="19" t="s">
        <v>13</v>
      </c>
      <c r="D1794" s="19" t="s">
        <v>21</v>
      </c>
      <c r="E1794" s="19" t="s">
        <v>15</v>
      </c>
      <c r="F1794" s="19" t="s">
        <v>73</v>
      </c>
      <c r="G1794" s="19" t="s">
        <v>81</v>
      </c>
      <c r="H1794" s="19" t="s">
        <v>18</v>
      </c>
      <c r="I1794" s="19">
        <v>1</v>
      </c>
      <c r="J1794" s="21">
        <v>11.4</v>
      </c>
      <c r="K1794" s="22">
        <v>0.1</v>
      </c>
      <c r="L1794" s="21">
        <v>10.26</v>
      </c>
    </row>
    <row r="1795" spans="1:12">
      <c r="A1795" s="19" t="s">
        <v>1865</v>
      </c>
      <c r="B1795" s="20">
        <v>46053</v>
      </c>
      <c r="C1795" s="19" t="s">
        <v>47</v>
      </c>
      <c r="D1795" s="19" t="s">
        <v>41</v>
      </c>
      <c r="E1795" s="19" t="s">
        <v>22</v>
      </c>
      <c r="F1795" s="19" t="s">
        <v>60</v>
      </c>
      <c r="G1795" s="19" t="s">
        <v>67</v>
      </c>
      <c r="H1795" s="19" t="s">
        <v>83</v>
      </c>
      <c r="I1795" s="19">
        <v>1</v>
      </c>
      <c r="J1795" s="21">
        <v>1590</v>
      </c>
      <c r="K1795" s="22">
        <v>0</v>
      </c>
      <c r="L1795" s="21">
        <v>1590</v>
      </c>
    </row>
    <row r="1796" spans="1:12">
      <c r="A1796" s="19" t="s">
        <v>1866</v>
      </c>
      <c r="B1796" s="20">
        <v>46291</v>
      </c>
      <c r="C1796" s="19" t="s">
        <v>31</v>
      </c>
      <c r="D1796" s="19" t="s">
        <v>14</v>
      </c>
      <c r="E1796" s="19" t="s">
        <v>15</v>
      </c>
      <c r="F1796" s="19" t="s">
        <v>16</v>
      </c>
      <c r="G1796" s="19" t="s">
        <v>65</v>
      </c>
      <c r="H1796" s="19" t="s">
        <v>79</v>
      </c>
      <c r="I1796" s="19">
        <v>1</v>
      </c>
      <c r="J1796" s="21">
        <v>76</v>
      </c>
      <c r="K1796" s="22">
        <v>0.08</v>
      </c>
      <c r="L1796" s="21">
        <v>69.92</v>
      </c>
    </row>
    <row r="1797" spans="1:12">
      <c r="A1797" s="19" t="s">
        <v>1867</v>
      </c>
      <c r="B1797" s="20">
        <v>46270</v>
      </c>
      <c r="C1797" s="19" t="s">
        <v>86</v>
      </c>
      <c r="D1797" s="19" t="s">
        <v>41</v>
      </c>
      <c r="E1797" s="19" t="s">
        <v>15</v>
      </c>
      <c r="F1797" s="19" t="s">
        <v>73</v>
      </c>
      <c r="G1797" s="19" t="s">
        <v>145</v>
      </c>
      <c r="H1797" s="19" t="s">
        <v>87</v>
      </c>
      <c r="I1797" s="19">
        <v>3</v>
      </c>
      <c r="J1797" s="21">
        <v>18</v>
      </c>
      <c r="K1797" s="22">
        <v>0.08</v>
      </c>
      <c r="L1797" s="21">
        <v>49.68</v>
      </c>
    </row>
    <row r="1798" spans="1:12">
      <c r="A1798" s="19" t="s">
        <v>1868</v>
      </c>
      <c r="B1798" s="20">
        <v>46299</v>
      </c>
      <c r="C1798" s="19" t="s">
        <v>47</v>
      </c>
      <c r="D1798" s="19" t="s">
        <v>21</v>
      </c>
      <c r="E1798" s="19" t="s">
        <v>22</v>
      </c>
      <c r="F1798" s="19" t="s">
        <v>60</v>
      </c>
      <c r="G1798" s="19" t="s">
        <v>67</v>
      </c>
      <c r="H1798" s="19" t="s">
        <v>55</v>
      </c>
      <c r="I1798" s="19">
        <v>1</v>
      </c>
      <c r="J1798" s="21">
        <v>1560</v>
      </c>
      <c r="K1798" s="22">
        <v>0.1</v>
      </c>
      <c r="L1798" s="21">
        <v>1404</v>
      </c>
    </row>
    <row r="1799" spans="1:12">
      <c r="A1799" s="19" t="s">
        <v>1869</v>
      </c>
      <c r="B1799" s="20">
        <v>46362</v>
      </c>
      <c r="C1799" s="19" t="s">
        <v>47</v>
      </c>
      <c r="D1799" s="19" t="s">
        <v>14</v>
      </c>
      <c r="E1799" s="19" t="s">
        <v>15</v>
      </c>
      <c r="F1799" s="19" t="s">
        <v>60</v>
      </c>
      <c r="G1799" s="19" t="s">
        <v>76</v>
      </c>
      <c r="H1799" s="19" t="s">
        <v>50</v>
      </c>
      <c r="I1799" s="19">
        <v>3</v>
      </c>
      <c r="J1799" s="21">
        <v>700</v>
      </c>
      <c r="K1799" s="22">
        <v>0.08</v>
      </c>
      <c r="L1799" s="21">
        <v>1932</v>
      </c>
    </row>
    <row r="1800" spans="1:12">
      <c r="A1800" s="19" t="s">
        <v>1870</v>
      </c>
      <c r="B1800" s="20">
        <v>46170</v>
      </c>
      <c r="C1800" s="19" t="s">
        <v>47</v>
      </c>
      <c r="D1800" s="19" t="s">
        <v>14</v>
      </c>
      <c r="E1800" s="19" t="s">
        <v>15</v>
      </c>
      <c r="F1800" s="19" t="s">
        <v>16</v>
      </c>
      <c r="G1800" s="19" t="s">
        <v>65</v>
      </c>
      <c r="H1800" s="19" t="s">
        <v>83</v>
      </c>
      <c r="I1800" s="19">
        <v>2</v>
      </c>
      <c r="J1800" s="21">
        <v>81.599999999999994</v>
      </c>
      <c r="K1800" s="22">
        <v>0.08</v>
      </c>
      <c r="L1800" s="21">
        <v>150.14400000000001</v>
      </c>
    </row>
    <row r="1801" spans="1:12">
      <c r="A1801" s="19" t="s">
        <v>1871</v>
      </c>
      <c r="B1801" s="20">
        <v>46295</v>
      </c>
      <c r="C1801" s="19" t="s">
        <v>20</v>
      </c>
      <c r="D1801" s="19" t="s">
        <v>35</v>
      </c>
      <c r="E1801" s="19" t="s">
        <v>22</v>
      </c>
      <c r="F1801" s="19" t="s">
        <v>60</v>
      </c>
      <c r="G1801" s="19" t="s">
        <v>61</v>
      </c>
      <c r="H1801" s="19" t="s">
        <v>25</v>
      </c>
      <c r="I1801" s="19">
        <v>2</v>
      </c>
      <c r="J1801" s="21">
        <v>901</v>
      </c>
      <c r="K1801" s="22">
        <v>0.2</v>
      </c>
      <c r="L1801" s="21">
        <v>1441.6000000000001</v>
      </c>
    </row>
    <row r="1802" spans="1:12">
      <c r="A1802" s="19" t="s">
        <v>1872</v>
      </c>
      <c r="B1802" s="20">
        <v>46056</v>
      </c>
      <c r="C1802" s="19" t="s">
        <v>31</v>
      </c>
      <c r="D1802" s="19" t="s">
        <v>14</v>
      </c>
      <c r="E1802" s="19" t="s">
        <v>22</v>
      </c>
      <c r="F1802" s="19" t="s">
        <v>27</v>
      </c>
      <c r="G1802" s="19" t="s">
        <v>32</v>
      </c>
      <c r="H1802" s="19" t="s">
        <v>39</v>
      </c>
      <c r="I1802" s="19">
        <v>4</v>
      </c>
      <c r="J1802" s="21">
        <v>280</v>
      </c>
      <c r="K1802" s="22">
        <v>0.2</v>
      </c>
      <c r="L1802" s="21">
        <v>896</v>
      </c>
    </row>
    <row r="1803" spans="1:12">
      <c r="A1803" s="19" t="s">
        <v>1873</v>
      </c>
      <c r="B1803" s="20">
        <v>46203</v>
      </c>
      <c r="C1803" s="19" t="s">
        <v>13</v>
      </c>
      <c r="D1803" s="19" t="s">
        <v>14</v>
      </c>
      <c r="E1803" s="19" t="s">
        <v>22</v>
      </c>
      <c r="F1803" s="19" t="s">
        <v>27</v>
      </c>
      <c r="G1803" s="19" t="s">
        <v>32</v>
      </c>
      <c r="H1803" s="19" t="s">
        <v>29</v>
      </c>
      <c r="I1803" s="19">
        <v>5</v>
      </c>
      <c r="J1803" s="21">
        <v>296.8</v>
      </c>
      <c r="K1803" s="22">
        <v>0.15</v>
      </c>
      <c r="L1803" s="21">
        <v>1261.3999999999999</v>
      </c>
    </row>
    <row r="1804" spans="1:12">
      <c r="A1804" s="19" t="s">
        <v>1874</v>
      </c>
      <c r="B1804" s="20">
        <v>46114</v>
      </c>
      <c r="C1804" s="19" t="s">
        <v>47</v>
      </c>
      <c r="D1804" s="19" t="s">
        <v>41</v>
      </c>
      <c r="E1804" s="19" t="s">
        <v>22</v>
      </c>
      <c r="F1804" s="19" t="s">
        <v>48</v>
      </c>
      <c r="G1804" s="19" t="s">
        <v>99</v>
      </c>
      <c r="H1804" s="19" t="s">
        <v>83</v>
      </c>
      <c r="I1804" s="19">
        <v>1</v>
      </c>
      <c r="J1804" s="21">
        <v>3000</v>
      </c>
      <c r="K1804" s="22">
        <v>0.03</v>
      </c>
      <c r="L1804" s="21">
        <v>2910</v>
      </c>
    </row>
    <row r="1805" spans="1:12">
      <c r="A1805" s="19" t="s">
        <v>1875</v>
      </c>
      <c r="B1805" s="20">
        <v>46324</v>
      </c>
      <c r="C1805" s="19" t="s">
        <v>13</v>
      </c>
      <c r="D1805" s="19" t="s">
        <v>21</v>
      </c>
      <c r="E1805" s="19" t="s">
        <v>15</v>
      </c>
      <c r="F1805" s="19" t="s">
        <v>16</v>
      </c>
      <c r="G1805" s="19" t="s">
        <v>69</v>
      </c>
      <c r="H1805" s="19" t="s">
        <v>43</v>
      </c>
      <c r="I1805" s="19">
        <v>4</v>
      </c>
      <c r="J1805" s="21">
        <v>57.2</v>
      </c>
      <c r="K1805" s="22">
        <v>0</v>
      </c>
      <c r="L1805" s="21">
        <v>228.8</v>
      </c>
    </row>
    <row r="1806" spans="1:12">
      <c r="A1806" s="19" t="s">
        <v>1876</v>
      </c>
      <c r="B1806" s="20">
        <v>46179</v>
      </c>
      <c r="C1806" s="19" t="s">
        <v>31</v>
      </c>
      <c r="D1806" s="19" t="s">
        <v>41</v>
      </c>
      <c r="E1806" s="19" t="s">
        <v>15</v>
      </c>
      <c r="F1806" s="19" t="s">
        <v>16</v>
      </c>
      <c r="G1806" s="19" t="s">
        <v>112</v>
      </c>
      <c r="H1806" s="19" t="s">
        <v>33</v>
      </c>
      <c r="I1806" s="19">
        <v>4</v>
      </c>
      <c r="J1806" s="21">
        <v>67.599999999999994</v>
      </c>
      <c r="K1806" s="22">
        <v>0.1</v>
      </c>
      <c r="L1806" s="21">
        <v>243.35999999999999</v>
      </c>
    </row>
    <row r="1807" spans="1:12">
      <c r="A1807" s="19" t="s">
        <v>1877</v>
      </c>
      <c r="B1807" s="20">
        <v>46255</v>
      </c>
      <c r="C1807" s="19" t="s">
        <v>86</v>
      </c>
      <c r="D1807" s="19" t="s">
        <v>41</v>
      </c>
      <c r="E1807" s="19" t="s">
        <v>22</v>
      </c>
      <c r="F1807" s="19" t="s">
        <v>23</v>
      </c>
      <c r="G1807" s="19" t="s">
        <v>52</v>
      </c>
      <c r="H1807" s="19" t="s">
        <v>102</v>
      </c>
      <c r="I1807" s="19">
        <v>1</v>
      </c>
      <c r="J1807" s="21">
        <v>450</v>
      </c>
      <c r="K1807" s="22">
        <v>0.05</v>
      </c>
      <c r="L1807" s="21">
        <v>427.5</v>
      </c>
    </row>
    <row r="1808" spans="1:12">
      <c r="A1808" s="19" t="s">
        <v>1878</v>
      </c>
      <c r="B1808" s="20">
        <v>46202</v>
      </c>
      <c r="C1808" s="19" t="s">
        <v>47</v>
      </c>
      <c r="D1808" s="19" t="s">
        <v>14</v>
      </c>
      <c r="E1808" s="19" t="s">
        <v>22</v>
      </c>
      <c r="F1808" s="19" t="s">
        <v>60</v>
      </c>
      <c r="G1808" s="19" t="s">
        <v>67</v>
      </c>
      <c r="H1808" s="19" t="s">
        <v>50</v>
      </c>
      <c r="I1808" s="19">
        <v>1</v>
      </c>
      <c r="J1808" s="21">
        <v>1425</v>
      </c>
      <c r="K1808" s="22">
        <v>0</v>
      </c>
      <c r="L1808" s="21">
        <v>1425</v>
      </c>
    </row>
    <row r="1809" spans="1:12">
      <c r="A1809" s="19" t="s">
        <v>1879</v>
      </c>
      <c r="B1809" s="20">
        <v>46034</v>
      </c>
      <c r="C1809" s="19" t="s">
        <v>20</v>
      </c>
      <c r="D1809" s="19" t="s">
        <v>14</v>
      </c>
      <c r="E1809" s="19" t="s">
        <v>22</v>
      </c>
      <c r="F1809" s="19" t="s">
        <v>48</v>
      </c>
      <c r="G1809" s="19" t="s">
        <v>99</v>
      </c>
      <c r="H1809" s="19" t="s">
        <v>63</v>
      </c>
      <c r="I1809" s="19">
        <v>1</v>
      </c>
      <c r="J1809" s="21">
        <v>3060</v>
      </c>
      <c r="K1809" s="22">
        <v>0.08</v>
      </c>
      <c r="L1809" s="21">
        <v>2815.2000000000003</v>
      </c>
    </row>
    <row r="1810" spans="1:12">
      <c r="A1810" s="19" t="s">
        <v>1880</v>
      </c>
      <c r="B1810" s="20">
        <v>46135</v>
      </c>
      <c r="C1810" s="19" t="s">
        <v>47</v>
      </c>
      <c r="D1810" s="19" t="s">
        <v>21</v>
      </c>
      <c r="E1810" s="19" t="s">
        <v>22</v>
      </c>
      <c r="F1810" s="19" t="s">
        <v>16</v>
      </c>
      <c r="G1810" s="19" t="s">
        <v>65</v>
      </c>
      <c r="H1810" s="19" t="s">
        <v>83</v>
      </c>
      <c r="I1810" s="19">
        <v>2</v>
      </c>
      <c r="J1810" s="21">
        <v>81.599999999999994</v>
      </c>
      <c r="K1810" s="22">
        <v>0.03</v>
      </c>
      <c r="L1810" s="21">
        <v>158.30399999999997</v>
      </c>
    </row>
    <row r="1811" spans="1:12">
      <c r="A1811" s="19" t="s">
        <v>1881</v>
      </c>
      <c r="B1811" s="20">
        <v>46372</v>
      </c>
      <c r="C1811" s="19" t="s">
        <v>86</v>
      </c>
      <c r="D1811" s="19" t="s">
        <v>14</v>
      </c>
      <c r="E1811" s="19" t="s">
        <v>22</v>
      </c>
      <c r="F1811" s="19" t="s">
        <v>60</v>
      </c>
      <c r="G1811" s="19" t="s">
        <v>91</v>
      </c>
      <c r="H1811" s="19" t="s">
        <v>87</v>
      </c>
      <c r="I1811" s="19">
        <v>1</v>
      </c>
      <c r="J1811" s="21">
        <v>603.20000000000005</v>
      </c>
      <c r="K1811" s="22">
        <v>0.08</v>
      </c>
      <c r="L1811" s="21">
        <v>554.94400000000007</v>
      </c>
    </row>
    <row r="1812" spans="1:12">
      <c r="A1812" s="19" t="s">
        <v>1882</v>
      </c>
      <c r="B1812" s="20">
        <v>46079</v>
      </c>
      <c r="C1812" s="19" t="s">
        <v>20</v>
      </c>
      <c r="D1812" s="19" t="s">
        <v>14</v>
      </c>
      <c r="E1812" s="19" t="s">
        <v>22</v>
      </c>
      <c r="F1812" s="19" t="s">
        <v>23</v>
      </c>
      <c r="G1812" s="19" t="s">
        <v>38</v>
      </c>
      <c r="H1812" s="19" t="s">
        <v>63</v>
      </c>
      <c r="I1812" s="19">
        <v>3</v>
      </c>
      <c r="J1812" s="21">
        <v>320</v>
      </c>
      <c r="K1812" s="22">
        <v>0</v>
      </c>
      <c r="L1812" s="21">
        <v>960</v>
      </c>
    </row>
    <row r="1813" spans="1:12">
      <c r="A1813" s="19" t="s">
        <v>1883</v>
      </c>
      <c r="B1813" s="20">
        <v>46387</v>
      </c>
      <c r="C1813" s="19" t="s">
        <v>47</v>
      </c>
      <c r="D1813" s="19" t="s">
        <v>21</v>
      </c>
      <c r="E1813" s="19" t="s">
        <v>15</v>
      </c>
      <c r="F1813" s="19" t="s">
        <v>60</v>
      </c>
      <c r="G1813" s="19" t="s">
        <v>67</v>
      </c>
      <c r="H1813" s="19" t="s">
        <v>55</v>
      </c>
      <c r="I1813" s="19">
        <v>1</v>
      </c>
      <c r="J1813" s="21">
        <v>1560</v>
      </c>
      <c r="K1813" s="22">
        <v>0.05</v>
      </c>
      <c r="L1813" s="21">
        <v>1482</v>
      </c>
    </row>
    <row r="1814" spans="1:12">
      <c r="A1814" s="19" t="s">
        <v>1884</v>
      </c>
      <c r="B1814" s="20">
        <v>46270</v>
      </c>
      <c r="C1814" s="19" t="s">
        <v>13</v>
      </c>
      <c r="D1814" s="19" t="s">
        <v>14</v>
      </c>
      <c r="E1814" s="19" t="s">
        <v>22</v>
      </c>
      <c r="F1814" s="19" t="s">
        <v>16</v>
      </c>
      <c r="G1814" s="19" t="s">
        <v>112</v>
      </c>
      <c r="H1814" s="19" t="s">
        <v>43</v>
      </c>
      <c r="I1814" s="19">
        <v>2</v>
      </c>
      <c r="J1814" s="21">
        <v>61.75</v>
      </c>
      <c r="K1814" s="22">
        <v>0</v>
      </c>
      <c r="L1814" s="21">
        <v>123.5</v>
      </c>
    </row>
    <row r="1815" spans="1:12">
      <c r="A1815" s="19" t="s">
        <v>1885</v>
      </c>
      <c r="B1815" s="20">
        <v>46129</v>
      </c>
      <c r="C1815" s="19" t="s">
        <v>31</v>
      </c>
      <c r="D1815" s="19" t="s">
        <v>35</v>
      </c>
      <c r="E1815" s="19" t="s">
        <v>15</v>
      </c>
      <c r="F1815" s="19" t="s">
        <v>48</v>
      </c>
      <c r="G1815" s="19" t="s">
        <v>71</v>
      </c>
      <c r="H1815" s="19" t="s">
        <v>79</v>
      </c>
      <c r="I1815" s="19">
        <v>1</v>
      </c>
      <c r="J1815" s="21">
        <v>3200</v>
      </c>
      <c r="K1815" s="22">
        <v>0.1</v>
      </c>
      <c r="L1815" s="21">
        <v>2880</v>
      </c>
    </row>
    <row r="1816" spans="1:12">
      <c r="A1816" s="19" t="s">
        <v>1886</v>
      </c>
      <c r="B1816" s="20">
        <v>46041</v>
      </c>
      <c r="C1816" s="19" t="s">
        <v>20</v>
      </c>
      <c r="D1816" s="19" t="s">
        <v>41</v>
      </c>
      <c r="E1816" s="19" t="s">
        <v>22</v>
      </c>
      <c r="F1816" s="19" t="s">
        <v>16</v>
      </c>
      <c r="G1816" s="19" t="s">
        <v>17</v>
      </c>
      <c r="H1816" s="19" t="s">
        <v>25</v>
      </c>
      <c r="I1816" s="19">
        <v>1</v>
      </c>
      <c r="J1816" s="21">
        <v>14.55</v>
      </c>
      <c r="K1816" s="22">
        <v>0.03</v>
      </c>
      <c r="L1816" s="21">
        <v>14.1135</v>
      </c>
    </row>
    <row r="1817" spans="1:12">
      <c r="A1817" s="19" t="s">
        <v>1887</v>
      </c>
      <c r="B1817" s="20">
        <v>46307</v>
      </c>
      <c r="C1817" s="19" t="s">
        <v>13</v>
      </c>
      <c r="D1817" s="19" t="s">
        <v>21</v>
      </c>
      <c r="E1817" s="19" t="s">
        <v>22</v>
      </c>
      <c r="F1817" s="19" t="s">
        <v>16</v>
      </c>
      <c r="G1817" s="19" t="s">
        <v>57</v>
      </c>
      <c r="H1817" s="19" t="s">
        <v>43</v>
      </c>
      <c r="I1817" s="19">
        <v>5</v>
      </c>
      <c r="J1817" s="21">
        <v>38</v>
      </c>
      <c r="K1817" s="22">
        <v>0.05</v>
      </c>
      <c r="L1817" s="21">
        <v>180.5</v>
      </c>
    </row>
    <row r="1818" spans="1:12">
      <c r="A1818" s="19" t="s">
        <v>1888</v>
      </c>
      <c r="B1818" s="20">
        <v>46216</v>
      </c>
      <c r="C1818" s="19" t="s">
        <v>86</v>
      </c>
      <c r="D1818" s="19" t="s">
        <v>14</v>
      </c>
      <c r="E1818" s="19" t="s">
        <v>22</v>
      </c>
      <c r="F1818" s="19" t="s">
        <v>16</v>
      </c>
      <c r="G1818" s="19" t="s">
        <v>57</v>
      </c>
      <c r="H1818" s="19" t="s">
        <v>102</v>
      </c>
      <c r="I1818" s="19">
        <v>3</v>
      </c>
      <c r="J1818" s="21">
        <v>38</v>
      </c>
      <c r="K1818" s="22">
        <v>0</v>
      </c>
      <c r="L1818" s="21">
        <v>114</v>
      </c>
    </row>
    <row r="1819" spans="1:12">
      <c r="A1819" s="19" t="s">
        <v>1889</v>
      </c>
      <c r="B1819" s="20">
        <v>46381</v>
      </c>
      <c r="C1819" s="19" t="s">
        <v>31</v>
      </c>
      <c r="D1819" s="19" t="s">
        <v>41</v>
      </c>
      <c r="E1819" s="19" t="s">
        <v>15</v>
      </c>
      <c r="F1819" s="19" t="s">
        <v>73</v>
      </c>
      <c r="G1819" s="19" t="s">
        <v>81</v>
      </c>
      <c r="H1819" s="19" t="s">
        <v>79</v>
      </c>
      <c r="I1819" s="19">
        <v>2</v>
      </c>
      <c r="J1819" s="21">
        <v>12.72</v>
      </c>
      <c r="K1819" s="22">
        <v>0.08</v>
      </c>
      <c r="L1819" s="21">
        <v>23.404800000000002</v>
      </c>
    </row>
    <row r="1820" spans="1:12">
      <c r="A1820" s="19" t="s">
        <v>1890</v>
      </c>
      <c r="B1820" s="20">
        <v>46343</v>
      </c>
      <c r="C1820" s="19" t="s">
        <v>86</v>
      </c>
      <c r="D1820" s="19" t="s">
        <v>35</v>
      </c>
      <c r="E1820" s="19" t="s">
        <v>22</v>
      </c>
      <c r="F1820" s="19" t="s">
        <v>60</v>
      </c>
      <c r="G1820" s="19" t="s">
        <v>76</v>
      </c>
      <c r="H1820" s="19" t="s">
        <v>102</v>
      </c>
      <c r="I1820" s="19">
        <v>2</v>
      </c>
      <c r="J1820" s="21">
        <v>700</v>
      </c>
      <c r="K1820" s="22">
        <v>0.03</v>
      </c>
      <c r="L1820" s="21">
        <v>1358</v>
      </c>
    </row>
    <row r="1821" spans="1:12">
      <c r="A1821" s="19" t="s">
        <v>1891</v>
      </c>
      <c r="B1821" s="20">
        <v>46302</v>
      </c>
      <c r="C1821" s="19" t="s">
        <v>86</v>
      </c>
      <c r="D1821" s="19" t="s">
        <v>14</v>
      </c>
      <c r="E1821" s="19" t="s">
        <v>22</v>
      </c>
      <c r="F1821" s="19" t="s">
        <v>23</v>
      </c>
      <c r="G1821" s="19" t="s">
        <v>24</v>
      </c>
      <c r="H1821" s="19" t="s">
        <v>93</v>
      </c>
      <c r="I1821" s="19">
        <v>1</v>
      </c>
      <c r="J1821" s="21">
        <v>90</v>
      </c>
      <c r="K1821" s="22">
        <v>0.03</v>
      </c>
      <c r="L1821" s="21">
        <v>87.3</v>
      </c>
    </row>
    <row r="1822" spans="1:12">
      <c r="A1822" s="19" t="s">
        <v>1892</v>
      </c>
      <c r="B1822" s="20">
        <v>46145</v>
      </c>
      <c r="C1822" s="19" t="s">
        <v>31</v>
      </c>
      <c r="D1822" s="19" t="s">
        <v>14</v>
      </c>
      <c r="E1822" s="19" t="s">
        <v>15</v>
      </c>
      <c r="F1822" s="19" t="s">
        <v>16</v>
      </c>
      <c r="G1822" s="19" t="s">
        <v>42</v>
      </c>
      <c r="H1822" s="19" t="s">
        <v>39</v>
      </c>
      <c r="I1822" s="19">
        <v>4</v>
      </c>
      <c r="J1822" s="21">
        <v>45</v>
      </c>
      <c r="K1822" s="22">
        <v>0.15</v>
      </c>
      <c r="L1822" s="21">
        <v>153</v>
      </c>
    </row>
    <row r="1823" spans="1:12">
      <c r="A1823" s="19" t="s">
        <v>1893</v>
      </c>
      <c r="B1823" s="20">
        <v>46318</v>
      </c>
      <c r="C1823" s="19" t="s">
        <v>47</v>
      </c>
      <c r="D1823" s="19" t="s">
        <v>14</v>
      </c>
      <c r="E1823" s="19" t="s">
        <v>22</v>
      </c>
      <c r="F1823" s="19" t="s">
        <v>60</v>
      </c>
      <c r="G1823" s="19" t="s">
        <v>76</v>
      </c>
      <c r="H1823" s="19" t="s">
        <v>55</v>
      </c>
      <c r="I1823" s="19">
        <v>2</v>
      </c>
      <c r="J1823" s="21">
        <v>700</v>
      </c>
      <c r="K1823" s="22">
        <v>0.05</v>
      </c>
      <c r="L1823" s="21">
        <v>1330</v>
      </c>
    </row>
    <row r="1824" spans="1:12">
      <c r="A1824" s="19" t="s">
        <v>1894</v>
      </c>
      <c r="B1824" s="20">
        <v>46104</v>
      </c>
      <c r="C1824" s="19" t="s">
        <v>31</v>
      </c>
      <c r="D1824" s="19" t="s">
        <v>35</v>
      </c>
      <c r="E1824" s="19" t="s">
        <v>15</v>
      </c>
      <c r="F1824" s="19" t="s">
        <v>48</v>
      </c>
      <c r="G1824" s="19" t="s">
        <v>49</v>
      </c>
      <c r="H1824" s="19" t="s">
        <v>39</v>
      </c>
      <c r="I1824" s="19">
        <v>1</v>
      </c>
      <c r="J1824" s="21">
        <v>4368</v>
      </c>
      <c r="K1824" s="22">
        <v>0.1</v>
      </c>
      <c r="L1824" s="21">
        <v>3931.2000000000003</v>
      </c>
    </row>
    <row r="1825" spans="1:12">
      <c r="A1825" s="19" t="s">
        <v>1895</v>
      </c>
      <c r="B1825" s="20">
        <v>46082</v>
      </c>
      <c r="C1825" s="19" t="s">
        <v>31</v>
      </c>
      <c r="D1825" s="19" t="s">
        <v>14</v>
      </c>
      <c r="E1825" s="19" t="s">
        <v>15</v>
      </c>
      <c r="F1825" s="19" t="s">
        <v>16</v>
      </c>
      <c r="G1825" s="19" t="s">
        <v>57</v>
      </c>
      <c r="H1825" s="19" t="s">
        <v>79</v>
      </c>
      <c r="I1825" s="19">
        <v>3</v>
      </c>
      <c r="J1825" s="21">
        <v>38</v>
      </c>
      <c r="K1825" s="22">
        <v>0</v>
      </c>
      <c r="L1825" s="21">
        <v>114</v>
      </c>
    </row>
    <row r="1826" spans="1:12">
      <c r="A1826" s="19" t="s">
        <v>1896</v>
      </c>
      <c r="B1826" s="20">
        <v>46043</v>
      </c>
      <c r="C1826" s="19" t="s">
        <v>31</v>
      </c>
      <c r="D1826" s="19" t="s">
        <v>41</v>
      </c>
      <c r="E1826" s="19" t="s">
        <v>15</v>
      </c>
      <c r="F1826" s="19" t="s">
        <v>73</v>
      </c>
      <c r="G1826" s="19" t="s">
        <v>81</v>
      </c>
      <c r="H1826" s="19" t="s">
        <v>79</v>
      </c>
      <c r="I1826" s="19">
        <v>6</v>
      </c>
      <c r="J1826" s="21">
        <v>11.4</v>
      </c>
      <c r="K1826" s="22">
        <v>0.08</v>
      </c>
      <c r="L1826" s="21">
        <v>62.928000000000011</v>
      </c>
    </row>
    <row r="1827" spans="1:12">
      <c r="A1827" s="19" t="s">
        <v>1897</v>
      </c>
      <c r="B1827" s="20">
        <v>46383</v>
      </c>
      <c r="C1827" s="19" t="s">
        <v>47</v>
      </c>
      <c r="D1827" s="19" t="s">
        <v>14</v>
      </c>
      <c r="E1827" s="19" t="s">
        <v>22</v>
      </c>
      <c r="F1827" s="19" t="s">
        <v>23</v>
      </c>
      <c r="G1827" s="19" t="s">
        <v>52</v>
      </c>
      <c r="H1827" s="19" t="s">
        <v>83</v>
      </c>
      <c r="I1827" s="19">
        <v>2</v>
      </c>
      <c r="J1827" s="21">
        <v>427.5</v>
      </c>
      <c r="K1827" s="22">
        <v>0.08</v>
      </c>
      <c r="L1827" s="21">
        <v>786.6</v>
      </c>
    </row>
    <row r="1828" spans="1:12">
      <c r="A1828" s="19" t="s">
        <v>1898</v>
      </c>
      <c r="B1828" s="20">
        <v>46096</v>
      </c>
      <c r="C1828" s="19" t="s">
        <v>13</v>
      </c>
      <c r="D1828" s="19" t="s">
        <v>41</v>
      </c>
      <c r="E1828" s="19" t="s">
        <v>22</v>
      </c>
      <c r="F1828" s="19" t="s">
        <v>16</v>
      </c>
      <c r="G1828" s="19" t="s">
        <v>65</v>
      </c>
      <c r="H1828" s="19" t="s">
        <v>29</v>
      </c>
      <c r="I1828" s="19">
        <v>6</v>
      </c>
      <c r="J1828" s="21">
        <v>80</v>
      </c>
      <c r="K1828" s="22">
        <v>0.08</v>
      </c>
      <c r="L1828" s="21">
        <v>441.6</v>
      </c>
    </row>
    <row r="1829" spans="1:12">
      <c r="A1829" s="19" t="s">
        <v>1899</v>
      </c>
      <c r="B1829" s="20">
        <v>46294</v>
      </c>
      <c r="C1829" s="19" t="s">
        <v>47</v>
      </c>
      <c r="D1829" s="19" t="s">
        <v>14</v>
      </c>
      <c r="E1829" s="19" t="s">
        <v>22</v>
      </c>
      <c r="F1829" s="19" t="s">
        <v>27</v>
      </c>
      <c r="G1829" s="19" t="s">
        <v>32</v>
      </c>
      <c r="H1829" s="19" t="s">
        <v>55</v>
      </c>
      <c r="I1829" s="19">
        <v>3</v>
      </c>
      <c r="J1829" s="21">
        <v>285.60000000000002</v>
      </c>
      <c r="K1829" s="22">
        <v>0.15</v>
      </c>
      <c r="L1829" s="21">
        <v>728.28000000000009</v>
      </c>
    </row>
    <row r="1830" spans="1:12">
      <c r="A1830" s="19" t="s">
        <v>1900</v>
      </c>
      <c r="B1830" s="20">
        <v>46381</v>
      </c>
      <c r="C1830" s="19" t="s">
        <v>47</v>
      </c>
      <c r="D1830" s="19" t="s">
        <v>21</v>
      </c>
      <c r="E1830" s="19" t="s">
        <v>22</v>
      </c>
      <c r="F1830" s="19" t="s">
        <v>16</v>
      </c>
      <c r="G1830" s="19" t="s">
        <v>69</v>
      </c>
      <c r="H1830" s="19" t="s">
        <v>50</v>
      </c>
      <c r="I1830" s="19">
        <v>7</v>
      </c>
      <c r="J1830" s="21">
        <v>55</v>
      </c>
      <c r="K1830" s="22">
        <v>0.03</v>
      </c>
      <c r="L1830" s="21">
        <v>373.45</v>
      </c>
    </row>
    <row r="1831" spans="1:12">
      <c r="A1831" s="19" t="s">
        <v>1901</v>
      </c>
      <c r="B1831" s="20">
        <v>46103</v>
      </c>
      <c r="C1831" s="19" t="s">
        <v>20</v>
      </c>
      <c r="D1831" s="19" t="s">
        <v>14</v>
      </c>
      <c r="E1831" s="19" t="s">
        <v>22</v>
      </c>
      <c r="F1831" s="19" t="s">
        <v>23</v>
      </c>
      <c r="G1831" s="19" t="s">
        <v>38</v>
      </c>
      <c r="H1831" s="19" t="s">
        <v>58</v>
      </c>
      <c r="I1831" s="19">
        <v>4</v>
      </c>
      <c r="J1831" s="21">
        <v>310.39999999999998</v>
      </c>
      <c r="K1831" s="22">
        <v>0.1</v>
      </c>
      <c r="L1831" s="21">
        <v>1117.44</v>
      </c>
    </row>
    <row r="1832" spans="1:12">
      <c r="A1832" s="19" t="s">
        <v>1902</v>
      </c>
      <c r="B1832" s="20">
        <v>46368</v>
      </c>
      <c r="C1832" s="19" t="s">
        <v>47</v>
      </c>
      <c r="D1832" s="19" t="s">
        <v>21</v>
      </c>
      <c r="E1832" s="19" t="s">
        <v>22</v>
      </c>
      <c r="F1832" s="19" t="s">
        <v>73</v>
      </c>
      <c r="G1832" s="19" t="s">
        <v>74</v>
      </c>
      <c r="H1832" s="19" t="s">
        <v>55</v>
      </c>
      <c r="I1832" s="19">
        <v>2</v>
      </c>
      <c r="J1832" s="21">
        <v>8.48</v>
      </c>
      <c r="K1832" s="22">
        <v>0.2</v>
      </c>
      <c r="L1832" s="21">
        <v>13.568000000000001</v>
      </c>
    </row>
    <row r="1833" spans="1:12">
      <c r="A1833" s="19" t="s">
        <v>1903</v>
      </c>
      <c r="B1833" s="20">
        <v>46357</v>
      </c>
      <c r="C1833" s="19" t="s">
        <v>86</v>
      </c>
      <c r="D1833" s="19" t="s">
        <v>41</v>
      </c>
      <c r="E1833" s="19" t="s">
        <v>22</v>
      </c>
      <c r="F1833" s="19" t="s">
        <v>16</v>
      </c>
      <c r="G1833" s="19" t="s">
        <v>42</v>
      </c>
      <c r="H1833" s="19" t="s">
        <v>87</v>
      </c>
      <c r="I1833" s="19">
        <v>4</v>
      </c>
      <c r="J1833" s="21">
        <v>46.8</v>
      </c>
      <c r="K1833" s="22">
        <v>0.1</v>
      </c>
      <c r="L1833" s="21">
        <v>168.48</v>
      </c>
    </row>
    <row r="1834" spans="1:12">
      <c r="A1834" s="19" t="s">
        <v>1904</v>
      </c>
      <c r="B1834" s="20">
        <v>46102</v>
      </c>
      <c r="C1834" s="19" t="s">
        <v>47</v>
      </c>
      <c r="D1834" s="19" t="s">
        <v>21</v>
      </c>
      <c r="E1834" s="19" t="s">
        <v>15</v>
      </c>
      <c r="F1834" s="19" t="s">
        <v>23</v>
      </c>
      <c r="G1834" s="19" t="s">
        <v>138</v>
      </c>
      <c r="H1834" s="19" t="s">
        <v>83</v>
      </c>
      <c r="I1834" s="19">
        <v>4</v>
      </c>
      <c r="J1834" s="21">
        <v>60</v>
      </c>
      <c r="K1834" s="22">
        <v>0.05</v>
      </c>
      <c r="L1834" s="21">
        <v>228</v>
      </c>
    </row>
    <row r="1835" spans="1:12">
      <c r="A1835" s="19" t="s">
        <v>1905</v>
      </c>
      <c r="B1835" s="20">
        <v>46265</v>
      </c>
      <c r="C1835" s="19" t="s">
        <v>86</v>
      </c>
      <c r="D1835" s="19" t="s">
        <v>21</v>
      </c>
      <c r="E1835" s="19" t="s">
        <v>22</v>
      </c>
      <c r="F1835" s="19" t="s">
        <v>16</v>
      </c>
      <c r="G1835" s="19" t="s">
        <v>65</v>
      </c>
      <c r="H1835" s="19" t="s">
        <v>93</v>
      </c>
      <c r="I1835" s="19">
        <v>3</v>
      </c>
      <c r="J1835" s="21">
        <v>83.2</v>
      </c>
      <c r="K1835" s="22">
        <v>0.05</v>
      </c>
      <c r="L1835" s="21">
        <v>237.12</v>
      </c>
    </row>
    <row r="1836" spans="1:12">
      <c r="A1836" s="19" t="s">
        <v>1906</v>
      </c>
      <c r="B1836" s="20">
        <v>46213</v>
      </c>
      <c r="C1836" s="19" t="s">
        <v>86</v>
      </c>
      <c r="D1836" s="19" t="s">
        <v>21</v>
      </c>
      <c r="E1836" s="19" t="s">
        <v>22</v>
      </c>
      <c r="F1836" s="19" t="s">
        <v>16</v>
      </c>
      <c r="G1836" s="19" t="s">
        <v>17</v>
      </c>
      <c r="H1836" s="19" t="s">
        <v>87</v>
      </c>
      <c r="I1836" s="19">
        <v>4</v>
      </c>
      <c r="J1836" s="21">
        <v>15</v>
      </c>
      <c r="K1836" s="22">
        <v>0.05</v>
      </c>
      <c r="L1836" s="21">
        <v>57</v>
      </c>
    </row>
    <row r="1837" spans="1:12">
      <c r="A1837" s="19" t="s">
        <v>1907</v>
      </c>
      <c r="B1837" s="20">
        <v>46369</v>
      </c>
      <c r="C1837" s="19" t="s">
        <v>20</v>
      </c>
      <c r="D1837" s="19" t="s">
        <v>35</v>
      </c>
      <c r="E1837" s="19" t="s">
        <v>22</v>
      </c>
      <c r="F1837" s="19" t="s">
        <v>48</v>
      </c>
      <c r="G1837" s="19" t="s">
        <v>71</v>
      </c>
      <c r="H1837" s="19" t="s">
        <v>58</v>
      </c>
      <c r="I1837" s="19">
        <v>1</v>
      </c>
      <c r="J1837" s="21">
        <v>3200</v>
      </c>
      <c r="K1837" s="22">
        <v>0.05</v>
      </c>
      <c r="L1837" s="21">
        <v>3040</v>
      </c>
    </row>
    <row r="1838" spans="1:12">
      <c r="A1838" s="19" t="s">
        <v>1908</v>
      </c>
      <c r="B1838" s="20">
        <v>46222</v>
      </c>
      <c r="C1838" s="19" t="s">
        <v>47</v>
      </c>
      <c r="D1838" s="19" t="s">
        <v>14</v>
      </c>
      <c r="E1838" s="19" t="s">
        <v>15</v>
      </c>
      <c r="F1838" s="19" t="s">
        <v>23</v>
      </c>
      <c r="G1838" s="19" t="s">
        <v>24</v>
      </c>
      <c r="H1838" s="19" t="s">
        <v>50</v>
      </c>
      <c r="I1838" s="19">
        <v>4</v>
      </c>
      <c r="J1838" s="21">
        <v>85.5</v>
      </c>
      <c r="K1838" s="22">
        <v>0.08</v>
      </c>
      <c r="L1838" s="21">
        <v>314.64</v>
      </c>
    </row>
    <row r="1839" spans="1:12">
      <c r="A1839" s="19" t="s">
        <v>1909</v>
      </c>
      <c r="B1839" s="20">
        <v>46254</v>
      </c>
      <c r="C1839" s="19" t="s">
        <v>31</v>
      </c>
      <c r="D1839" s="19" t="s">
        <v>14</v>
      </c>
      <c r="E1839" s="19" t="s">
        <v>22</v>
      </c>
      <c r="F1839" s="19" t="s">
        <v>23</v>
      </c>
      <c r="G1839" s="19" t="s">
        <v>24</v>
      </c>
      <c r="H1839" s="19" t="s">
        <v>79</v>
      </c>
      <c r="I1839" s="19">
        <v>3</v>
      </c>
      <c r="J1839" s="21">
        <v>93.6</v>
      </c>
      <c r="K1839" s="22">
        <v>0.2</v>
      </c>
      <c r="L1839" s="21">
        <v>224.64</v>
      </c>
    </row>
    <row r="1840" spans="1:12">
      <c r="A1840" s="19" t="s">
        <v>1910</v>
      </c>
      <c r="B1840" s="20">
        <v>46314</v>
      </c>
      <c r="C1840" s="19" t="s">
        <v>20</v>
      </c>
      <c r="D1840" s="19" t="s">
        <v>21</v>
      </c>
      <c r="E1840" s="19" t="s">
        <v>22</v>
      </c>
      <c r="F1840" s="19" t="s">
        <v>60</v>
      </c>
      <c r="G1840" s="19" t="s">
        <v>76</v>
      </c>
      <c r="H1840" s="19" t="s">
        <v>58</v>
      </c>
      <c r="I1840" s="19">
        <v>2</v>
      </c>
      <c r="J1840" s="21">
        <v>700</v>
      </c>
      <c r="K1840" s="22">
        <v>0.05</v>
      </c>
      <c r="L1840" s="21">
        <v>1330</v>
      </c>
    </row>
    <row r="1841" spans="1:12">
      <c r="A1841" s="19" t="s">
        <v>1911</v>
      </c>
      <c r="B1841" s="20">
        <v>46162</v>
      </c>
      <c r="C1841" s="19" t="s">
        <v>47</v>
      </c>
      <c r="D1841" s="19" t="s">
        <v>14</v>
      </c>
      <c r="E1841" s="19" t="s">
        <v>15</v>
      </c>
      <c r="F1841" s="19" t="s">
        <v>27</v>
      </c>
      <c r="G1841" s="19" t="s">
        <v>36</v>
      </c>
      <c r="H1841" s="19" t="s">
        <v>83</v>
      </c>
      <c r="I1841" s="19">
        <v>1</v>
      </c>
      <c r="J1841" s="21">
        <v>750</v>
      </c>
      <c r="K1841" s="22">
        <v>0.05</v>
      </c>
      <c r="L1841" s="21">
        <v>712.5</v>
      </c>
    </row>
    <row r="1842" spans="1:12">
      <c r="A1842" s="19" t="s">
        <v>1912</v>
      </c>
      <c r="B1842" s="20">
        <v>46343</v>
      </c>
      <c r="C1842" s="19" t="s">
        <v>47</v>
      </c>
      <c r="D1842" s="19" t="s">
        <v>14</v>
      </c>
      <c r="E1842" s="19" t="s">
        <v>22</v>
      </c>
      <c r="F1842" s="19" t="s">
        <v>60</v>
      </c>
      <c r="G1842" s="19" t="s">
        <v>91</v>
      </c>
      <c r="H1842" s="19" t="s">
        <v>50</v>
      </c>
      <c r="I1842" s="19">
        <v>1</v>
      </c>
      <c r="J1842" s="21">
        <v>603.20000000000005</v>
      </c>
      <c r="K1842" s="22">
        <v>0.1</v>
      </c>
      <c r="L1842" s="21">
        <v>542.88000000000011</v>
      </c>
    </row>
    <row r="1843" spans="1:12">
      <c r="A1843" s="19" t="s">
        <v>1913</v>
      </c>
      <c r="B1843" s="20">
        <v>46123</v>
      </c>
      <c r="C1843" s="19" t="s">
        <v>31</v>
      </c>
      <c r="D1843" s="19" t="s">
        <v>21</v>
      </c>
      <c r="E1843" s="19" t="s">
        <v>22</v>
      </c>
      <c r="F1843" s="19" t="s">
        <v>60</v>
      </c>
      <c r="G1843" s="19" t="s">
        <v>76</v>
      </c>
      <c r="H1843" s="19" t="s">
        <v>79</v>
      </c>
      <c r="I1843" s="19">
        <v>1</v>
      </c>
      <c r="J1843" s="21">
        <v>665</v>
      </c>
      <c r="K1843" s="22">
        <v>0</v>
      </c>
      <c r="L1843" s="21">
        <v>665</v>
      </c>
    </row>
    <row r="1844" spans="1:12">
      <c r="A1844" s="19" t="s">
        <v>1914</v>
      </c>
      <c r="B1844" s="20">
        <v>46086</v>
      </c>
      <c r="C1844" s="19" t="s">
        <v>47</v>
      </c>
      <c r="D1844" s="19" t="s">
        <v>14</v>
      </c>
      <c r="E1844" s="19" t="s">
        <v>22</v>
      </c>
      <c r="F1844" s="19" t="s">
        <v>60</v>
      </c>
      <c r="G1844" s="19" t="s">
        <v>91</v>
      </c>
      <c r="H1844" s="19" t="s">
        <v>55</v>
      </c>
      <c r="I1844" s="19">
        <v>3</v>
      </c>
      <c r="J1844" s="21">
        <v>551</v>
      </c>
      <c r="K1844" s="22">
        <v>0</v>
      </c>
      <c r="L1844" s="21">
        <v>1653</v>
      </c>
    </row>
    <row r="1845" spans="1:12">
      <c r="A1845" s="19" t="s">
        <v>1915</v>
      </c>
      <c r="B1845" s="20">
        <v>46338</v>
      </c>
      <c r="C1845" s="19" t="s">
        <v>20</v>
      </c>
      <c r="D1845" s="19" t="s">
        <v>35</v>
      </c>
      <c r="E1845" s="19" t="s">
        <v>15</v>
      </c>
      <c r="F1845" s="19" t="s">
        <v>27</v>
      </c>
      <c r="G1845" s="19" t="s">
        <v>36</v>
      </c>
      <c r="H1845" s="19" t="s">
        <v>58</v>
      </c>
      <c r="I1845" s="19">
        <v>5</v>
      </c>
      <c r="J1845" s="21">
        <v>712.5</v>
      </c>
      <c r="K1845" s="22">
        <v>0.05</v>
      </c>
      <c r="L1845" s="21">
        <v>3384.375</v>
      </c>
    </row>
    <row r="1846" spans="1:12">
      <c r="A1846" s="19" t="s">
        <v>1916</v>
      </c>
      <c r="B1846" s="20">
        <v>46223</v>
      </c>
      <c r="C1846" s="19" t="s">
        <v>20</v>
      </c>
      <c r="D1846" s="19" t="s">
        <v>21</v>
      </c>
      <c r="E1846" s="19" t="s">
        <v>22</v>
      </c>
      <c r="F1846" s="19" t="s">
        <v>73</v>
      </c>
      <c r="G1846" s="19" t="s">
        <v>127</v>
      </c>
      <c r="H1846" s="19" t="s">
        <v>25</v>
      </c>
      <c r="I1846" s="19">
        <v>2</v>
      </c>
      <c r="J1846" s="21">
        <v>25.5</v>
      </c>
      <c r="K1846" s="22">
        <v>0.15</v>
      </c>
      <c r="L1846" s="21">
        <v>43.35</v>
      </c>
    </row>
    <row r="1847" spans="1:12">
      <c r="A1847" s="19" t="s">
        <v>1917</v>
      </c>
      <c r="B1847" s="20">
        <v>46112</v>
      </c>
      <c r="C1847" s="19" t="s">
        <v>20</v>
      </c>
      <c r="D1847" s="19" t="s">
        <v>14</v>
      </c>
      <c r="E1847" s="19" t="s">
        <v>15</v>
      </c>
      <c r="F1847" s="19" t="s">
        <v>16</v>
      </c>
      <c r="G1847" s="19" t="s">
        <v>42</v>
      </c>
      <c r="H1847" s="19" t="s">
        <v>63</v>
      </c>
      <c r="I1847" s="19">
        <v>4</v>
      </c>
      <c r="J1847" s="21">
        <v>45.9</v>
      </c>
      <c r="K1847" s="22">
        <v>0.08</v>
      </c>
      <c r="L1847" s="21">
        <v>168.91200000000001</v>
      </c>
    </row>
    <row r="1848" spans="1:12">
      <c r="A1848" s="19" t="s">
        <v>1918</v>
      </c>
      <c r="B1848" s="20">
        <v>46081</v>
      </c>
      <c r="C1848" s="19" t="s">
        <v>13</v>
      </c>
      <c r="D1848" s="19" t="s">
        <v>14</v>
      </c>
      <c r="E1848" s="19" t="s">
        <v>15</v>
      </c>
      <c r="F1848" s="19" t="s">
        <v>27</v>
      </c>
      <c r="G1848" s="19" t="s">
        <v>28</v>
      </c>
      <c r="H1848" s="19" t="s">
        <v>43</v>
      </c>
      <c r="I1848" s="19">
        <v>2</v>
      </c>
      <c r="J1848" s="21">
        <v>20.8</v>
      </c>
      <c r="K1848" s="22">
        <v>0.05</v>
      </c>
      <c r="L1848" s="21">
        <v>39.519999999999996</v>
      </c>
    </row>
    <row r="1849" spans="1:12">
      <c r="A1849" s="19" t="s">
        <v>1919</v>
      </c>
      <c r="B1849" s="20">
        <v>46096</v>
      </c>
      <c r="C1849" s="19" t="s">
        <v>47</v>
      </c>
      <c r="D1849" s="19" t="s">
        <v>35</v>
      </c>
      <c r="E1849" s="19" t="s">
        <v>22</v>
      </c>
      <c r="F1849" s="19" t="s">
        <v>48</v>
      </c>
      <c r="G1849" s="19" t="s">
        <v>49</v>
      </c>
      <c r="H1849" s="19" t="s">
        <v>55</v>
      </c>
      <c r="I1849" s="19">
        <v>1</v>
      </c>
      <c r="J1849" s="21">
        <v>3990</v>
      </c>
      <c r="K1849" s="22">
        <v>0.08</v>
      </c>
      <c r="L1849" s="21">
        <v>3670.8</v>
      </c>
    </row>
    <row r="1850" spans="1:12">
      <c r="A1850" s="19" t="s">
        <v>1920</v>
      </c>
      <c r="B1850" s="20">
        <v>46377</v>
      </c>
      <c r="C1850" s="19" t="s">
        <v>31</v>
      </c>
      <c r="D1850" s="19" t="s">
        <v>21</v>
      </c>
      <c r="E1850" s="19" t="s">
        <v>22</v>
      </c>
      <c r="F1850" s="19" t="s">
        <v>23</v>
      </c>
      <c r="G1850" s="19" t="s">
        <v>52</v>
      </c>
      <c r="H1850" s="19" t="s">
        <v>33</v>
      </c>
      <c r="I1850" s="19">
        <v>1</v>
      </c>
      <c r="J1850" s="21">
        <v>427.5</v>
      </c>
      <c r="K1850" s="22">
        <v>0.15</v>
      </c>
      <c r="L1850" s="21">
        <v>363.375</v>
      </c>
    </row>
    <row r="1851" spans="1:12">
      <c r="A1851" s="19" t="s">
        <v>1921</v>
      </c>
      <c r="B1851" s="20">
        <v>46165</v>
      </c>
      <c r="C1851" s="19" t="s">
        <v>31</v>
      </c>
      <c r="D1851" s="19" t="s">
        <v>14</v>
      </c>
      <c r="E1851" s="19" t="s">
        <v>22</v>
      </c>
      <c r="F1851" s="19" t="s">
        <v>48</v>
      </c>
      <c r="G1851" s="19" t="s">
        <v>54</v>
      </c>
      <c r="H1851" s="19" t="s">
        <v>33</v>
      </c>
      <c r="I1851" s="19">
        <v>1</v>
      </c>
      <c r="J1851" s="21">
        <v>1800</v>
      </c>
      <c r="K1851" s="22">
        <v>0.15</v>
      </c>
      <c r="L1851" s="21">
        <v>1530</v>
      </c>
    </row>
    <row r="1852" spans="1:12">
      <c r="A1852" s="19" t="s">
        <v>1922</v>
      </c>
      <c r="B1852" s="20">
        <v>46225</v>
      </c>
      <c r="C1852" s="19" t="s">
        <v>86</v>
      </c>
      <c r="D1852" s="19" t="s">
        <v>21</v>
      </c>
      <c r="E1852" s="19" t="s">
        <v>22</v>
      </c>
      <c r="F1852" s="19" t="s">
        <v>48</v>
      </c>
      <c r="G1852" s="19" t="s">
        <v>54</v>
      </c>
      <c r="H1852" s="19" t="s">
        <v>93</v>
      </c>
      <c r="I1852" s="19">
        <v>1</v>
      </c>
      <c r="J1852" s="21">
        <v>1800</v>
      </c>
      <c r="K1852" s="22">
        <v>0</v>
      </c>
      <c r="L1852" s="21">
        <v>1800</v>
      </c>
    </row>
    <row r="1853" spans="1:12">
      <c r="A1853" s="19" t="s">
        <v>1923</v>
      </c>
      <c r="B1853" s="20">
        <v>46300</v>
      </c>
      <c r="C1853" s="19" t="s">
        <v>31</v>
      </c>
      <c r="D1853" s="19" t="s">
        <v>41</v>
      </c>
      <c r="E1853" s="19" t="s">
        <v>22</v>
      </c>
      <c r="F1853" s="19" t="s">
        <v>48</v>
      </c>
      <c r="G1853" s="19" t="s">
        <v>49</v>
      </c>
      <c r="H1853" s="19" t="s">
        <v>79</v>
      </c>
      <c r="I1853" s="19">
        <v>1</v>
      </c>
      <c r="J1853" s="21">
        <v>4200</v>
      </c>
      <c r="K1853" s="22">
        <v>0.05</v>
      </c>
      <c r="L1853" s="21">
        <v>3990</v>
      </c>
    </row>
    <row r="1854" spans="1:12">
      <c r="A1854" s="19" t="s">
        <v>1924</v>
      </c>
      <c r="B1854" s="20">
        <v>46109</v>
      </c>
      <c r="C1854" s="19" t="s">
        <v>31</v>
      </c>
      <c r="D1854" s="19" t="s">
        <v>21</v>
      </c>
      <c r="E1854" s="19" t="s">
        <v>15</v>
      </c>
      <c r="F1854" s="19" t="s">
        <v>16</v>
      </c>
      <c r="G1854" s="19" t="s">
        <v>17</v>
      </c>
      <c r="H1854" s="19" t="s">
        <v>33</v>
      </c>
      <c r="I1854" s="19">
        <v>2</v>
      </c>
      <c r="J1854" s="21">
        <v>15</v>
      </c>
      <c r="K1854" s="22">
        <v>0</v>
      </c>
      <c r="L1854" s="21">
        <v>30</v>
      </c>
    </row>
    <row r="1855" spans="1:12">
      <c r="A1855" s="19" t="s">
        <v>1925</v>
      </c>
      <c r="B1855" s="20">
        <v>46171</v>
      </c>
      <c r="C1855" s="19" t="s">
        <v>86</v>
      </c>
      <c r="D1855" s="19" t="s">
        <v>21</v>
      </c>
      <c r="E1855" s="19" t="s">
        <v>22</v>
      </c>
      <c r="F1855" s="19" t="s">
        <v>48</v>
      </c>
      <c r="G1855" s="19" t="s">
        <v>99</v>
      </c>
      <c r="H1855" s="19" t="s">
        <v>93</v>
      </c>
      <c r="I1855" s="19">
        <v>1</v>
      </c>
      <c r="J1855" s="21">
        <v>3000</v>
      </c>
      <c r="K1855" s="22">
        <v>0.03</v>
      </c>
      <c r="L1855" s="21">
        <v>2910</v>
      </c>
    </row>
    <row r="1856" spans="1:12">
      <c r="A1856" s="19" t="s">
        <v>1926</v>
      </c>
      <c r="B1856" s="20">
        <v>46353</v>
      </c>
      <c r="C1856" s="19" t="s">
        <v>31</v>
      </c>
      <c r="D1856" s="19" t="s">
        <v>14</v>
      </c>
      <c r="E1856" s="19" t="s">
        <v>15</v>
      </c>
      <c r="F1856" s="19" t="s">
        <v>73</v>
      </c>
      <c r="G1856" s="19" t="s">
        <v>81</v>
      </c>
      <c r="H1856" s="19" t="s">
        <v>79</v>
      </c>
      <c r="I1856" s="19">
        <v>2</v>
      </c>
      <c r="J1856" s="21">
        <v>12</v>
      </c>
      <c r="K1856" s="22">
        <v>0.05</v>
      </c>
      <c r="L1856" s="21">
        <v>22.799999999999997</v>
      </c>
    </row>
    <row r="1857" spans="1:12">
      <c r="A1857" s="19" t="s">
        <v>1927</v>
      </c>
      <c r="B1857" s="20">
        <v>46108</v>
      </c>
      <c r="C1857" s="19" t="s">
        <v>47</v>
      </c>
      <c r="D1857" s="19" t="s">
        <v>21</v>
      </c>
      <c r="E1857" s="19" t="s">
        <v>15</v>
      </c>
      <c r="F1857" s="19" t="s">
        <v>48</v>
      </c>
      <c r="G1857" s="19" t="s">
        <v>96</v>
      </c>
      <c r="H1857" s="19" t="s">
        <v>50</v>
      </c>
      <c r="I1857" s="19">
        <v>3</v>
      </c>
      <c r="J1857" s="21">
        <v>2500</v>
      </c>
      <c r="K1857" s="22">
        <v>0.15</v>
      </c>
      <c r="L1857" s="21">
        <v>6375</v>
      </c>
    </row>
    <row r="1858" spans="1:12">
      <c r="A1858" s="19" t="s">
        <v>1928</v>
      </c>
      <c r="B1858" s="20">
        <v>46381</v>
      </c>
      <c r="C1858" s="19" t="s">
        <v>20</v>
      </c>
      <c r="D1858" s="19" t="s">
        <v>41</v>
      </c>
      <c r="E1858" s="19" t="s">
        <v>22</v>
      </c>
      <c r="F1858" s="19" t="s">
        <v>23</v>
      </c>
      <c r="G1858" s="19" t="s">
        <v>24</v>
      </c>
      <c r="H1858" s="19" t="s">
        <v>58</v>
      </c>
      <c r="I1858" s="19">
        <v>1</v>
      </c>
      <c r="J1858" s="21">
        <v>95.4</v>
      </c>
      <c r="K1858" s="22">
        <v>0.15</v>
      </c>
      <c r="L1858" s="21">
        <v>81.09</v>
      </c>
    </row>
    <row r="1859" spans="1:12">
      <c r="A1859" s="19" t="s">
        <v>1929</v>
      </c>
      <c r="B1859" s="20">
        <v>46289</v>
      </c>
      <c r="C1859" s="19" t="s">
        <v>86</v>
      </c>
      <c r="D1859" s="19" t="s">
        <v>14</v>
      </c>
      <c r="E1859" s="19" t="s">
        <v>15</v>
      </c>
      <c r="F1859" s="19" t="s">
        <v>23</v>
      </c>
      <c r="G1859" s="19" t="s">
        <v>138</v>
      </c>
      <c r="H1859" s="19" t="s">
        <v>93</v>
      </c>
      <c r="I1859" s="19">
        <v>1</v>
      </c>
      <c r="J1859" s="21">
        <v>60</v>
      </c>
      <c r="K1859" s="22">
        <v>0.08</v>
      </c>
      <c r="L1859" s="21">
        <v>55.2</v>
      </c>
    </row>
    <row r="1860" spans="1:12">
      <c r="A1860" s="19" t="s">
        <v>1930</v>
      </c>
      <c r="B1860" s="20">
        <v>46277</v>
      </c>
      <c r="C1860" s="19" t="s">
        <v>31</v>
      </c>
      <c r="D1860" s="19" t="s">
        <v>41</v>
      </c>
      <c r="E1860" s="19" t="s">
        <v>15</v>
      </c>
      <c r="F1860" s="19" t="s">
        <v>16</v>
      </c>
      <c r="G1860" s="19" t="s">
        <v>65</v>
      </c>
      <c r="H1860" s="19" t="s">
        <v>33</v>
      </c>
      <c r="I1860" s="19">
        <v>2</v>
      </c>
      <c r="J1860" s="21">
        <v>81.599999999999994</v>
      </c>
      <c r="K1860" s="22">
        <v>0.08</v>
      </c>
      <c r="L1860" s="21">
        <v>150.14400000000001</v>
      </c>
    </row>
    <row r="1861" spans="1:12">
      <c r="A1861" s="19" t="s">
        <v>1931</v>
      </c>
      <c r="B1861" s="20">
        <v>46033</v>
      </c>
      <c r="C1861" s="19" t="s">
        <v>47</v>
      </c>
      <c r="D1861" s="19" t="s">
        <v>21</v>
      </c>
      <c r="E1861" s="19" t="s">
        <v>22</v>
      </c>
      <c r="F1861" s="19" t="s">
        <v>48</v>
      </c>
      <c r="G1861" s="19" t="s">
        <v>99</v>
      </c>
      <c r="H1861" s="19" t="s">
        <v>83</v>
      </c>
      <c r="I1861" s="19">
        <v>1</v>
      </c>
      <c r="J1861" s="21">
        <v>2910</v>
      </c>
      <c r="K1861" s="22">
        <v>0.05</v>
      </c>
      <c r="L1861" s="21">
        <v>2764.5</v>
      </c>
    </row>
    <row r="1862" spans="1:12">
      <c r="A1862" s="19" t="s">
        <v>1932</v>
      </c>
      <c r="B1862" s="20">
        <v>46198</v>
      </c>
      <c r="C1862" s="19" t="s">
        <v>86</v>
      </c>
      <c r="D1862" s="19" t="s">
        <v>14</v>
      </c>
      <c r="E1862" s="19" t="s">
        <v>22</v>
      </c>
      <c r="F1862" s="19" t="s">
        <v>16</v>
      </c>
      <c r="G1862" s="19" t="s">
        <v>65</v>
      </c>
      <c r="H1862" s="19" t="s">
        <v>102</v>
      </c>
      <c r="I1862" s="19">
        <v>1</v>
      </c>
      <c r="J1862" s="21">
        <v>80</v>
      </c>
      <c r="K1862" s="22">
        <v>0.15</v>
      </c>
      <c r="L1862" s="21">
        <v>68</v>
      </c>
    </row>
    <row r="1863" spans="1:12">
      <c r="A1863" s="19" t="s">
        <v>1933</v>
      </c>
      <c r="B1863" s="20">
        <v>46072</v>
      </c>
      <c r="C1863" s="19" t="s">
        <v>86</v>
      </c>
      <c r="D1863" s="19" t="s">
        <v>41</v>
      </c>
      <c r="E1863" s="19" t="s">
        <v>22</v>
      </c>
      <c r="F1863" s="19" t="s">
        <v>16</v>
      </c>
      <c r="G1863" s="19" t="s">
        <v>57</v>
      </c>
      <c r="H1863" s="19" t="s">
        <v>87</v>
      </c>
      <c r="I1863" s="19">
        <v>1</v>
      </c>
      <c r="J1863" s="21">
        <v>38</v>
      </c>
      <c r="K1863" s="22">
        <v>0.03</v>
      </c>
      <c r="L1863" s="21">
        <v>36.86</v>
      </c>
    </row>
    <row r="1864" spans="1:12">
      <c r="A1864" s="19" t="s">
        <v>1934</v>
      </c>
      <c r="B1864" s="20">
        <v>46211</v>
      </c>
      <c r="C1864" s="19" t="s">
        <v>31</v>
      </c>
      <c r="D1864" s="19" t="s">
        <v>21</v>
      </c>
      <c r="E1864" s="19" t="s">
        <v>22</v>
      </c>
      <c r="F1864" s="19" t="s">
        <v>73</v>
      </c>
      <c r="G1864" s="19" t="s">
        <v>127</v>
      </c>
      <c r="H1864" s="19" t="s">
        <v>39</v>
      </c>
      <c r="I1864" s="19">
        <v>1</v>
      </c>
      <c r="J1864" s="21">
        <v>25</v>
      </c>
      <c r="K1864" s="22">
        <v>0.08</v>
      </c>
      <c r="L1864" s="21">
        <v>23</v>
      </c>
    </row>
    <row r="1865" spans="1:12">
      <c r="A1865" s="19" t="s">
        <v>1935</v>
      </c>
      <c r="B1865" s="20">
        <v>46370</v>
      </c>
      <c r="C1865" s="19" t="s">
        <v>47</v>
      </c>
      <c r="D1865" s="19" t="s">
        <v>21</v>
      </c>
      <c r="E1865" s="19" t="s">
        <v>22</v>
      </c>
      <c r="F1865" s="19" t="s">
        <v>73</v>
      </c>
      <c r="G1865" s="19" t="s">
        <v>74</v>
      </c>
      <c r="H1865" s="19" t="s">
        <v>55</v>
      </c>
      <c r="I1865" s="19">
        <v>2</v>
      </c>
      <c r="J1865" s="21">
        <v>7.76</v>
      </c>
      <c r="K1865" s="22">
        <v>0.03</v>
      </c>
      <c r="L1865" s="21">
        <v>15.054399999999999</v>
      </c>
    </row>
    <row r="1866" spans="1:12">
      <c r="A1866" s="19" t="s">
        <v>1936</v>
      </c>
      <c r="B1866" s="20">
        <v>46174</v>
      </c>
      <c r="C1866" s="19" t="s">
        <v>86</v>
      </c>
      <c r="D1866" s="19" t="s">
        <v>21</v>
      </c>
      <c r="E1866" s="19" t="s">
        <v>15</v>
      </c>
      <c r="F1866" s="19" t="s">
        <v>23</v>
      </c>
      <c r="G1866" s="19" t="s">
        <v>138</v>
      </c>
      <c r="H1866" s="19" t="s">
        <v>102</v>
      </c>
      <c r="I1866" s="19">
        <v>1</v>
      </c>
      <c r="J1866" s="21">
        <v>60</v>
      </c>
      <c r="K1866" s="22">
        <v>0.1</v>
      </c>
      <c r="L1866" s="21">
        <v>54</v>
      </c>
    </row>
    <row r="1867" spans="1:12">
      <c r="A1867" s="19" t="s">
        <v>1937</v>
      </c>
      <c r="B1867" s="20">
        <v>46164</v>
      </c>
      <c r="C1867" s="19" t="s">
        <v>31</v>
      </c>
      <c r="D1867" s="19" t="s">
        <v>14</v>
      </c>
      <c r="E1867" s="19" t="s">
        <v>15</v>
      </c>
      <c r="F1867" s="19" t="s">
        <v>73</v>
      </c>
      <c r="G1867" s="19" t="s">
        <v>74</v>
      </c>
      <c r="H1867" s="19" t="s">
        <v>79</v>
      </c>
      <c r="I1867" s="19">
        <v>1</v>
      </c>
      <c r="J1867" s="21">
        <v>7.6</v>
      </c>
      <c r="K1867" s="22">
        <v>0.05</v>
      </c>
      <c r="L1867" s="21">
        <v>7.22</v>
      </c>
    </row>
    <row r="1868" spans="1:12">
      <c r="A1868" s="19" t="s">
        <v>1938</v>
      </c>
      <c r="B1868" s="20">
        <v>46164</v>
      </c>
      <c r="C1868" s="19" t="s">
        <v>20</v>
      </c>
      <c r="D1868" s="19" t="s">
        <v>14</v>
      </c>
      <c r="E1868" s="19" t="s">
        <v>22</v>
      </c>
      <c r="F1868" s="19" t="s">
        <v>60</v>
      </c>
      <c r="G1868" s="19" t="s">
        <v>76</v>
      </c>
      <c r="H1868" s="19" t="s">
        <v>58</v>
      </c>
      <c r="I1868" s="19">
        <v>2</v>
      </c>
      <c r="J1868" s="21">
        <v>742</v>
      </c>
      <c r="K1868" s="22">
        <v>0.15</v>
      </c>
      <c r="L1868" s="21">
        <v>1261.3999999999999</v>
      </c>
    </row>
    <row r="1869" spans="1:12">
      <c r="A1869" s="19" t="s">
        <v>1939</v>
      </c>
      <c r="B1869" s="20">
        <v>46345</v>
      </c>
      <c r="C1869" s="19" t="s">
        <v>47</v>
      </c>
      <c r="D1869" s="19" t="s">
        <v>41</v>
      </c>
      <c r="E1869" s="19" t="s">
        <v>15</v>
      </c>
      <c r="F1869" s="19" t="s">
        <v>73</v>
      </c>
      <c r="G1869" s="19" t="s">
        <v>81</v>
      </c>
      <c r="H1869" s="19" t="s">
        <v>83</v>
      </c>
      <c r="I1869" s="19">
        <v>6</v>
      </c>
      <c r="J1869" s="21">
        <v>12</v>
      </c>
      <c r="K1869" s="22">
        <v>0.1</v>
      </c>
      <c r="L1869" s="21">
        <v>64.8</v>
      </c>
    </row>
    <row r="1870" spans="1:12">
      <c r="A1870" s="19" t="s">
        <v>1940</v>
      </c>
      <c r="B1870" s="20">
        <v>46141</v>
      </c>
      <c r="C1870" s="19" t="s">
        <v>86</v>
      </c>
      <c r="D1870" s="19" t="s">
        <v>21</v>
      </c>
      <c r="E1870" s="19" t="s">
        <v>22</v>
      </c>
      <c r="F1870" s="19" t="s">
        <v>73</v>
      </c>
      <c r="G1870" s="19" t="s">
        <v>127</v>
      </c>
      <c r="H1870" s="19" t="s">
        <v>102</v>
      </c>
      <c r="I1870" s="19">
        <v>1</v>
      </c>
      <c r="J1870" s="21">
        <v>24.25</v>
      </c>
      <c r="K1870" s="22">
        <v>0.08</v>
      </c>
      <c r="L1870" s="21">
        <v>22.310000000000002</v>
      </c>
    </row>
    <row r="1871" spans="1:12">
      <c r="A1871" s="19" t="s">
        <v>1941</v>
      </c>
      <c r="B1871" s="20">
        <v>46192</v>
      </c>
      <c r="C1871" s="19" t="s">
        <v>31</v>
      </c>
      <c r="D1871" s="19" t="s">
        <v>41</v>
      </c>
      <c r="E1871" s="19" t="s">
        <v>22</v>
      </c>
      <c r="F1871" s="19" t="s">
        <v>23</v>
      </c>
      <c r="G1871" s="19" t="s">
        <v>138</v>
      </c>
      <c r="H1871" s="19" t="s">
        <v>39</v>
      </c>
      <c r="I1871" s="19">
        <v>1</v>
      </c>
      <c r="J1871" s="21">
        <v>60</v>
      </c>
      <c r="K1871" s="22">
        <v>0.03</v>
      </c>
      <c r="L1871" s="21">
        <v>58.199999999999996</v>
      </c>
    </row>
    <row r="1872" spans="1:12">
      <c r="A1872" s="19" t="s">
        <v>1942</v>
      </c>
      <c r="B1872" s="20">
        <v>46190</v>
      </c>
      <c r="C1872" s="19" t="s">
        <v>86</v>
      </c>
      <c r="D1872" s="19" t="s">
        <v>14</v>
      </c>
      <c r="E1872" s="19" t="s">
        <v>22</v>
      </c>
      <c r="F1872" s="19" t="s">
        <v>48</v>
      </c>
      <c r="G1872" s="19" t="s">
        <v>99</v>
      </c>
      <c r="H1872" s="19" t="s">
        <v>87</v>
      </c>
      <c r="I1872" s="19">
        <v>1</v>
      </c>
      <c r="J1872" s="21">
        <v>3000</v>
      </c>
      <c r="K1872" s="22">
        <v>0.2</v>
      </c>
      <c r="L1872" s="21">
        <v>2400</v>
      </c>
    </row>
    <row r="1873" spans="1:12">
      <c r="A1873" s="19" t="s">
        <v>1943</v>
      </c>
      <c r="B1873" s="20">
        <v>46249</v>
      </c>
      <c r="C1873" s="19" t="s">
        <v>20</v>
      </c>
      <c r="D1873" s="19" t="s">
        <v>21</v>
      </c>
      <c r="E1873" s="19" t="s">
        <v>22</v>
      </c>
      <c r="F1873" s="19" t="s">
        <v>73</v>
      </c>
      <c r="G1873" s="19" t="s">
        <v>145</v>
      </c>
      <c r="H1873" s="19" t="s">
        <v>58</v>
      </c>
      <c r="I1873" s="19">
        <v>3</v>
      </c>
      <c r="J1873" s="21">
        <v>18.36</v>
      </c>
      <c r="K1873" s="22">
        <v>0.08</v>
      </c>
      <c r="L1873" s="21">
        <v>50.6736</v>
      </c>
    </row>
    <row r="1874" spans="1:12">
      <c r="A1874" s="19" t="s">
        <v>1944</v>
      </c>
      <c r="B1874" s="20">
        <v>46070</v>
      </c>
      <c r="C1874" s="19" t="s">
        <v>13</v>
      </c>
      <c r="D1874" s="19" t="s">
        <v>41</v>
      </c>
      <c r="E1874" s="19" t="s">
        <v>15</v>
      </c>
      <c r="F1874" s="19" t="s">
        <v>16</v>
      </c>
      <c r="G1874" s="19" t="s">
        <v>69</v>
      </c>
      <c r="H1874" s="19" t="s">
        <v>43</v>
      </c>
      <c r="I1874" s="19">
        <v>4</v>
      </c>
      <c r="J1874" s="21">
        <v>58.3</v>
      </c>
      <c r="K1874" s="22">
        <v>0.08</v>
      </c>
      <c r="L1874" s="21">
        <v>214.54400000000001</v>
      </c>
    </row>
    <row r="1875" spans="1:12">
      <c r="A1875" s="19" t="s">
        <v>1945</v>
      </c>
      <c r="B1875" s="20">
        <v>46353</v>
      </c>
      <c r="C1875" s="19" t="s">
        <v>31</v>
      </c>
      <c r="D1875" s="19" t="s">
        <v>14</v>
      </c>
      <c r="E1875" s="19" t="s">
        <v>22</v>
      </c>
      <c r="F1875" s="19" t="s">
        <v>16</v>
      </c>
      <c r="G1875" s="19" t="s">
        <v>65</v>
      </c>
      <c r="H1875" s="19" t="s">
        <v>33</v>
      </c>
      <c r="I1875" s="19">
        <v>6</v>
      </c>
      <c r="J1875" s="21">
        <v>84.8</v>
      </c>
      <c r="K1875" s="22">
        <v>0.08</v>
      </c>
      <c r="L1875" s="21">
        <v>468.096</v>
      </c>
    </row>
    <row r="1876" spans="1:12">
      <c r="A1876" s="19" t="s">
        <v>1946</v>
      </c>
      <c r="B1876" s="20">
        <v>46312</v>
      </c>
      <c r="C1876" s="19" t="s">
        <v>86</v>
      </c>
      <c r="D1876" s="19" t="s">
        <v>41</v>
      </c>
      <c r="E1876" s="19" t="s">
        <v>22</v>
      </c>
      <c r="F1876" s="19" t="s">
        <v>73</v>
      </c>
      <c r="G1876" s="19" t="s">
        <v>129</v>
      </c>
      <c r="H1876" s="19" t="s">
        <v>93</v>
      </c>
      <c r="I1876" s="19">
        <v>2</v>
      </c>
      <c r="J1876" s="21">
        <v>35</v>
      </c>
      <c r="K1876" s="22">
        <v>0.1</v>
      </c>
      <c r="L1876" s="21">
        <v>63</v>
      </c>
    </row>
    <row r="1877" spans="1:12">
      <c r="A1877" s="19" t="s">
        <v>1947</v>
      </c>
      <c r="B1877" s="20">
        <v>46216</v>
      </c>
      <c r="C1877" s="19" t="s">
        <v>47</v>
      </c>
      <c r="D1877" s="19" t="s">
        <v>14</v>
      </c>
      <c r="E1877" s="19" t="s">
        <v>15</v>
      </c>
      <c r="F1877" s="19" t="s">
        <v>16</v>
      </c>
      <c r="G1877" s="19" t="s">
        <v>42</v>
      </c>
      <c r="H1877" s="19" t="s">
        <v>83</v>
      </c>
      <c r="I1877" s="19">
        <v>3</v>
      </c>
      <c r="J1877" s="21">
        <v>45</v>
      </c>
      <c r="K1877" s="22">
        <v>0.03</v>
      </c>
      <c r="L1877" s="21">
        <v>130.94999999999999</v>
      </c>
    </row>
    <row r="1878" spans="1:12">
      <c r="A1878" s="19" t="s">
        <v>1948</v>
      </c>
      <c r="B1878" s="20">
        <v>46330</v>
      </c>
      <c r="C1878" s="19" t="s">
        <v>13</v>
      </c>
      <c r="D1878" s="19" t="s">
        <v>21</v>
      </c>
      <c r="E1878" s="19" t="s">
        <v>22</v>
      </c>
      <c r="F1878" s="19" t="s">
        <v>27</v>
      </c>
      <c r="G1878" s="19" t="s">
        <v>32</v>
      </c>
      <c r="H1878" s="19" t="s">
        <v>18</v>
      </c>
      <c r="I1878" s="19">
        <v>7</v>
      </c>
      <c r="J1878" s="21">
        <v>280</v>
      </c>
      <c r="K1878" s="22">
        <v>0.05</v>
      </c>
      <c r="L1878" s="21">
        <v>1862</v>
      </c>
    </row>
    <row r="1879" spans="1:12">
      <c r="A1879" s="19" t="s">
        <v>1949</v>
      </c>
      <c r="B1879" s="20">
        <v>46327</v>
      </c>
      <c r="C1879" s="19" t="s">
        <v>13</v>
      </c>
      <c r="D1879" s="19" t="s">
        <v>21</v>
      </c>
      <c r="E1879" s="19" t="s">
        <v>22</v>
      </c>
      <c r="F1879" s="19" t="s">
        <v>27</v>
      </c>
      <c r="G1879" s="19" t="s">
        <v>36</v>
      </c>
      <c r="H1879" s="19" t="s">
        <v>29</v>
      </c>
      <c r="I1879" s="19">
        <v>2</v>
      </c>
      <c r="J1879" s="21">
        <v>727.5</v>
      </c>
      <c r="K1879" s="22">
        <v>0.1</v>
      </c>
      <c r="L1879" s="21">
        <v>1309.5</v>
      </c>
    </row>
    <row r="1880" spans="1:12">
      <c r="A1880" s="19" t="s">
        <v>1950</v>
      </c>
      <c r="B1880" s="20">
        <v>46160</v>
      </c>
      <c r="C1880" s="19" t="s">
        <v>47</v>
      </c>
      <c r="D1880" s="19" t="s">
        <v>41</v>
      </c>
      <c r="E1880" s="19" t="s">
        <v>22</v>
      </c>
      <c r="F1880" s="19" t="s">
        <v>16</v>
      </c>
      <c r="G1880" s="19" t="s">
        <v>57</v>
      </c>
      <c r="H1880" s="19" t="s">
        <v>55</v>
      </c>
      <c r="I1880" s="19">
        <v>3</v>
      </c>
      <c r="J1880" s="21">
        <v>36.86</v>
      </c>
      <c r="K1880" s="22">
        <v>0.1</v>
      </c>
      <c r="L1880" s="21">
        <v>99.522000000000006</v>
      </c>
    </row>
    <row r="1881" spans="1:12">
      <c r="A1881" s="19" t="s">
        <v>1951</v>
      </c>
      <c r="B1881" s="20">
        <v>46228</v>
      </c>
      <c r="C1881" s="19" t="s">
        <v>31</v>
      </c>
      <c r="D1881" s="19" t="s">
        <v>35</v>
      </c>
      <c r="E1881" s="19" t="s">
        <v>22</v>
      </c>
      <c r="F1881" s="19" t="s">
        <v>16</v>
      </c>
      <c r="G1881" s="19" t="s">
        <v>17</v>
      </c>
      <c r="H1881" s="19" t="s">
        <v>79</v>
      </c>
      <c r="I1881" s="19">
        <v>4</v>
      </c>
      <c r="J1881" s="21">
        <v>15.3</v>
      </c>
      <c r="K1881" s="22">
        <v>0.1</v>
      </c>
      <c r="L1881" s="21">
        <v>55.080000000000005</v>
      </c>
    </row>
    <row r="1882" spans="1:12">
      <c r="A1882" s="19" t="s">
        <v>1952</v>
      </c>
      <c r="B1882" s="20">
        <v>46299</v>
      </c>
      <c r="C1882" s="19" t="s">
        <v>31</v>
      </c>
      <c r="D1882" s="19" t="s">
        <v>14</v>
      </c>
      <c r="E1882" s="19" t="s">
        <v>22</v>
      </c>
      <c r="F1882" s="19" t="s">
        <v>16</v>
      </c>
      <c r="G1882" s="19" t="s">
        <v>65</v>
      </c>
      <c r="H1882" s="19" t="s">
        <v>33</v>
      </c>
      <c r="I1882" s="19">
        <v>5</v>
      </c>
      <c r="J1882" s="21">
        <v>80</v>
      </c>
      <c r="K1882" s="22">
        <v>0.2</v>
      </c>
      <c r="L1882" s="21">
        <v>320</v>
      </c>
    </row>
    <row r="1883" spans="1:12">
      <c r="A1883" s="19" t="s">
        <v>1953</v>
      </c>
      <c r="B1883" s="20">
        <v>46081</v>
      </c>
      <c r="C1883" s="19" t="s">
        <v>86</v>
      </c>
      <c r="D1883" s="19" t="s">
        <v>14</v>
      </c>
      <c r="E1883" s="19" t="s">
        <v>22</v>
      </c>
      <c r="F1883" s="19" t="s">
        <v>16</v>
      </c>
      <c r="G1883" s="19" t="s">
        <v>42</v>
      </c>
      <c r="H1883" s="19" t="s">
        <v>87</v>
      </c>
      <c r="I1883" s="19">
        <v>5</v>
      </c>
      <c r="J1883" s="21">
        <v>45.9</v>
      </c>
      <c r="K1883" s="22">
        <v>0.1</v>
      </c>
      <c r="L1883" s="21">
        <v>206.55</v>
      </c>
    </row>
    <row r="1884" spans="1:12">
      <c r="A1884" s="19" t="s">
        <v>1954</v>
      </c>
      <c r="B1884" s="20">
        <v>46267</v>
      </c>
      <c r="C1884" s="19" t="s">
        <v>86</v>
      </c>
      <c r="D1884" s="19" t="s">
        <v>14</v>
      </c>
      <c r="E1884" s="19" t="s">
        <v>15</v>
      </c>
      <c r="F1884" s="19" t="s">
        <v>16</v>
      </c>
      <c r="G1884" s="19" t="s">
        <v>69</v>
      </c>
      <c r="H1884" s="19" t="s">
        <v>87</v>
      </c>
      <c r="I1884" s="19">
        <v>2</v>
      </c>
      <c r="J1884" s="21">
        <v>55</v>
      </c>
      <c r="K1884" s="22">
        <v>0.15</v>
      </c>
      <c r="L1884" s="21">
        <v>93.5</v>
      </c>
    </row>
    <row r="1885" spans="1:12">
      <c r="A1885" s="19" t="s">
        <v>1955</v>
      </c>
      <c r="B1885" s="20">
        <v>46312</v>
      </c>
      <c r="C1885" s="19" t="s">
        <v>20</v>
      </c>
      <c r="D1885" s="19" t="s">
        <v>14</v>
      </c>
      <c r="E1885" s="19" t="s">
        <v>22</v>
      </c>
      <c r="F1885" s="19" t="s">
        <v>27</v>
      </c>
      <c r="G1885" s="19" t="s">
        <v>32</v>
      </c>
      <c r="H1885" s="19" t="s">
        <v>58</v>
      </c>
      <c r="I1885" s="19">
        <v>4</v>
      </c>
      <c r="J1885" s="21">
        <v>280</v>
      </c>
      <c r="K1885" s="22">
        <v>0.05</v>
      </c>
      <c r="L1885" s="21">
        <v>1064</v>
      </c>
    </row>
    <row r="1886" spans="1:12">
      <c r="A1886" s="19" t="s">
        <v>1956</v>
      </c>
      <c r="B1886" s="20">
        <v>46181</v>
      </c>
      <c r="C1886" s="19" t="s">
        <v>31</v>
      </c>
      <c r="D1886" s="19" t="s">
        <v>14</v>
      </c>
      <c r="E1886" s="19" t="s">
        <v>22</v>
      </c>
      <c r="F1886" s="19" t="s">
        <v>23</v>
      </c>
      <c r="G1886" s="19" t="s">
        <v>138</v>
      </c>
      <c r="H1886" s="19" t="s">
        <v>33</v>
      </c>
      <c r="I1886" s="19">
        <v>7</v>
      </c>
      <c r="J1886" s="21">
        <v>61.2</v>
      </c>
      <c r="K1886" s="22">
        <v>0.2</v>
      </c>
      <c r="L1886" s="21">
        <v>342.72</v>
      </c>
    </row>
    <row r="1887" spans="1:12">
      <c r="A1887" s="19" t="s">
        <v>1957</v>
      </c>
      <c r="B1887" s="20">
        <v>46074</v>
      </c>
      <c r="C1887" s="19" t="s">
        <v>47</v>
      </c>
      <c r="D1887" s="19" t="s">
        <v>21</v>
      </c>
      <c r="E1887" s="19" t="s">
        <v>15</v>
      </c>
      <c r="F1887" s="19" t="s">
        <v>23</v>
      </c>
      <c r="G1887" s="19" t="s">
        <v>24</v>
      </c>
      <c r="H1887" s="19" t="s">
        <v>50</v>
      </c>
      <c r="I1887" s="19">
        <v>1</v>
      </c>
      <c r="J1887" s="21">
        <v>93.6</v>
      </c>
      <c r="K1887" s="22">
        <v>0.05</v>
      </c>
      <c r="L1887" s="21">
        <v>88.919999999999987</v>
      </c>
    </row>
    <row r="1888" spans="1:12">
      <c r="A1888" s="19" t="s">
        <v>1958</v>
      </c>
      <c r="B1888" s="20">
        <v>46168</v>
      </c>
      <c r="C1888" s="19" t="s">
        <v>47</v>
      </c>
      <c r="D1888" s="19" t="s">
        <v>14</v>
      </c>
      <c r="E1888" s="19" t="s">
        <v>15</v>
      </c>
      <c r="F1888" s="19" t="s">
        <v>48</v>
      </c>
      <c r="G1888" s="19" t="s">
        <v>99</v>
      </c>
      <c r="H1888" s="19" t="s">
        <v>50</v>
      </c>
      <c r="I1888" s="19">
        <v>1</v>
      </c>
      <c r="J1888" s="21">
        <v>2850</v>
      </c>
      <c r="K1888" s="22">
        <v>0.1</v>
      </c>
      <c r="L1888" s="21">
        <v>2565</v>
      </c>
    </row>
    <row r="1889" spans="1:12">
      <c r="A1889" s="19" t="s">
        <v>1959</v>
      </c>
      <c r="B1889" s="20">
        <v>46179</v>
      </c>
      <c r="C1889" s="19" t="s">
        <v>20</v>
      </c>
      <c r="D1889" s="19" t="s">
        <v>41</v>
      </c>
      <c r="E1889" s="19" t="s">
        <v>22</v>
      </c>
      <c r="F1889" s="19" t="s">
        <v>48</v>
      </c>
      <c r="G1889" s="19" t="s">
        <v>49</v>
      </c>
      <c r="H1889" s="19" t="s">
        <v>63</v>
      </c>
      <c r="I1889" s="19">
        <v>1</v>
      </c>
      <c r="J1889" s="21">
        <v>4368</v>
      </c>
      <c r="K1889" s="22">
        <v>0.2</v>
      </c>
      <c r="L1889" s="21">
        <v>3494.4</v>
      </c>
    </row>
    <row r="1890" spans="1:12">
      <c r="A1890" s="19" t="s">
        <v>1960</v>
      </c>
      <c r="B1890" s="20">
        <v>46084</v>
      </c>
      <c r="C1890" s="19" t="s">
        <v>86</v>
      </c>
      <c r="D1890" s="19" t="s">
        <v>14</v>
      </c>
      <c r="E1890" s="19" t="s">
        <v>15</v>
      </c>
      <c r="F1890" s="19" t="s">
        <v>23</v>
      </c>
      <c r="G1890" s="19" t="s">
        <v>24</v>
      </c>
      <c r="H1890" s="19" t="s">
        <v>87</v>
      </c>
      <c r="I1890" s="19">
        <v>1</v>
      </c>
      <c r="J1890" s="21">
        <v>87.3</v>
      </c>
      <c r="K1890" s="22">
        <v>0</v>
      </c>
      <c r="L1890" s="21">
        <v>87.3</v>
      </c>
    </row>
    <row r="1891" spans="1:12">
      <c r="A1891" s="19" t="s">
        <v>1961</v>
      </c>
      <c r="B1891" s="20">
        <v>46184</v>
      </c>
      <c r="C1891" s="19" t="s">
        <v>13</v>
      </c>
      <c r="D1891" s="19" t="s">
        <v>14</v>
      </c>
      <c r="E1891" s="19" t="s">
        <v>22</v>
      </c>
      <c r="F1891" s="19" t="s">
        <v>73</v>
      </c>
      <c r="G1891" s="19" t="s">
        <v>129</v>
      </c>
      <c r="H1891" s="19" t="s">
        <v>29</v>
      </c>
      <c r="I1891" s="19">
        <v>5</v>
      </c>
      <c r="J1891" s="21">
        <v>36.4</v>
      </c>
      <c r="K1891" s="22">
        <v>0</v>
      </c>
      <c r="L1891" s="21">
        <v>182</v>
      </c>
    </row>
    <row r="1892" spans="1:12">
      <c r="A1892" s="19" t="s">
        <v>1962</v>
      </c>
      <c r="B1892" s="20">
        <v>46358</v>
      </c>
      <c r="C1892" s="19" t="s">
        <v>31</v>
      </c>
      <c r="D1892" s="19" t="s">
        <v>21</v>
      </c>
      <c r="E1892" s="19" t="s">
        <v>15</v>
      </c>
      <c r="F1892" s="19" t="s">
        <v>60</v>
      </c>
      <c r="G1892" s="19" t="s">
        <v>61</v>
      </c>
      <c r="H1892" s="19" t="s">
        <v>79</v>
      </c>
      <c r="I1892" s="19">
        <v>1</v>
      </c>
      <c r="J1892" s="21">
        <v>807.5</v>
      </c>
      <c r="K1892" s="22">
        <v>0.08</v>
      </c>
      <c r="L1892" s="21">
        <v>742.9</v>
      </c>
    </row>
    <row r="1893" spans="1:12">
      <c r="A1893" s="19" t="s">
        <v>1963</v>
      </c>
      <c r="B1893" s="20">
        <v>46203</v>
      </c>
      <c r="C1893" s="19" t="s">
        <v>47</v>
      </c>
      <c r="D1893" s="19" t="s">
        <v>41</v>
      </c>
      <c r="E1893" s="19" t="s">
        <v>15</v>
      </c>
      <c r="F1893" s="19" t="s">
        <v>16</v>
      </c>
      <c r="G1893" s="19" t="s">
        <v>57</v>
      </c>
      <c r="H1893" s="19" t="s">
        <v>50</v>
      </c>
      <c r="I1893" s="19">
        <v>1</v>
      </c>
      <c r="J1893" s="21">
        <v>40.28</v>
      </c>
      <c r="K1893" s="22">
        <v>0.15</v>
      </c>
      <c r="L1893" s="21">
        <v>34.238</v>
      </c>
    </row>
    <row r="1894" spans="1:12">
      <c r="A1894" s="19" t="s">
        <v>1964</v>
      </c>
      <c r="B1894" s="20">
        <v>46260</v>
      </c>
      <c r="C1894" s="19" t="s">
        <v>31</v>
      </c>
      <c r="D1894" s="19" t="s">
        <v>14</v>
      </c>
      <c r="E1894" s="19" t="s">
        <v>22</v>
      </c>
      <c r="F1894" s="19" t="s">
        <v>23</v>
      </c>
      <c r="G1894" s="19" t="s">
        <v>24</v>
      </c>
      <c r="H1894" s="19" t="s">
        <v>39</v>
      </c>
      <c r="I1894" s="19">
        <v>2</v>
      </c>
      <c r="J1894" s="21">
        <v>95.4</v>
      </c>
      <c r="K1894" s="22">
        <v>0.08</v>
      </c>
      <c r="L1894" s="21">
        <v>175.53600000000003</v>
      </c>
    </row>
    <row r="1895" spans="1:12">
      <c r="A1895" s="19" t="s">
        <v>1965</v>
      </c>
      <c r="B1895" s="20">
        <v>46347</v>
      </c>
      <c r="C1895" s="19" t="s">
        <v>47</v>
      </c>
      <c r="D1895" s="19" t="s">
        <v>41</v>
      </c>
      <c r="E1895" s="19" t="s">
        <v>22</v>
      </c>
      <c r="F1895" s="19" t="s">
        <v>16</v>
      </c>
      <c r="G1895" s="19" t="s">
        <v>65</v>
      </c>
      <c r="H1895" s="19" t="s">
        <v>83</v>
      </c>
      <c r="I1895" s="19">
        <v>6</v>
      </c>
      <c r="J1895" s="21">
        <v>80</v>
      </c>
      <c r="K1895" s="22">
        <v>0.08</v>
      </c>
      <c r="L1895" s="21">
        <v>441.6</v>
      </c>
    </row>
    <row r="1896" spans="1:12">
      <c r="A1896" s="19" t="s">
        <v>1966</v>
      </c>
      <c r="B1896" s="20">
        <v>46351</v>
      </c>
      <c r="C1896" s="19" t="s">
        <v>47</v>
      </c>
      <c r="D1896" s="19" t="s">
        <v>14</v>
      </c>
      <c r="E1896" s="19" t="s">
        <v>22</v>
      </c>
      <c r="F1896" s="19" t="s">
        <v>73</v>
      </c>
      <c r="G1896" s="19" t="s">
        <v>129</v>
      </c>
      <c r="H1896" s="19" t="s">
        <v>83</v>
      </c>
      <c r="I1896" s="19">
        <v>1</v>
      </c>
      <c r="J1896" s="21">
        <v>37.1</v>
      </c>
      <c r="K1896" s="22">
        <v>0.08</v>
      </c>
      <c r="L1896" s="21">
        <v>34.132000000000005</v>
      </c>
    </row>
    <row r="1897" spans="1:12">
      <c r="A1897" s="19" t="s">
        <v>1967</v>
      </c>
      <c r="B1897" s="20">
        <v>46119</v>
      </c>
      <c r="C1897" s="19" t="s">
        <v>31</v>
      </c>
      <c r="D1897" s="19" t="s">
        <v>41</v>
      </c>
      <c r="E1897" s="19" t="s">
        <v>22</v>
      </c>
      <c r="F1897" s="19" t="s">
        <v>27</v>
      </c>
      <c r="G1897" s="19" t="s">
        <v>32</v>
      </c>
      <c r="H1897" s="19" t="s">
        <v>33</v>
      </c>
      <c r="I1897" s="19">
        <v>4</v>
      </c>
      <c r="J1897" s="21">
        <v>271.60000000000002</v>
      </c>
      <c r="K1897" s="22">
        <v>0.15</v>
      </c>
      <c r="L1897" s="21">
        <v>923.44</v>
      </c>
    </row>
    <row r="1898" spans="1:12">
      <c r="A1898" s="19" t="s">
        <v>1968</v>
      </c>
      <c r="B1898" s="20">
        <v>46320</v>
      </c>
      <c r="C1898" s="19" t="s">
        <v>47</v>
      </c>
      <c r="D1898" s="19" t="s">
        <v>14</v>
      </c>
      <c r="E1898" s="19" t="s">
        <v>22</v>
      </c>
      <c r="F1898" s="19" t="s">
        <v>60</v>
      </c>
      <c r="G1898" s="19" t="s">
        <v>91</v>
      </c>
      <c r="H1898" s="19" t="s">
        <v>55</v>
      </c>
      <c r="I1898" s="19">
        <v>1</v>
      </c>
      <c r="J1898" s="21">
        <v>614.79999999999995</v>
      </c>
      <c r="K1898" s="22">
        <v>0.05</v>
      </c>
      <c r="L1898" s="21">
        <v>584.05999999999995</v>
      </c>
    </row>
    <row r="1899" spans="1:12">
      <c r="A1899" s="19" t="s">
        <v>1969</v>
      </c>
      <c r="B1899" s="20">
        <v>46326</v>
      </c>
      <c r="C1899" s="19" t="s">
        <v>20</v>
      </c>
      <c r="D1899" s="19" t="s">
        <v>35</v>
      </c>
      <c r="E1899" s="19" t="s">
        <v>15</v>
      </c>
      <c r="F1899" s="19" t="s">
        <v>48</v>
      </c>
      <c r="G1899" s="19" t="s">
        <v>49</v>
      </c>
      <c r="H1899" s="19" t="s">
        <v>25</v>
      </c>
      <c r="I1899" s="19">
        <v>1</v>
      </c>
      <c r="J1899" s="21">
        <v>4452</v>
      </c>
      <c r="K1899" s="22">
        <v>0.05</v>
      </c>
      <c r="L1899" s="21">
        <v>4229.3999999999996</v>
      </c>
    </row>
    <row r="1900" spans="1:12">
      <c r="A1900" s="19" t="s">
        <v>1970</v>
      </c>
      <c r="B1900" s="20">
        <v>46285</v>
      </c>
      <c r="C1900" s="19" t="s">
        <v>31</v>
      </c>
      <c r="D1900" s="19" t="s">
        <v>41</v>
      </c>
      <c r="E1900" s="19" t="s">
        <v>22</v>
      </c>
      <c r="F1900" s="19" t="s">
        <v>16</v>
      </c>
      <c r="G1900" s="19" t="s">
        <v>65</v>
      </c>
      <c r="H1900" s="19" t="s">
        <v>79</v>
      </c>
      <c r="I1900" s="19">
        <v>7</v>
      </c>
      <c r="J1900" s="21">
        <v>83.2</v>
      </c>
      <c r="K1900" s="22">
        <v>0.03</v>
      </c>
      <c r="L1900" s="21">
        <v>564.928</v>
      </c>
    </row>
    <row r="1901" spans="1:12">
      <c r="A1901" s="19" t="s">
        <v>1971</v>
      </c>
      <c r="B1901" s="20">
        <v>46185</v>
      </c>
      <c r="C1901" s="19" t="s">
        <v>86</v>
      </c>
      <c r="D1901" s="19" t="s">
        <v>14</v>
      </c>
      <c r="E1901" s="19" t="s">
        <v>15</v>
      </c>
      <c r="F1901" s="19" t="s">
        <v>16</v>
      </c>
      <c r="G1901" s="19" t="s">
        <v>17</v>
      </c>
      <c r="H1901" s="19" t="s">
        <v>93</v>
      </c>
      <c r="I1901" s="19">
        <v>5</v>
      </c>
      <c r="J1901" s="21">
        <v>15</v>
      </c>
      <c r="K1901" s="22">
        <v>0.05</v>
      </c>
      <c r="L1901" s="21">
        <v>71.25</v>
      </c>
    </row>
    <row r="1902" spans="1:12">
      <c r="A1902" s="19" t="s">
        <v>1972</v>
      </c>
      <c r="B1902" s="20">
        <v>46258</v>
      </c>
      <c r="C1902" s="19" t="s">
        <v>13</v>
      </c>
      <c r="D1902" s="19" t="s">
        <v>21</v>
      </c>
      <c r="E1902" s="19" t="s">
        <v>15</v>
      </c>
      <c r="F1902" s="19" t="s">
        <v>48</v>
      </c>
      <c r="G1902" s="19" t="s">
        <v>54</v>
      </c>
      <c r="H1902" s="19" t="s">
        <v>29</v>
      </c>
      <c r="I1902" s="19">
        <v>1</v>
      </c>
      <c r="J1902" s="21">
        <v>1746</v>
      </c>
      <c r="K1902" s="22">
        <v>0.08</v>
      </c>
      <c r="L1902" s="21">
        <v>1606.3200000000002</v>
      </c>
    </row>
    <row r="1903" spans="1:12">
      <c r="A1903" s="19" t="s">
        <v>1973</v>
      </c>
      <c r="B1903" s="20">
        <v>46292</v>
      </c>
      <c r="C1903" s="19" t="s">
        <v>13</v>
      </c>
      <c r="D1903" s="19" t="s">
        <v>14</v>
      </c>
      <c r="E1903" s="19" t="s">
        <v>15</v>
      </c>
      <c r="F1903" s="19" t="s">
        <v>16</v>
      </c>
      <c r="G1903" s="19" t="s">
        <v>112</v>
      </c>
      <c r="H1903" s="19" t="s">
        <v>43</v>
      </c>
      <c r="I1903" s="19">
        <v>1</v>
      </c>
      <c r="J1903" s="21">
        <v>63.05</v>
      </c>
      <c r="K1903" s="22">
        <v>0.05</v>
      </c>
      <c r="L1903" s="21">
        <v>59.897499999999994</v>
      </c>
    </row>
    <row r="1904" spans="1:12">
      <c r="A1904" s="19" t="s">
        <v>1974</v>
      </c>
      <c r="B1904" s="20">
        <v>46173</v>
      </c>
      <c r="C1904" s="19" t="s">
        <v>13</v>
      </c>
      <c r="D1904" s="19" t="s">
        <v>14</v>
      </c>
      <c r="E1904" s="19" t="s">
        <v>22</v>
      </c>
      <c r="F1904" s="19" t="s">
        <v>60</v>
      </c>
      <c r="G1904" s="19" t="s">
        <v>76</v>
      </c>
      <c r="H1904" s="19" t="s">
        <v>29</v>
      </c>
      <c r="I1904" s="19">
        <v>2</v>
      </c>
      <c r="J1904" s="21">
        <v>665</v>
      </c>
      <c r="K1904" s="22">
        <v>0.1</v>
      </c>
      <c r="L1904" s="21">
        <v>1197</v>
      </c>
    </row>
    <row r="1905" spans="1:12">
      <c r="A1905" s="19" t="s">
        <v>1975</v>
      </c>
      <c r="B1905" s="20">
        <v>46094</v>
      </c>
      <c r="C1905" s="19" t="s">
        <v>47</v>
      </c>
      <c r="D1905" s="19" t="s">
        <v>41</v>
      </c>
      <c r="E1905" s="19" t="s">
        <v>22</v>
      </c>
      <c r="F1905" s="19" t="s">
        <v>16</v>
      </c>
      <c r="G1905" s="19" t="s">
        <v>112</v>
      </c>
      <c r="H1905" s="19" t="s">
        <v>83</v>
      </c>
      <c r="I1905" s="19">
        <v>1</v>
      </c>
      <c r="J1905" s="21">
        <v>66.3</v>
      </c>
      <c r="K1905" s="22">
        <v>0.08</v>
      </c>
      <c r="L1905" s="21">
        <v>60.996000000000002</v>
      </c>
    </row>
    <row r="1906" spans="1:12">
      <c r="A1906" s="19" t="s">
        <v>1976</v>
      </c>
      <c r="B1906" s="20">
        <v>46301</v>
      </c>
      <c r="C1906" s="19" t="s">
        <v>86</v>
      </c>
      <c r="D1906" s="19" t="s">
        <v>14</v>
      </c>
      <c r="E1906" s="19" t="s">
        <v>22</v>
      </c>
      <c r="F1906" s="19" t="s">
        <v>23</v>
      </c>
      <c r="G1906" s="19" t="s">
        <v>38</v>
      </c>
      <c r="H1906" s="19" t="s">
        <v>87</v>
      </c>
      <c r="I1906" s="19">
        <v>2</v>
      </c>
      <c r="J1906" s="21">
        <v>320</v>
      </c>
      <c r="K1906" s="22">
        <v>0</v>
      </c>
      <c r="L1906" s="21">
        <v>640</v>
      </c>
    </row>
    <row r="1907" spans="1:12">
      <c r="A1907" s="19" t="s">
        <v>1977</v>
      </c>
      <c r="B1907" s="20">
        <v>46029</v>
      </c>
      <c r="C1907" s="19" t="s">
        <v>86</v>
      </c>
      <c r="D1907" s="19" t="s">
        <v>21</v>
      </c>
      <c r="E1907" s="19" t="s">
        <v>15</v>
      </c>
      <c r="F1907" s="19" t="s">
        <v>48</v>
      </c>
      <c r="G1907" s="19" t="s">
        <v>71</v>
      </c>
      <c r="H1907" s="19" t="s">
        <v>102</v>
      </c>
      <c r="I1907" s="19">
        <v>1</v>
      </c>
      <c r="J1907" s="21">
        <v>3392</v>
      </c>
      <c r="K1907" s="22">
        <v>0.05</v>
      </c>
      <c r="L1907" s="21">
        <v>3222.3999999999996</v>
      </c>
    </row>
    <row r="1908" spans="1:12">
      <c r="A1908" s="19" t="s">
        <v>1978</v>
      </c>
      <c r="B1908" s="20">
        <v>46271</v>
      </c>
      <c r="C1908" s="19" t="s">
        <v>31</v>
      </c>
      <c r="D1908" s="19" t="s">
        <v>41</v>
      </c>
      <c r="E1908" s="19" t="s">
        <v>22</v>
      </c>
      <c r="F1908" s="19" t="s">
        <v>16</v>
      </c>
      <c r="G1908" s="19" t="s">
        <v>57</v>
      </c>
      <c r="H1908" s="19" t="s">
        <v>39</v>
      </c>
      <c r="I1908" s="19">
        <v>2</v>
      </c>
      <c r="J1908" s="21">
        <v>38</v>
      </c>
      <c r="K1908" s="22">
        <v>0.15</v>
      </c>
      <c r="L1908" s="21">
        <v>64.599999999999994</v>
      </c>
    </row>
    <row r="1909" spans="1:12">
      <c r="A1909" s="19" t="s">
        <v>1979</v>
      </c>
      <c r="B1909" s="20">
        <v>46072</v>
      </c>
      <c r="C1909" s="19" t="s">
        <v>86</v>
      </c>
      <c r="D1909" s="19" t="s">
        <v>21</v>
      </c>
      <c r="E1909" s="19" t="s">
        <v>22</v>
      </c>
      <c r="F1909" s="19" t="s">
        <v>16</v>
      </c>
      <c r="G1909" s="19" t="s">
        <v>57</v>
      </c>
      <c r="H1909" s="19" t="s">
        <v>93</v>
      </c>
      <c r="I1909" s="19">
        <v>2</v>
      </c>
      <c r="J1909" s="21">
        <v>40.28</v>
      </c>
      <c r="K1909" s="22">
        <v>0.03</v>
      </c>
      <c r="L1909" s="21">
        <v>78.143199999999993</v>
      </c>
    </row>
    <row r="1910" spans="1:12">
      <c r="A1910" s="19" t="s">
        <v>1980</v>
      </c>
      <c r="B1910" s="20">
        <v>46061</v>
      </c>
      <c r="C1910" s="19" t="s">
        <v>31</v>
      </c>
      <c r="D1910" s="19" t="s">
        <v>41</v>
      </c>
      <c r="E1910" s="19" t="s">
        <v>22</v>
      </c>
      <c r="F1910" s="19" t="s">
        <v>16</v>
      </c>
      <c r="G1910" s="19" t="s">
        <v>69</v>
      </c>
      <c r="H1910" s="19" t="s">
        <v>79</v>
      </c>
      <c r="I1910" s="19">
        <v>3</v>
      </c>
      <c r="J1910" s="21">
        <v>55</v>
      </c>
      <c r="K1910" s="22">
        <v>0</v>
      </c>
      <c r="L1910" s="21">
        <v>165</v>
      </c>
    </row>
    <row r="1911" spans="1:12">
      <c r="A1911" s="19" t="s">
        <v>1981</v>
      </c>
      <c r="B1911" s="20">
        <v>46271</v>
      </c>
      <c r="C1911" s="19" t="s">
        <v>31</v>
      </c>
      <c r="D1911" s="19" t="s">
        <v>14</v>
      </c>
      <c r="E1911" s="19" t="s">
        <v>22</v>
      </c>
      <c r="F1911" s="19" t="s">
        <v>48</v>
      </c>
      <c r="G1911" s="19" t="s">
        <v>71</v>
      </c>
      <c r="H1911" s="19" t="s">
        <v>33</v>
      </c>
      <c r="I1911" s="19">
        <v>2</v>
      </c>
      <c r="J1911" s="21">
        <v>3392</v>
      </c>
      <c r="K1911" s="22">
        <v>0.08</v>
      </c>
      <c r="L1911" s="21">
        <v>6241.2800000000007</v>
      </c>
    </row>
    <row r="1912" spans="1:12">
      <c r="A1912" s="19" t="s">
        <v>1982</v>
      </c>
      <c r="B1912" s="20">
        <v>46085</v>
      </c>
      <c r="C1912" s="19" t="s">
        <v>31</v>
      </c>
      <c r="D1912" s="19" t="s">
        <v>41</v>
      </c>
      <c r="E1912" s="19" t="s">
        <v>15</v>
      </c>
      <c r="F1912" s="19" t="s">
        <v>27</v>
      </c>
      <c r="G1912" s="19" t="s">
        <v>28</v>
      </c>
      <c r="H1912" s="19" t="s">
        <v>79</v>
      </c>
      <c r="I1912" s="19">
        <v>5</v>
      </c>
      <c r="J1912" s="21">
        <v>20.8</v>
      </c>
      <c r="K1912" s="22">
        <v>0.2</v>
      </c>
      <c r="L1912" s="21">
        <v>83.2</v>
      </c>
    </row>
    <row r="1913" spans="1:12">
      <c r="A1913" s="19" t="s">
        <v>1983</v>
      </c>
      <c r="B1913" s="20">
        <v>46252</v>
      </c>
      <c r="C1913" s="19" t="s">
        <v>47</v>
      </c>
      <c r="D1913" s="19" t="s">
        <v>41</v>
      </c>
      <c r="E1913" s="19" t="s">
        <v>22</v>
      </c>
      <c r="F1913" s="19" t="s">
        <v>16</v>
      </c>
      <c r="G1913" s="19" t="s">
        <v>57</v>
      </c>
      <c r="H1913" s="19" t="s">
        <v>50</v>
      </c>
      <c r="I1913" s="19">
        <v>1</v>
      </c>
      <c r="J1913" s="21">
        <v>38</v>
      </c>
      <c r="K1913" s="22">
        <v>0</v>
      </c>
      <c r="L1913" s="21">
        <v>38</v>
      </c>
    </row>
    <row r="1914" spans="1:12">
      <c r="A1914" s="19" t="s">
        <v>1984</v>
      </c>
      <c r="B1914" s="20">
        <v>46351</v>
      </c>
      <c r="C1914" s="19" t="s">
        <v>86</v>
      </c>
      <c r="D1914" s="19" t="s">
        <v>41</v>
      </c>
      <c r="E1914" s="19" t="s">
        <v>22</v>
      </c>
      <c r="F1914" s="19" t="s">
        <v>16</v>
      </c>
      <c r="G1914" s="19" t="s">
        <v>57</v>
      </c>
      <c r="H1914" s="19" t="s">
        <v>93</v>
      </c>
      <c r="I1914" s="19">
        <v>1</v>
      </c>
      <c r="J1914" s="21">
        <v>38</v>
      </c>
      <c r="K1914" s="22">
        <v>0.08</v>
      </c>
      <c r="L1914" s="21">
        <v>34.96</v>
      </c>
    </row>
    <row r="1915" spans="1:12">
      <c r="A1915" s="19" t="s">
        <v>1985</v>
      </c>
      <c r="B1915" s="20">
        <v>46149</v>
      </c>
      <c r="C1915" s="19" t="s">
        <v>47</v>
      </c>
      <c r="D1915" s="19" t="s">
        <v>14</v>
      </c>
      <c r="E1915" s="19" t="s">
        <v>15</v>
      </c>
      <c r="F1915" s="19" t="s">
        <v>27</v>
      </c>
      <c r="G1915" s="19" t="s">
        <v>32</v>
      </c>
      <c r="H1915" s="19" t="s">
        <v>83</v>
      </c>
      <c r="I1915" s="19">
        <v>2</v>
      </c>
      <c r="J1915" s="21">
        <v>280</v>
      </c>
      <c r="K1915" s="22">
        <v>0.1</v>
      </c>
      <c r="L1915" s="21">
        <v>504</v>
      </c>
    </row>
    <row r="1916" spans="1:12">
      <c r="A1916" s="19" t="s">
        <v>1986</v>
      </c>
      <c r="B1916" s="20">
        <v>46339</v>
      </c>
      <c r="C1916" s="19" t="s">
        <v>20</v>
      </c>
      <c r="D1916" s="19" t="s">
        <v>14</v>
      </c>
      <c r="E1916" s="19" t="s">
        <v>15</v>
      </c>
      <c r="F1916" s="19" t="s">
        <v>23</v>
      </c>
      <c r="G1916" s="19" t="s">
        <v>138</v>
      </c>
      <c r="H1916" s="19" t="s">
        <v>63</v>
      </c>
      <c r="I1916" s="19">
        <v>1</v>
      </c>
      <c r="J1916" s="21">
        <v>61.2</v>
      </c>
      <c r="K1916" s="22">
        <v>0.2</v>
      </c>
      <c r="L1916" s="21">
        <v>48.960000000000008</v>
      </c>
    </row>
    <row r="1917" spans="1:12">
      <c r="A1917" s="19" t="s">
        <v>1987</v>
      </c>
      <c r="B1917" s="20">
        <v>46194</v>
      </c>
      <c r="C1917" s="19" t="s">
        <v>20</v>
      </c>
      <c r="D1917" s="19" t="s">
        <v>41</v>
      </c>
      <c r="E1917" s="19" t="s">
        <v>22</v>
      </c>
      <c r="F1917" s="19" t="s">
        <v>16</v>
      </c>
      <c r="G1917" s="19" t="s">
        <v>17</v>
      </c>
      <c r="H1917" s="19" t="s">
        <v>58</v>
      </c>
      <c r="I1917" s="19">
        <v>2</v>
      </c>
      <c r="J1917" s="21">
        <v>15</v>
      </c>
      <c r="K1917" s="22">
        <v>0.05</v>
      </c>
      <c r="L1917" s="21">
        <v>28.5</v>
      </c>
    </row>
    <row r="1918" spans="1:12">
      <c r="A1918" s="19" t="s">
        <v>1988</v>
      </c>
      <c r="B1918" s="20">
        <v>46160</v>
      </c>
      <c r="C1918" s="19" t="s">
        <v>86</v>
      </c>
      <c r="D1918" s="19" t="s">
        <v>21</v>
      </c>
      <c r="E1918" s="19" t="s">
        <v>15</v>
      </c>
      <c r="F1918" s="19" t="s">
        <v>16</v>
      </c>
      <c r="G1918" s="19" t="s">
        <v>17</v>
      </c>
      <c r="H1918" s="19" t="s">
        <v>87</v>
      </c>
      <c r="I1918" s="19">
        <v>2</v>
      </c>
      <c r="J1918" s="21">
        <v>14.55</v>
      </c>
      <c r="K1918" s="22">
        <v>0.15</v>
      </c>
      <c r="L1918" s="21">
        <v>24.734999999999999</v>
      </c>
    </row>
    <row r="1919" spans="1:12">
      <c r="A1919" s="19" t="s">
        <v>1989</v>
      </c>
      <c r="B1919" s="20">
        <v>46359</v>
      </c>
      <c r="C1919" s="19" t="s">
        <v>31</v>
      </c>
      <c r="D1919" s="19" t="s">
        <v>21</v>
      </c>
      <c r="E1919" s="19" t="s">
        <v>22</v>
      </c>
      <c r="F1919" s="19" t="s">
        <v>27</v>
      </c>
      <c r="G1919" s="19" t="s">
        <v>28</v>
      </c>
      <c r="H1919" s="19" t="s">
        <v>39</v>
      </c>
      <c r="I1919" s="19">
        <v>2</v>
      </c>
      <c r="J1919" s="21">
        <v>20.8</v>
      </c>
      <c r="K1919" s="22">
        <v>0.08</v>
      </c>
      <c r="L1919" s="21">
        <v>38.272000000000006</v>
      </c>
    </row>
    <row r="1920" spans="1:12">
      <c r="A1920" s="19" t="s">
        <v>1990</v>
      </c>
      <c r="B1920" s="20">
        <v>46270</v>
      </c>
      <c r="C1920" s="19" t="s">
        <v>31</v>
      </c>
      <c r="D1920" s="19" t="s">
        <v>14</v>
      </c>
      <c r="E1920" s="19" t="s">
        <v>15</v>
      </c>
      <c r="F1920" s="19" t="s">
        <v>16</v>
      </c>
      <c r="G1920" s="19" t="s">
        <v>65</v>
      </c>
      <c r="H1920" s="19" t="s">
        <v>39</v>
      </c>
      <c r="I1920" s="19">
        <v>2</v>
      </c>
      <c r="J1920" s="21">
        <v>80</v>
      </c>
      <c r="K1920" s="22">
        <v>0</v>
      </c>
      <c r="L1920" s="21">
        <v>160</v>
      </c>
    </row>
    <row r="1921" spans="1:12">
      <c r="A1921" s="19" t="s">
        <v>1991</v>
      </c>
      <c r="B1921" s="20">
        <v>46310</v>
      </c>
      <c r="C1921" s="19" t="s">
        <v>47</v>
      </c>
      <c r="D1921" s="19" t="s">
        <v>21</v>
      </c>
      <c r="E1921" s="19" t="s">
        <v>15</v>
      </c>
      <c r="F1921" s="19" t="s">
        <v>60</v>
      </c>
      <c r="G1921" s="19" t="s">
        <v>91</v>
      </c>
      <c r="H1921" s="19" t="s">
        <v>50</v>
      </c>
      <c r="I1921" s="19">
        <v>1</v>
      </c>
      <c r="J1921" s="21">
        <v>614.79999999999995</v>
      </c>
      <c r="K1921" s="22">
        <v>0.1</v>
      </c>
      <c r="L1921" s="21">
        <v>553.31999999999994</v>
      </c>
    </row>
    <row r="1922" spans="1:12">
      <c r="A1922" s="19" t="s">
        <v>1992</v>
      </c>
      <c r="B1922" s="20">
        <v>46063</v>
      </c>
      <c r="C1922" s="19" t="s">
        <v>31</v>
      </c>
      <c r="D1922" s="19" t="s">
        <v>21</v>
      </c>
      <c r="E1922" s="19" t="s">
        <v>22</v>
      </c>
      <c r="F1922" s="19" t="s">
        <v>73</v>
      </c>
      <c r="G1922" s="19" t="s">
        <v>81</v>
      </c>
      <c r="H1922" s="19" t="s">
        <v>79</v>
      </c>
      <c r="I1922" s="19">
        <v>3</v>
      </c>
      <c r="J1922" s="21">
        <v>12.48</v>
      </c>
      <c r="K1922" s="22">
        <v>0.1</v>
      </c>
      <c r="L1922" s="21">
        <v>33.695999999999998</v>
      </c>
    </row>
    <row r="1923" spans="1:12">
      <c r="A1923" s="19" t="s">
        <v>1993</v>
      </c>
      <c r="B1923" s="20">
        <v>46352</v>
      </c>
      <c r="C1923" s="19" t="s">
        <v>86</v>
      </c>
      <c r="D1923" s="19" t="s">
        <v>14</v>
      </c>
      <c r="E1923" s="19" t="s">
        <v>22</v>
      </c>
      <c r="F1923" s="19" t="s">
        <v>60</v>
      </c>
      <c r="G1923" s="19" t="s">
        <v>67</v>
      </c>
      <c r="H1923" s="19" t="s">
        <v>93</v>
      </c>
      <c r="I1923" s="19">
        <v>4</v>
      </c>
      <c r="J1923" s="21">
        <v>1590</v>
      </c>
      <c r="K1923" s="22">
        <v>0</v>
      </c>
      <c r="L1923" s="21">
        <v>6360</v>
      </c>
    </row>
    <row r="1924" spans="1:12">
      <c r="A1924" s="19" t="s">
        <v>1994</v>
      </c>
      <c r="B1924" s="20">
        <v>46072</v>
      </c>
      <c r="C1924" s="19" t="s">
        <v>47</v>
      </c>
      <c r="D1924" s="19" t="s">
        <v>21</v>
      </c>
      <c r="E1924" s="19" t="s">
        <v>15</v>
      </c>
      <c r="F1924" s="19" t="s">
        <v>16</v>
      </c>
      <c r="G1924" s="19" t="s">
        <v>17</v>
      </c>
      <c r="H1924" s="19" t="s">
        <v>50</v>
      </c>
      <c r="I1924" s="19">
        <v>1</v>
      </c>
      <c r="J1924" s="21">
        <v>14.25</v>
      </c>
      <c r="K1924" s="22">
        <v>0.2</v>
      </c>
      <c r="L1924" s="21">
        <v>11.4</v>
      </c>
    </row>
    <row r="1925" spans="1:12">
      <c r="A1925" s="19" t="s">
        <v>1995</v>
      </c>
      <c r="B1925" s="20">
        <v>46311</v>
      </c>
      <c r="C1925" s="19" t="s">
        <v>13</v>
      </c>
      <c r="D1925" s="19" t="s">
        <v>35</v>
      </c>
      <c r="E1925" s="19" t="s">
        <v>22</v>
      </c>
      <c r="F1925" s="19" t="s">
        <v>48</v>
      </c>
      <c r="G1925" s="19" t="s">
        <v>54</v>
      </c>
      <c r="H1925" s="19" t="s">
        <v>18</v>
      </c>
      <c r="I1925" s="19">
        <v>2</v>
      </c>
      <c r="J1925" s="21">
        <v>1710</v>
      </c>
      <c r="K1925" s="22">
        <v>0.1</v>
      </c>
      <c r="L1925" s="21">
        <v>3078</v>
      </c>
    </row>
    <row r="1926" spans="1:12">
      <c r="A1926" s="19" t="s">
        <v>1996</v>
      </c>
      <c r="B1926" s="20">
        <v>46023</v>
      </c>
      <c r="C1926" s="19" t="s">
        <v>20</v>
      </c>
      <c r="D1926" s="19" t="s">
        <v>14</v>
      </c>
      <c r="E1926" s="19" t="s">
        <v>22</v>
      </c>
      <c r="F1926" s="19" t="s">
        <v>23</v>
      </c>
      <c r="G1926" s="19" t="s">
        <v>24</v>
      </c>
      <c r="H1926" s="19" t="s">
        <v>25</v>
      </c>
      <c r="I1926" s="19">
        <v>1</v>
      </c>
      <c r="J1926" s="21">
        <v>95.4</v>
      </c>
      <c r="K1926" s="22">
        <v>0</v>
      </c>
      <c r="L1926" s="21">
        <v>95.4</v>
      </c>
    </row>
    <row r="1927" spans="1:12">
      <c r="A1927" s="19" t="s">
        <v>1997</v>
      </c>
      <c r="B1927" s="20">
        <v>46039</v>
      </c>
      <c r="C1927" s="19" t="s">
        <v>20</v>
      </c>
      <c r="D1927" s="19" t="s">
        <v>35</v>
      </c>
      <c r="E1927" s="19" t="s">
        <v>22</v>
      </c>
      <c r="F1927" s="19" t="s">
        <v>48</v>
      </c>
      <c r="G1927" s="19" t="s">
        <v>71</v>
      </c>
      <c r="H1927" s="19" t="s">
        <v>25</v>
      </c>
      <c r="I1927" s="19">
        <v>2</v>
      </c>
      <c r="J1927" s="21">
        <v>3328</v>
      </c>
      <c r="K1927" s="22">
        <v>0</v>
      </c>
      <c r="L1927" s="21">
        <v>6656</v>
      </c>
    </row>
    <row r="1928" spans="1:12">
      <c r="A1928" s="19" t="s">
        <v>1998</v>
      </c>
      <c r="B1928" s="20">
        <v>46198</v>
      </c>
      <c r="C1928" s="19" t="s">
        <v>13</v>
      </c>
      <c r="D1928" s="19" t="s">
        <v>14</v>
      </c>
      <c r="E1928" s="19" t="s">
        <v>15</v>
      </c>
      <c r="F1928" s="19" t="s">
        <v>23</v>
      </c>
      <c r="G1928" s="19" t="s">
        <v>38</v>
      </c>
      <c r="H1928" s="19" t="s">
        <v>43</v>
      </c>
      <c r="I1928" s="19">
        <v>4</v>
      </c>
      <c r="J1928" s="21">
        <v>339.2</v>
      </c>
      <c r="K1928" s="22">
        <v>0.1</v>
      </c>
      <c r="L1928" s="21">
        <v>1221.1199999999999</v>
      </c>
    </row>
    <row r="1929" spans="1:12">
      <c r="A1929" s="19" t="s">
        <v>1999</v>
      </c>
      <c r="B1929" s="20">
        <v>46375</v>
      </c>
      <c r="C1929" s="19" t="s">
        <v>13</v>
      </c>
      <c r="D1929" s="19" t="s">
        <v>35</v>
      </c>
      <c r="E1929" s="19" t="s">
        <v>22</v>
      </c>
      <c r="F1929" s="19" t="s">
        <v>60</v>
      </c>
      <c r="G1929" s="19" t="s">
        <v>67</v>
      </c>
      <c r="H1929" s="19" t="s">
        <v>18</v>
      </c>
      <c r="I1929" s="19">
        <v>2</v>
      </c>
      <c r="J1929" s="21">
        <v>1500</v>
      </c>
      <c r="K1929" s="22">
        <v>0.15</v>
      </c>
      <c r="L1929" s="21">
        <v>2550</v>
      </c>
    </row>
    <row r="1930" spans="1:12">
      <c r="A1930" s="19" t="s">
        <v>2000</v>
      </c>
      <c r="B1930" s="20">
        <v>46384</v>
      </c>
      <c r="C1930" s="19" t="s">
        <v>47</v>
      </c>
      <c r="D1930" s="19" t="s">
        <v>21</v>
      </c>
      <c r="E1930" s="19" t="s">
        <v>22</v>
      </c>
      <c r="F1930" s="19" t="s">
        <v>48</v>
      </c>
      <c r="G1930" s="19" t="s">
        <v>71</v>
      </c>
      <c r="H1930" s="19" t="s">
        <v>55</v>
      </c>
      <c r="I1930" s="19">
        <v>1</v>
      </c>
      <c r="J1930" s="21">
        <v>3040</v>
      </c>
      <c r="K1930" s="22">
        <v>0.1</v>
      </c>
      <c r="L1930" s="21">
        <v>2736</v>
      </c>
    </row>
    <row r="1931" spans="1:12">
      <c r="A1931" s="19" t="s">
        <v>2001</v>
      </c>
      <c r="B1931" s="20">
        <v>46225</v>
      </c>
      <c r="C1931" s="19" t="s">
        <v>31</v>
      </c>
      <c r="D1931" s="19" t="s">
        <v>21</v>
      </c>
      <c r="E1931" s="19" t="s">
        <v>22</v>
      </c>
      <c r="F1931" s="19" t="s">
        <v>73</v>
      </c>
      <c r="G1931" s="19" t="s">
        <v>81</v>
      </c>
      <c r="H1931" s="19" t="s">
        <v>79</v>
      </c>
      <c r="I1931" s="19">
        <v>1</v>
      </c>
      <c r="J1931" s="21">
        <v>12.72</v>
      </c>
      <c r="K1931" s="22">
        <v>0</v>
      </c>
      <c r="L1931" s="21">
        <v>12.72</v>
      </c>
    </row>
    <row r="1932" spans="1:12">
      <c r="A1932" s="19" t="s">
        <v>2002</v>
      </c>
      <c r="B1932" s="20">
        <v>46164</v>
      </c>
      <c r="C1932" s="19" t="s">
        <v>20</v>
      </c>
      <c r="D1932" s="19" t="s">
        <v>35</v>
      </c>
      <c r="E1932" s="19" t="s">
        <v>22</v>
      </c>
      <c r="F1932" s="19" t="s">
        <v>48</v>
      </c>
      <c r="G1932" s="19" t="s">
        <v>96</v>
      </c>
      <c r="H1932" s="19" t="s">
        <v>58</v>
      </c>
      <c r="I1932" s="19">
        <v>1</v>
      </c>
      <c r="J1932" s="21">
        <v>2500</v>
      </c>
      <c r="K1932" s="22">
        <v>0</v>
      </c>
      <c r="L1932" s="21">
        <v>2500</v>
      </c>
    </row>
    <row r="1933" spans="1:12">
      <c r="A1933" s="19" t="s">
        <v>2003</v>
      </c>
      <c r="B1933" s="20">
        <v>46140</v>
      </c>
      <c r="C1933" s="19" t="s">
        <v>13</v>
      </c>
      <c r="D1933" s="19" t="s">
        <v>14</v>
      </c>
      <c r="E1933" s="19" t="s">
        <v>15</v>
      </c>
      <c r="F1933" s="19" t="s">
        <v>23</v>
      </c>
      <c r="G1933" s="19" t="s">
        <v>138</v>
      </c>
      <c r="H1933" s="19" t="s">
        <v>29</v>
      </c>
      <c r="I1933" s="19">
        <v>2</v>
      </c>
      <c r="J1933" s="21">
        <v>62.4</v>
      </c>
      <c r="K1933" s="22">
        <v>0.05</v>
      </c>
      <c r="L1933" s="21">
        <v>118.55999999999999</v>
      </c>
    </row>
    <row r="1934" spans="1:12">
      <c r="A1934" s="19" t="s">
        <v>2004</v>
      </c>
      <c r="B1934" s="20">
        <v>46376</v>
      </c>
      <c r="C1934" s="19" t="s">
        <v>20</v>
      </c>
      <c r="D1934" s="19" t="s">
        <v>14</v>
      </c>
      <c r="E1934" s="19" t="s">
        <v>22</v>
      </c>
      <c r="F1934" s="19" t="s">
        <v>16</v>
      </c>
      <c r="G1934" s="19" t="s">
        <v>69</v>
      </c>
      <c r="H1934" s="19" t="s">
        <v>25</v>
      </c>
      <c r="I1934" s="19">
        <v>2</v>
      </c>
      <c r="J1934" s="21">
        <v>57.2</v>
      </c>
      <c r="K1934" s="22">
        <v>0.1</v>
      </c>
      <c r="L1934" s="21">
        <v>102.96000000000001</v>
      </c>
    </row>
    <row r="1935" spans="1:12">
      <c r="A1935" s="19" t="s">
        <v>2005</v>
      </c>
      <c r="B1935" s="20">
        <v>46027</v>
      </c>
      <c r="C1935" s="19" t="s">
        <v>86</v>
      </c>
      <c r="D1935" s="19" t="s">
        <v>35</v>
      </c>
      <c r="E1935" s="19" t="s">
        <v>15</v>
      </c>
      <c r="F1935" s="19" t="s">
        <v>48</v>
      </c>
      <c r="G1935" s="19" t="s">
        <v>99</v>
      </c>
      <c r="H1935" s="19" t="s">
        <v>93</v>
      </c>
      <c r="I1935" s="19">
        <v>1</v>
      </c>
      <c r="J1935" s="21">
        <v>2910</v>
      </c>
      <c r="K1935" s="22">
        <v>0.03</v>
      </c>
      <c r="L1935" s="21">
        <v>2822.7</v>
      </c>
    </row>
    <row r="1936" spans="1:12">
      <c r="A1936" s="19" t="s">
        <v>2006</v>
      </c>
      <c r="B1936" s="20">
        <v>46282</v>
      </c>
      <c r="C1936" s="19" t="s">
        <v>20</v>
      </c>
      <c r="D1936" s="19" t="s">
        <v>41</v>
      </c>
      <c r="E1936" s="19" t="s">
        <v>15</v>
      </c>
      <c r="F1936" s="19" t="s">
        <v>16</v>
      </c>
      <c r="G1936" s="19" t="s">
        <v>69</v>
      </c>
      <c r="H1936" s="19" t="s">
        <v>25</v>
      </c>
      <c r="I1936" s="19">
        <v>1</v>
      </c>
      <c r="J1936" s="21">
        <v>55</v>
      </c>
      <c r="K1936" s="22">
        <v>0.05</v>
      </c>
      <c r="L1936" s="21">
        <v>52.25</v>
      </c>
    </row>
    <row r="1937" spans="1:12">
      <c r="A1937" s="19" t="s">
        <v>2007</v>
      </c>
      <c r="B1937" s="20">
        <v>46226</v>
      </c>
      <c r="C1937" s="19" t="s">
        <v>86</v>
      </c>
      <c r="D1937" s="19" t="s">
        <v>14</v>
      </c>
      <c r="E1937" s="19" t="s">
        <v>15</v>
      </c>
      <c r="F1937" s="19" t="s">
        <v>27</v>
      </c>
      <c r="G1937" s="19" t="s">
        <v>36</v>
      </c>
      <c r="H1937" s="19" t="s">
        <v>93</v>
      </c>
      <c r="I1937" s="19">
        <v>2</v>
      </c>
      <c r="J1937" s="21">
        <v>780</v>
      </c>
      <c r="K1937" s="22">
        <v>0.15</v>
      </c>
      <c r="L1937" s="21">
        <v>1326</v>
      </c>
    </row>
    <row r="1938" spans="1:12">
      <c r="A1938" s="19" t="s">
        <v>2008</v>
      </c>
      <c r="B1938" s="20">
        <v>46157</v>
      </c>
      <c r="C1938" s="19" t="s">
        <v>31</v>
      </c>
      <c r="D1938" s="19" t="s">
        <v>14</v>
      </c>
      <c r="E1938" s="19" t="s">
        <v>15</v>
      </c>
      <c r="F1938" s="19" t="s">
        <v>16</v>
      </c>
      <c r="G1938" s="19" t="s">
        <v>65</v>
      </c>
      <c r="H1938" s="19" t="s">
        <v>39</v>
      </c>
      <c r="I1938" s="19">
        <v>3</v>
      </c>
      <c r="J1938" s="21">
        <v>80</v>
      </c>
      <c r="K1938" s="22">
        <v>0.03</v>
      </c>
      <c r="L1938" s="21">
        <v>232.79999999999998</v>
      </c>
    </row>
    <row r="1939" spans="1:12">
      <c r="A1939" s="19" t="s">
        <v>2009</v>
      </c>
      <c r="B1939" s="20">
        <v>46067</v>
      </c>
      <c r="C1939" s="19" t="s">
        <v>47</v>
      </c>
      <c r="D1939" s="19" t="s">
        <v>21</v>
      </c>
      <c r="E1939" s="19" t="s">
        <v>22</v>
      </c>
      <c r="F1939" s="19" t="s">
        <v>27</v>
      </c>
      <c r="G1939" s="19" t="s">
        <v>28</v>
      </c>
      <c r="H1939" s="19" t="s">
        <v>83</v>
      </c>
      <c r="I1939" s="19">
        <v>2</v>
      </c>
      <c r="J1939" s="21">
        <v>19</v>
      </c>
      <c r="K1939" s="22">
        <v>0.15</v>
      </c>
      <c r="L1939" s="21">
        <v>32.299999999999997</v>
      </c>
    </row>
    <row r="1940" spans="1:12">
      <c r="A1940" s="19" t="s">
        <v>2010</v>
      </c>
      <c r="B1940" s="20">
        <v>46055</v>
      </c>
      <c r="C1940" s="19" t="s">
        <v>31</v>
      </c>
      <c r="D1940" s="19" t="s">
        <v>21</v>
      </c>
      <c r="E1940" s="19" t="s">
        <v>15</v>
      </c>
      <c r="F1940" s="19" t="s">
        <v>48</v>
      </c>
      <c r="G1940" s="19" t="s">
        <v>49</v>
      </c>
      <c r="H1940" s="19" t="s">
        <v>79</v>
      </c>
      <c r="I1940" s="19">
        <v>1</v>
      </c>
      <c r="J1940" s="21">
        <v>3990</v>
      </c>
      <c r="K1940" s="22">
        <v>0</v>
      </c>
      <c r="L1940" s="21">
        <v>3990</v>
      </c>
    </row>
    <row r="1941" spans="1:12">
      <c r="A1941" s="19" t="s">
        <v>2011</v>
      </c>
      <c r="B1941" s="20">
        <v>46218</v>
      </c>
      <c r="C1941" s="19" t="s">
        <v>31</v>
      </c>
      <c r="D1941" s="19" t="s">
        <v>14</v>
      </c>
      <c r="E1941" s="19" t="s">
        <v>22</v>
      </c>
      <c r="F1941" s="19" t="s">
        <v>27</v>
      </c>
      <c r="G1941" s="19" t="s">
        <v>36</v>
      </c>
      <c r="H1941" s="19" t="s">
        <v>39</v>
      </c>
      <c r="I1941" s="19">
        <v>3</v>
      </c>
      <c r="J1941" s="21">
        <v>750</v>
      </c>
      <c r="K1941" s="22">
        <v>0.2</v>
      </c>
      <c r="L1941" s="21">
        <v>1800</v>
      </c>
    </row>
    <row r="1942" spans="1:12">
      <c r="A1942" s="19" t="s">
        <v>2012</v>
      </c>
      <c r="B1942" s="20">
        <v>46185</v>
      </c>
      <c r="C1942" s="19" t="s">
        <v>31</v>
      </c>
      <c r="D1942" s="19" t="s">
        <v>14</v>
      </c>
      <c r="E1942" s="19" t="s">
        <v>22</v>
      </c>
      <c r="F1942" s="19" t="s">
        <v>27</v>
      </c>
      <c r="G1942" s="19" t="s">
        <v>28</v>
      </c>
      <c r="H1942" s="19" t="s">
        <v>33</v>
      </c>
      <c r="I1942" s="19">
        <v>3</v>
      </c>
      <c r="J1942" s="21">
        <v>19</v>
      </c>
      <c r="K1942" s="22">
        <v>0.08</v>
      </c>
      <c r="L1942" s="21">
        <v>52.440000000000005</v>
      </c>
    </row>
    <row r="1943" spans="1:12">
      <c r="A1943" s="19" t="s">
        <v>2013</v>
      </c>
      <c r="B1943" s="20">
        <v>46108</v>
      </c>
      <c r="C1943" s="19" t="s">
        <v>13</v>
      </c>
      <c r="D1943" s="19" t="s">
        <v>35</v>
      </c>
      <c r="E1943" s="19" t="s">
        <v>22</v>
      </c>
      <c r="F1943" s="19" t="s">
        <v>48</v>
      </c>
      <c r="G1943" s="19" t="s">
        <v>49</v>
      </c>
      <c r="H1943" s="19" t="s">
        <v>18</v>
      </c>
      <c r="I1943" s="19">
        <v>4</v>
      </c>
      <c r="J1943" s="21">
        <v>3990</v>
      </c>
      <c r="K1943" s="22">
        <v>0.05</v>
      </c>
      <c r="L1943" s="21">
        <v>15162</v>
      </c>
    </row>
    <row r="1944" spans="1:12">
      <c r="A1944" s="19" t="s">
        <v>2014</v>
      </c>
      <c r="B1944" s="20">
        <v>46341</v>
      </c>
      <c r="C1944" s="19" t="s">
        <v>86</v>
      </c>
      <c r="D1944" s="19" t="s">
        <v>14</v>
      </c>
      <c r="E1944" s="19" t="s">
        <v>22</v>
      </c>
      <c r="F1944" s="19" t="s">
        <v>48</v>
      </c>
      <c r="G1944" s="19" t="s">
        <v>71</v>
      </c>
      <c r="H1944" s="19" t="s">
        <v>93</v>
      </c>
      <c r="I1944" s="19">
        <v>1</v>
      </c>
      <c r="J1944" s="21">
        <v>3104</v>
      </c>
      <c r="K1944" s="22">
        <v>0.05</v>
      </c>
      <c r="L1944" s="21">
        <v>2948.7999999999997</v>
      </c>
    </row>
    <row r="1945" spans="1:12">
      <c r="A1945" s="19" t="s">
        <v>2015</v>
      </c>
      <c r="B1945" s="20">
        <v>46166</v>
      </c>
      <c r="C1945" s="19" t="s">
        <v>13</v>
      </c>
      <c r="D1945" s="19" t="s">
        <v>21</v>
      </c>
      <c r="E1945" s="19" t="s">
        <v>15</v>
      </c>
      <c r="F1945" s="19" t="s">
        <v>73</v>
      </c>
      <c r="G1945" s="19" t="s">
        <v>145</v>
      </c>
      <c r="H1945" s="19" t="s">
        <v>29</v>
      </c>
      <c r="I1945" s="19">
        <v>2</v>
      </c>
      <c r="J1945" s="21">
        <v>18</v>
      </c>
      <c r="K1945" s="22">
        <v>0.03</v>
      </c>
      <c r="L1945" s="21">
        <v>34.92</v>
      </c>
    </row>
    <row r="1946" spans="1:12">
      <c r="A1946" s="19" t="s">
        <v>2016</v>
      </c>
      <c r="B1946" s="20">
        <v>46067</v>
      </c>
      <c r="C1946" s="19" t="s">
        <v>20</v>
      </c>
      <c r="D1946" s="19" t="s">
        <v>14</v>
      </c>
      <c r="E1946" s="19" t="s">
        <v>15</v>
      </c>
      <c r="F1946" s="19" t="s">
        <v>16</v>
      </c>
      <c r="G1946" s="19" t="s">
        <v>17</v>
      </c>
      <c r="H1946" s="19" t="s">
        <v>25</v>
      </c>
      <c r="I1946" s="19">
        <v>5</v>
      </c>
      <c r="J1946" s="21">
        <v>15</v>
      </c>
      <c r="K1946" s="22">
        <v>0.08</v>
      </c>
      <c r="L1946" s="21">
        <v>69</v>
      </c>
    </row>
    <row r="1947" spans="1:12">
      <c r="A1947" s="19" t="s">
        <v>2017</v>
      </c>
      <c r="B1947" s="20">
        <v>46174</v>
      </c>
      <c r="C1947" s="19" t="s">
        <v>20</v>
      </c>
      <c r="D1947" s="19" t="s">
        <v>41</v>
      </c>
      <c r="E1947" s="19" t="s">
        <v>22</v>
      </c>
      <c r="F1947" s="19" t="s">
        <v>48</v>
      </c>
      <c r="G1947" s="19" t="s">
        <v>54</v>
      </c>
      <c r="H1947" s="19" t="s">
        <v>63</v>
      </c>
      <c r="I1947" s="19">
        <v>3</v>
      </c>
      <c r="J1947" s="21">
        <v>1872</v>
      </c>
      <c r="K1947" s="22">
        <v>0.15</v>
      </c>
      <c r="L1947" s="21">
        <v>4773.5999999999995</v>
      </c>
    </row>
    <row r="1948" spans="1:12">
      <c r="A1948" s="19" t="s">
        <v>2018</v>
      </c>
      <c r="B1948" s="20">
        <v>46387</v>
      </c>
      <c r="C1948" s="19" t="s">
        <v>47</v>
      </c>
      <c r="D1948" s="19" t="s">
        <v>41</v>
      </c>
      <c r="E1948" s="19" t="s">
        <v>22</v>
      </c>
      <c r="F1948" s="19" t="s">
        <v>48</v>
      </c>
      <c r="G1948" s="19" t="s">
        <v>99</v>
      </c>
      <c r="H1948" s="19" t="s">
        <v>55</v>
      </c>
      <c r="I1948" s="19">
        <v>1</v>
      </c>
      <c r="J1948" s="21">
        <v>3180</v>
      </c>
      <c r="K1948" s="22">
        <v>0.15</v>
      </c>
      <c r="L1948" s="21">
        <v>2703</v>
      </c>
    </row>
    <row r="1949" spans="1:12">
      <c r="A1949" s="19" t="s">
        <v>2019</v>
      </c>
      <c r="B1949" s="20">
        <v>46127</v>
      </c>
      <c r="C1949" s="19" t="s">
        <v>47</v>
      </c>
      <c r="D1949" s="19" t="s">
        <v>35</v>
      </c>
      <c r="E1949" s="19" t="s">
        <v>22</v>
      </c>
      <c r="F1949" s="19" t="s">
        <v>23</v>
      </c>
      <c r="G1949" s="19" t="s">
        <v>138</v>
      </c>
      <c r="H1949" s="19" t="s">
        <v>50</v>
      </c>
      <c r="I1949" s="19">
        <v>2</v>
      </c>
      <c r="J1949" s="21">
        <v>57</v>
      </c>
      <c r="K1949" s="22">
        <v>0.2</v>
      </c>
      <c r="L1949" s="21">
        <v>91.2</v>
      </c>
    </row>
    <row r="1950" spans="1:12">
      <c r="A1950" s="19" t="s">
        <v>2020</v>
      </c>
      <c r="B1950" s="20">
        <v>46336</v>
      </c>
      <c r="C1950" s="19" t="s">
        <v>20</v>
      </c>
      <c r="D1950" s="19" t="s">
        <v>21</v>
      </c>
      <c r="E1950" s="19" t="s">
        <v>15</v>
      </c>
      <c r="F1950" s="19" t="s">
        <v>16</v>
      </c>
      <c r="G1950" s="19" t="s">
        <v>112</v>
      </c>
      <c r="H1950" s="19" t="s">
        <v>63</v>
      </c>
      <c r="I1950" s="19">
        <v>5</v>
      </c>
      <c r="J1950" s="21">
        <v>66.3</v>
      </c>
      <c r="K1950" s="22">
        <v>0.15</v>
      </c>
      <c r="L1950" s="21">
        <v>281.77499999999998</v>
      </c>
    </row>
    <row r="1951" spans="1:12">
      <c r="A1951" s="19" t="s">
        <v>2021</v>
      </c>
      <c r="B1951" s="20">
        <v>46046</v>
      </c>
      <c r="C1951" s="19" t="s">
        <v>86</v>
      </c>
      <c r="D1951" s="19" t="s">
        <v>35</v>
      </c>
      <c r="E1951" s="19" t="s">
        <v>22</v>
      </c>
      <c r="F1951" s="19" t="s">
        <v>48</v>
      </c>
      <c r="G1951" s="19" t="s">
        <v>71</v>
      </c>
      <c r="H1951" s="19" t="s">
        <v>102</v>
      </c>
      <c r="I1951" s="19">
        <v>1</v>
      </c>
      <c r="J1951" s="21">
        <v>3200</v>
      </c>
      <c r="K1951" s="22">
        <v>0.1</v>
      </c>
      <c r="L1951" s="21">
        <v>2880</v>
      </c>
    </row>
    <row r="1952" spans="1:12">
      <c r="A1952" s="19" t="s">
        <v>2022</v>
      </c>
      <c r="B1952" s="20">
        <v>46346</v>
      </c>
      <c r="C1952" s="19" t="s">
        <v>13</v>
      </c>
      <c r="D1952" s="19" t="s">
        <v>14</v>
      </c>
      <c r="E1952" s="19" t="s">
        <v>15</v>
      </c>
      <c r="F1952" s="19" t="s">
        <v>60</v>
      </c>
      <c r="G1952" s="19" t="s">
        <v>61</v>
      </c>
      <c r="H1952" s="19" t="s">
        <v>29</v>
      </c>
      <c r="I1952" s="19">
        <v>4</v>
      </c>
      <c r="J1952" s="21">
        <v>807.5</v>
      </c>
      <c r="K1952" s="22">
        <v>0.1</v>
      </c>
      <c r="L1952" s="21">
        <v>2907</v>
      </c>
    </row>
    <row r="1953" spans="1:12">
      <c r="A1953" s="19" t="s">
        <v>2023</v>
      </c>
      <c r="B1953" s="20">
        <v>46347</v>
      </c>
      <c r="C1953" s="19" t="s">
        <v>47</v>
      </c>
      <c r="D1953" s="19" t="s">
        <v>35</v>
      </c>
      <c r="E1953" s="19" t="s">
        <v>15</v>
      </c>
      <c r="F1953" s="19" t="s">
        <v>23</v>
      </c>
      <c r="G1953" s="19" t="s">
        <v>24</v>
      </c>
      <c r="H1953" s="19" t="s">
        <v>50</v>
      </c>
      <c r="I1953" s="19">
        <v>7</v>
      </c>
      <c r="J1953" s="21">
        <v>90</v>
      </c>
      <c r="K1953" s="22">
        <v>0.03</v>
      </c>
      <c r="L1953" s="21">
        <v>611.1</v>
      </c>
    </row>
    <row r="1954" spans="1:12">
      <c r="A1954" s="19" t="s">
        <v>2024</v>
      </c>
      <c r="B1954" s="20">
        <v>46174</v>
      </c>
      <c r="C1954" s="19" t="s">
        <v>47</v>
      </c>
      <c r="D1954" s="19" t="s">
        <v>21</v>
      </c>
      <c r="E1954" s="19" t="s">
        <v>15</v>
      </c>
      <c r="F1954" s="19" t="s">
        <v>48</v>
      </c>
      <c r="G1954" s="19" t="s">
        <v>99</v>
      </c>
      <c r="H1954" s="19" t="s">
        <v>50</v>
      </c>
      <c r="I1954" s="19">
        <v>1</v>
      </c>
      <c r="J1954" s="21">
        <v>3000</v>
      </c>
      <c r="K1954" s="22">
        <v>0.15</v>
      </c>
      <c r="L1954" s="21">
        <v>2550</v>
      </c>
    </row>
    <row r="1955" spans="1:12">
      <c r="A1955" s="19" t="s">
        <v>2025</v>
      </c>
      <c r="B1955" s="20">
        <v>46312</v>
      </c>
      <c r="C1955" s="19" t="s">
        <v>20</v>
      </c>
      <c r="D1955" s="19" t="s">
        <v>21</v>
      </c>
      <c r="E1955" s="19" t="s">
        <v>22</v>
      </c>
      <c r="F1955" s="19" t="s">
        <v>16</v>
      </c>
      <c r="G1955" s="19" t="s">
        <v>69</v>
      </c>
      <c r="H1955" s="19" t="s">
        <v>63</v>
      </c>
      <c r="I1955" s="19">
        <v>2</v>
      </c>
      <c r="J1955" s="21">
        <v>57.2</v>
      </c>
      <c r="K1955" s="22">
        <v>0.1</v>
      </c>
      <c r="L1955" s="21">
        <v>102.96000000000001</v>
      </c>
    </row>
    <row r="1956" spans="1:12">
      <c r="A1956" s="19" t="s">
        <v>2026</v>
      </c>
      <c r="B1956" s="20">
        <v>46353</v>
      </c>
      <c r="C1956" s="19" t="s">
        <v>31</v>
      </c>
      <c r="D1956" s="19" t="s">
        <v>14</v>
      </c>
      <c r="E1956" s="19" t="s">
        <v>15</v>
      </c>
      <c r="F1956" s="19" t="s">
        <v>73</v>
      </c>
      <c r="G1956" s="19" t="s">
        <v>129</v>
      </c>
      <c r="H1956" s="19" t="s">
        <v>79</v>
      </c>
      <c r="I1956" s="19">
        <v>1</v>
      </c>
      <c r="J1956" s="21">
        <v>35</v>
      </c>
      <c r="K1956" s="22">
        <v>0.15</v>
      </c>
      <c r="L1956" s="21">
        <v>29.75</v>
      </c>
    </row>
    <row r="1957" spans="1:12">
      <c r="A1957" s="19" t="s">
        <v>2027</v>
      </c>
      <c r="B1957" s="20">
        <v>46332</v>
      </c>
      <c r="C1957" s="19" t="s">
        <v>86</v>
      </c>
      <c r="D1957" s="19" t="s">
        <v>14</v>
      </c>
      <c r="E1957" s="19" t="s">
        <v>22</v>
      </c>
      <c r="F1957" s="19" t="s">
        <v>16</v>
      </c>
      <c r="G1957" s="19" t="s">
        <v>65</v>
      </c>
      <c r="H1957" s="19" t="s">
        <v>102</v>
      </c>
      <c r="I1957" s="19">
        <v>1</v>
      </c>
      <c r="J1957" s="21">
        <v>83.2</v>
      </c>
      <c r="K1957" s="22">
        <v>0.2</v>
      </c>
      <c r="L1957" s="21">
        <v>66.56</v>
      </c>
    </row>
    <row r="1958" spans="1:12">
      <c r="A1958" s="19" t="s">
        <v>2028</v>
      </c>
      <c r="B1958" s="20">
        <v>46104</v>
      </c>
      <c r="C1958" s="19" t="s">
        <v>13</v>
      </c>
      <c r="D1958" s="19" t="s">
        <v>41</v>
      </c>
      <c r="E1958" s="19" t="s">
        <v>22</v>
      </c>
      <c r="F1958" s="19" t="s">
        <v>27</v>
      </c>
      <c r="G1958" s="19" t="s">
        <v>36</v>
      </c>
      <c r="H1958" s="19" t="s">
        <v>18</v>
      </c>
      <c r="I1958" s="19">
        <v>1</v>
      </c>
      <c r="J1958" s="21">
        <v>750</v>
      </c>
      <c r="K1958" s="22">
        <v>0.1</v>
      </c>
      <c r="L1958" s="21">
        <v>675</v>
      </c>
    </row>
    <row r="1959" spans="1:12">
      <c r="A1959" s="19" t="s">
        <v>2029</v>
      </c>
      <c r="B1959" s="20">
        <v>46252</v>
      </c>
      <c r="C1959" s="19" t="s">
        <v>47</v>
      </c>
      <c r="D1959" s="19" t="s">
        <v>21</v>
      </c>
      <c r="E1959" s="19" t="s">
        <v>22</v>
      </c>
      <c r="F1959" s="19" t="s">
        <v>16</v>
      </c>
      <c r="G1959" s="19" t="s">
        <v>42</v>
      </c>
      <c r="H1959" s="19" t="s">
        <v>83</v>
      </c>
      <c r="I1959" s="19">
        <v>1</v>
      </c>
      <c r="J1959" s="21">
        <v>45</v>
      </c>
      <c r="K1959" s="22">
        <v>0</v>
      </c>
      <c r="L1959" s="21">
        <v>45</v>
      </c>
    </row>
    <row r="1960" spans="1:12">
      <c r="A1960" s="19" t="s">
        <v>2030</v>
      </c>
      <c r="B1960" s="20">
        <v>46372</v>
      </c>
      <c r="C1960" s="19" t="s">
        <v>47</v>
      </c>
      <c r="D1960" s="19" t="s">
        <v>14</v>
      </c>
      <c r="E1960" s="19" t="s">
        <v>22</v>
      </c>
      <c r="F1960" s="19" t="s">
        <v>60</v>
      </c>
      <c r="G1960" s="19" t="s">
        <v>91</v>
      </c>
      <c r="H1960" s="19" t="s">
        <v>50</v>
      </c>
      <c r="I1960" s="19">
        <v>2</v>
      </c>
      <c r="J1960" s="21">
        <v>614.79999999999995</v>
      </c>
      <c r="K1960" s="22">
        <v>0.08</v>
      </c>
      <c r="L1960" s="21">
        <v>1131.232</v>
      </c>
    </row>
    <row r="1961" spans="1:12">
      <c r="A1961" s="19" t="s">
        <v>2031</v>
      </c>
      <c r="B1961" s="20">
        <v>46299</v>
      </c>
      <c r="C1961" s="19" t="s">
        <v>47</v>
      </c>
      <c r="D1961" s="19" t="s">
        <v>35</v>
      </c>
      <c r="E1961" s="19" t="s">
        <v>22</v>
      </c>
      <c r="F1961" s="19" t="s">
        <v>48</v>
      </c>
      <c r="G1961" s="19" t="s">
        <v>54</v>
      </c>
      <c r="H1961" s="19" t="s">
        <v>55</v>
      </c>
      <c r="I1961" s="19">
        <v>2</v>
      </c>
      <c r="J1961" s="21">
        <v>1710</v>
      </c>
      <c r="K1961" s="22">
        <v>0.05</v>
      </c>
      <c r="L1961" s="21">
        <v>3249</v>
      </c>
    </row>
    <row r="1962" spans="1:12">
      <c r="A1962" s="19" t="s">
        <v>2032</v>
      </c>
      <c r="B1962" s="20">
        <v>46293</v>
      </c>
      <c r="C1962" s="19" t="s">
        <v>47</v>
      </c>
      <c r="D1962" s="19" t="s">
        <v>21</v>
      </c>
      <c r="E1962" s="19" t="s">
        <v>22</v>
      </c>
      <c r="F1962" s="19" t="s">
        <v>73</v>
      </c>
      <c r="G1962" s="19" t="s">
        <v>127</v>
      </c>
      <c r="H1962" s="19" t="s">
        <v>83</v>
      </c>
      <c r="I1962" s="19">
        <v>1</v>
      </c>
      <c r="J1962" s="21">
        <v>24.25</v>
      </c>
      <c r="K1962" s="22">
        <v>0.2</v>
      </c>
      <c r="L1962" s="21">
        <v>19.400000000000002</v>
      </c>
    </row>
    <row r="1963" spans="1:12">
      <c r="A1963" s="19" t="s">
        <v>2033</v>
      </c>
      <c r="B1963" s="20">
        <v>46098</v>
      </c>
      <c r="C1963" s="19" t="s">
        <v>31</v>
      </c>
      <c r="D1963" s="19" t="s">
        <v>14</v>
      </c>
      <c r="E1963" s="19" t="s">
        <v>22</v>
      </c>
      <c r="F1963" s="19" t="s">
        <v>16</v>
      </c>
      <c r="G1963" s="19" t="s">
        <v>65</v>
      </c>
      <c r="H1963" s="19" t="s">
        <v>79</v>
      </c>
      <c r="I1963" s="19">
        <v>3</v>
      </c>
      <c r="J1963" s="21">
        <v>84.8</v>
      </c>
      <c r="K1963" s="22">
        <v>0</v>
      </c>
      <c r="L1963" s="21">
        <v>254.39999999999998</v>
      </c>
    </row>
    <row r="1964" spans="1:12">
      <c r="A1964" s="19" t="s">
        <v>2034</v>
      </c>
      <c r="B1964" s="20">
        <v>46315</v>
      </c>
      <c r="C1964" s="19" t="s">
        <v>13</v>
      </c>
      <c r="D1964" s="19" t="s">
        <v>35</v>
      </c>
      <c r="E1964" s="19" t="s">
        <v>22</v>
      </c>
      <c r="F1964" s="19" t="s">
        <v>27</v>
      </c>
      <c r="G1964" s="19" t="s">
        <v>32</v>
      </c>
      <c r="H1964" s="19" t="s">
        <v>18</v>
      </c>
      <c r="I1964" s="19">
        <v>2</v>
      </c>
      <c r="J1964" s="21">
        <v>291.2</v>
      </c>
      <c r="K1964" s="22">
        <v>0.1</v>
      </c>
      <c r="L1964" s="21">
        <v>524.16</v>
      </c>
    </row>
    <row r="1965" spans="1:12">
      <c r="A1965" s="19" t="s">
        <v>2035</v>
      </c>
      <c r="B1965" s="20">
        <v>46311</v>
      </c>
      <c r="C1965" s="19" t="s">
        <v>47</v>
      </c>
      <c r="D1965" s="19" t="s">
        <v>14</v>
      </c>
      <c r="E1965" s="19" t="s">
        <v>22</v>
      </c>
      <c r="F1965" s="19" t="s">
        <v>23</v>
      </c>
      <c r="G1965" s="19" t="s">
        <v>24</v>
      </c>
      <c r="H1965" s="19" t="s">
        <v>55</v>
      </c>
      <c r="I1965" s="19">
        <v>2</v>
      </c>
      <c r="J1965" s="21">
        <v>90</v>
      </c>
      <c r="K1965" s="22">
        <v>0.1</v>
      </c>
      <c r="L1965" s="21">
        <v>162</v>
      </c>
    </row>
    <row r="1966" spans="1:12">
      <c r="A1966" s="19" t="s">
        <v>2036</v>
      </c>
      <c r="B1966" s="20">
        <v>46092</v>
      </c>
      <c r="C1966" s="19" t="s">
        <v>47</v>
      </c>
      <c r="D1966" s="19" t="s">
        <v>14</v>
      </c>
      <c r="E1966" s="19" t="s">
        <v>22</v>
      </c>
      <c r="F1966" s="19" t="s">
        <v>60</v>
      </c>
      <c r="G1966" s="19" t="s">
        <v>91</v>
      </c>
      <c r="H1966" s="19" t="s">
        <v>50</v>
      </c>
      <c r="I1966" s="19">
        <v>1</v>
      </c>
      <c r="J1966" s="21">
        <v>551</v>
      </c>
      <c r="K1966" s="22">
        <v>0.03</v>
      </c>
      <c r="L1966" s="21">
        <v>534.47</v>
      </c>
    </row>
    <row r="1967" spans="1:12">
      <c r="A1967" s="19" t="s">
        <v>2037</v>
      </c>
      <c r="B1967" s="20">
        <v>46288</v>
      </c>
      <c r="C1967" s="19" t="s">
        <v>20</v>
      </c>
      <c r="D1967" s="19" t="s">
        <v>35</v>
      </c>
      <c r="E1967" s="19" t="s">
        <v>22</v>
      </c>
      <c r="F1967" s="19" t="s">
        <v>27</v>
      </c>
      <c r="G1967" s="19" t="s">
        <v>32</v>
      </c>
      <c r="H1967" s="19" t="s">
        <v>63</v>
      </c>
      <c r="I1967" s="19">
        <v>4</v>
      </c>
      <c r="J1967" s="21">
        <v>266</v>
      </c>
      <c r="K1967" s="22">
        <v>0.05</v>
      </c>
      <c r="L1967" s="21">
        <v>1010.8</v>
      </c>
    </row>
    <row r="1968" spans="1:12">
      <c r="A1968" s="19" t="s">
        <v>2038</v>
      </c>
      <c r="B1968" s="20">
        <v>46106</v>
      </c>
      <c r="C1968" s="19" t="s">
        <v>31</v>
      </c>
      <c r="D1968" s="19" t="s">
        <v>41</v>
      </c>
      <c r="E1968" s="19" t="s">
        <v>22</v>
      </c>
      <c r="F1968" s="19" t="s">
        <v>16</v>
      </c>
      <c r="G1968" s="19" t="s">
        <v>42</v>
      </c>
      <c r="H1968" s="19" t="s">
        <v>33</v>
      </c>
      <c r="I1968" s="19">
        <v>3</v>
      </c>
      <c r="J1968" s="21">
        <v>46.8</v>
      </c>
      <c r="K1968" s="22">
        <v>0.1</v>
      </c>
      <c r="L1968" s="21">
        <v>126.35999999999999</v>
      </c>
    </row>
    <row r="1969" spans="1:12">
      <c r="A1969" s="19" t="s">
        <v>2039</v>
      </c>
      <c r="B1969" s="20">
        <v>46259</v>
      </c>
      <c r="C1969" s="19" t="s">
        <v>86</v>
      </c>
      <c r="D1969" s="19" t="s">
        <v>14</v>
      </c>
      <c r="E1969" s="19" t="s">
        <v>22</v>
      </c>
      <c r="F1969" s="19" t="s">
        <v>48</v>
      </c>
      <c r="G1969" s="19" t="s">
        <v>49</v>
      </c>
      <c r="H1969" s="19" t="s">
        <v>87</v>
      </c>
      <c r="I1969" s="19">
        <v>1</v>
      </c>
      <c r="J1969" s="21">
        <v>3990</v>
      </c>
      <c r="K1969" s="22">
        <v>0.05</v>
      </c>
      <c r="L1969" s="21">
        <v>3790.5</v>
      </c>
    </row>
    <row r="1970" spans="1:12">
      <c r="A1970" s="19" t="s">
        <v>2040</v>
      </c>
      <c r="B1970" s="20">
        <v>46156</v>
      </c>
      <c r="C1970" s="19" t="s">
        <v>20</v>
      </c>
      <c r="D1970" s="19" t="s">
        <v>14</v>
      </c>
      <c r="E1970" s="19" t="s">
        <v>22</v>
      </c>
      <c r="F1970" s="19" t="s">
        <v>27</v>
      </c>
      <c r="G1970" s="19" t="s">
        <v>28</v>
      </c>
      <c r="H1970" s="19" t="s">
        <v>25</v>
      </c>
      <c r="I1970" s="19">
        <v>1</v>
      </c>
      <c r="J1970" s="21">
        <v>20</v>
      </c>
      <c r="K1970" s="22">
        <v>0</v>
      </c>
      <c r="L1970" s="21">
        <v>20</v>
      </c>
    </row>
    <row r="1971" spans="1:12">
      <c r="A1971" s="19" t="s">
        <v>2041</v>
      </c>
      <c r="B1971" s="20">
        <v>46355</v>
      </c>
      <c r="C1971" s="19" t="s">
        <v>86</v>
      </c>
      <c r="D1971" s="19" t="s">
        <v>14</v>
      </c>
      <c r="E1971" s="19" t="s">
        <v>15</v>
      </c>
      <c r="F1971" s="19" t="s">
        <v>60</v>
      </c>
      <c r="G1971" s="19" t="s">
        <v>91</v>
      </c>
      <c r="H1971" s="19" t="s">
        <v>87</v>
      </c>
      <c r="I1971" s="19">
        <v>1</v>
      </c>
      <c r="J1971" s="21">
        <v>580</v>
      </c>
      <c r="K1971" s="22">
        <v>0</v>
      </c>
      <c r="L1971" s="21">
        <v>580</v>
      </c>
    </row>
    <row r="1972" spans="1:12">
      <c r="A1972" s="19" t="s">
        <v>2042</v>
      </c>
      <c r="B1972" s="20">
        <v>46212</v>
      </c>
      <c r="C1972" s="19" t="s">
        <v>47</v>
      </c>
      <c r="D1972" s="19" t="s">
        <v>14</v>
      </c>
      <c r="E1972" s="19" t="s">
        <v>22</v>
      </c>
      <c r="F1972" s="19" t="s">
        <v>23</v>
      </c>
      <c r="G1972" s="19" t="s">
        <v>52</v>
      </c>
      <c r="H1972" s="19" t="s">
        <v>83</v>
      </c>
      <c r="I1972" s="19">
        <v>3</v>
      </c>
      <c r="J1972" s="21">
        <v>450</v>
      </c>
      <c r="K1972" s="22">
        <v>0.03</v>
      </c>
      <c r="L1972" s="21">
        <v>1309.5</v>
      </c>
    </row>
    <row r="1973" spans="1:12">
      <c r="A1973" s="19" t="s">
        <v>2043</v>
      </c>
      <c r="B1973" s="20">
        <v>46211</v>
      </c>
      <c r="C1973" s="19" t="s">
        <v>31</v>
      </c>
      <c r="D1973" s="19" t="s">
        <v>14</v>
      </c>
      <c r="E1973" s="19" t="s">
        <v>15</v>
      </c>
      <c r="F1973" s="19" t="s">
        <v>48</v>
      </c>
      <c r="G1973" s="19" t="s">
        <v>71</v>
      </c>
      <c r="H1973" s="19" t="s">
        <v>79</v>
      </c>
      <c r="I1973" s="19">
        <v>1</v>
      </c>
      <c r="J1973" s="21">
        <v>3040</v>
      </c>
      <c r="K1973" s="22">
        <v>0</v>
      </c>
      <c r="L1973" s="21">
        <v>3040</v>
      </c>
    </row>
    <row r="1974" spans="1:12">
      <c r="A1974" s="19" t="s">
        <v>2044</v>
      </c>
      <c r="B1974" s="20">
        <v>46056</v>
      </c>
      <c r="C1974" s="19" t="s">
        <v>86</v>
      </c>
      <c r="D1974" s="19" t="s">
        <v>35</v>
      </c>
      <c r="E1974" s="19" t="s">
        <v>22</v>
      </c>
      <c r="F1974" s="19" t="s">
        <v>23</v>
      </c>
      <c r="G1974" s="19" t="s">
        <v>24</v>
      </c>
      <c r="H1974" s="19" t="s">
        <v>93</v>
      </c>
      <c r="I1974" s="19">
        <v>6</v>
      </c>
      <c r="J1974" s="21">
        <v>90</v>
      </c>
      <c r="K1974" s="22">
        <v>0.1</v>
      </c>
      <c r="L1974" s="21">
        <v>486</v>
      </c>
    </row>
    <row r="1975" spans="1:12">
      <c r="A1975" s="19" t="s">
        <v>2045</v>
      </c>
      <c r="B1975" s="20">
        <v>46295</v>
      </c>
      <c r="C1975" s="19" t="s">
        <v>20</v>
      </c>
      <c r="D1975" s="19" t="s">
        <v>14</v>
      </c>
      <c r="E1975" s="19" t="s">
        <v>15</v>
      </c>
      <c r="F1975" s="19" t="s">
        <v>16</v>
      </c>
      <c r="G1975" s="19" t="s">
        <v>42</v>
      </c>
      <c r="H1975" s="19" t="s">
        <v>63</v>
      </c>
      <c r="I1975" s="19">
        <v>1</v>
      </c>
      <c r="J1975" s="21">
        <v>45.9</v>
      </c>
      <c r="K1975" s="22">
        <v>0</v>
      </c>
      <c r="L1975" s="21">
        <v>45.9</v>
      </c>
    </row>
    <row r="1976" spans="1:12">
      <c r="A1976" s="19" t="s">
        <v>2046</v>
      </c>
      <c r="B1976" s="20">
        <v>46370</v>
      </c>
      <c r="C1976" s="19" t="s">
        <v>86</v>
      </c>
      <c r="D1976" s="19" t="s">
        <v>41</v>
      </c>
      <c r="E1976" s="19" t="s">
        <v>22</v>
      </c>
      <c r="F1976" s="19" t="s">
        <v>73</v>
      </c>
      <c r="G1976" s="19" t="s">
        <v>74</v>
      </c>
      <c r="H1976" s="19" t="s">
        <v>102</v>
      </c>
      <c r="I1976" s="19">
        <v>5</v>
      </c>
      <c r="J1976" s="21">
        <v>8.32</v>
      </c>
      <c r="K1976" s="22">
        <v>0.03</v>
      </c>
      <c r="L1976" s="21">
        <v>40.351999999999997</v>
      </c>
    </row>
    <row r="1977" spans="1:12">
      <c r="A1977" s="19" t="s">
        <v>2047</v>
      </c>
      <c r="B1977" s="20">
        <v>46123</v>
      </c>
      <c r="C1977" s="19" t="s">
        <v>86</v>
      </c>
      <c r="D1977" s="19" t="s">
        <v>35</v>
      </c>
      <c r="E1977" s="19" t="s">
        <v>22</v>
      </c>
      <c r="F1977" s="19" t="s">
        <v>48</v>
      </c>
      <c r="G1977" s="19" t="s">
        <v>71</v>
      </c>
      <c r="H1977" s="19" t="s">
        <v>93</v>
      </c>
      <c r="I1977" s="19">
        <v>3</v>
      </c>
      <c r="J1977" s="21">
        <v>3392</v>
      </c>
      <c r="K1977" s="22">
        <v>0.05</v>
      </c>
      <c r="L1977" s="21">
        <v>9667.1999999999989</v>
      </c>
    </row>
    <row r="1978" spans="1:12">
      <c r="A1978" s="19" t="s">
        <v>2048</v>
      </c>
      <c r="B1978" s="20">
        <v>46072</v>
      </c>
      <c r="C1978" s="19" t="s">
        <v>86</v>
      </c>
      <c r="D1978" s="19" t="s">
        <v>21</v>
      </c>
      <c r="E1978" s="19" t="s">
        <v>22</v>
      </c>
      <c r="F1978" s="19" t="s">
        <v>48</v>
      </c>
      <c r="G1978" s="19" t="s">
        <v>54</v>
      </c>
      <c r="H1978" s="19" t="s">
        <v>93</v>
      </c>
      <c r="I1978" s="19">
        <v>1</v>
      </c>
      <c r="J1978" s="21">
        <v>1800</v>
      </c>
      <c r="K1978" s="22">
        <v>0.15</v>
      </c>
      <c r="L1978" s="21">
        <v>1530</v>
      </c>
    </row>
    <row r="1979" spans="1:12">
      <c r="A1979" s="19" t="s">
        <v>2049</v>
      </c>
      <c r="B1979" s="20">
        <v>46321</v>
      </c>
      <c r="C1979" s="19" t="s">
        <v>20</v>
      </c>
      <c r="D1979" s="19" t="s">
        <v>14</v>
      </c>
      <c r="E1979" s="19" t="s">
        <v>22</v>
      </c>
      <c r="F1979" s="19" t="s">
        <v>16</v>
      </c>
      <c r="G1979" s="19" t="s">
        <v>57</v>
      </c>
      <c r="H1979" s="19" t="s">
        <v>63</v>
      </c>
      <c r="I1979" s="19">
        <v>2</v>
      </c>
      <c r="J1979" s="21">
        <v>38</v>
      </c>
      <c r="K1979" s="22">
        <v>0.1</v>
      </c>
      <c r="L1979" s="21">
        <v>68.400000000000006</v>
      </c>
    </row>
    <row r="1980" spans="1:12">
      <c r="A1980" s="19" t="s">
        <v>2050</v>
      </c>
      <c r="B1980" s="20">
        <v>46309</v>
      </c>
      <c r="C1980" s="19" t="s">
        <v>13</v>
      </c>
      <c r="D1980" s="19" t="s">
        <v>21</v>
      </c>
      <c r="E1980" s="19" t="s">
        <v>15</v>
      </c>
      <c r="F1980" s="19" t="s">
        <v>16</v>
      </c>
      <c r="G1980" s="19" t="s">
        <v>42</v>
      </c>
      <c r="H1980" s="19" t="s">
        <v>43</v>
      </c>
      <c r="I1980" s="19">
        <v>2</v>
      </c>
      <c r="J1980" s="21">
        <v>42.75</v>
      </c>
      <c r="K1980" s="22">
        <v>0</v>
      </c>
      <c r="L1980" s="21">
        <v>85.5</v>
      </c>
    </row>
    <row r="1981" spans="1:12">
      <c r="A1981" s="19" t="s">
        <v>2051</v>
      </c>
      <c r="B1981" s="20">
        <v>46185</v>
      </c>
      <c r="C1981" s="19" t="s">
        <v>86</v>
      </c>
      <c r="D1981" s="19" t="s">
        <v>14</v>
      </c>
      <c r="E1981" s="19" t="s">
        <v>22</v>
      </c>
      <c r="F1981" s="19" t="s">
        <v>60</v>
      </c>
      <c r="G1981" s="19" t="s">
        <v>61</v>
      </c>
      <c r="H1981" s="19" t="s">
        <v>93</v>
      </c>
      <c r="I1981" s="19">
        <v>2</v>
      </c>
      <c r="J1981" s="21">
        <v>901</v>
      </c>
      <c r="K1981" s="22">
        <v>0</v>
      </c>
      <c r="L1981" s="21">
        <v>1802</v>
      </c>
    </row>
    <row r="1982" spans="1:12">
      <c r="A1982" s="19" t="s">
        <v>2052</v>
      </c>
      <c r="B1982" s="20">
        <v>46213</v>
      </c>
      <c r="C1982" s="19" t="s">
        <v>47</v>
      </c>
      <c r="D1982" s="19" t="s">
        <v>21</v>
      </c>
      <c r="E1982" s="19" t="s">
        <v>22</v>
      </c>
      <c r="F1982" s="19" t="s">
        <v>73</v>
      </c>
      <c r="G1982" s="19" t="s">
        <v>129</v>
      </c>
      <c r="H1982" s="19" t="s">
        <v>83</v>
      </c>
      <c r="I1982" s="19">
        <v>5</v>
      </c>
      <c r="J1982" s="21">
        <v>33.950000000000003</v>
      </c>
      <c r="K1982" s="22">
        <v>0.05</v>
      </c>
      <c r="L1982" s="21">
        <v>161.26249999999999</v>
      </c>
    </row>
    <row r="1983" spans="1:12">
      <c r="A1983" s="19" t="s">
        <v>2053</v>
      </c>
      <c r="B1983" s="20">
        <v>46287</v>
      </c>
      <c r="C1983" s="19" t="s">
        <v>31</v>
      </c>
      <c r="D1983" s="19" t="s">
        <v>14</v>
      </c>
      <c r="E1983" s="19" t="s">
        <v>22</v>
      </c>
      <c r="F1983" s="19" t="s">
        <v>48</v>
      </c>
      <c r="G1983" s="19" t="s">
        <v>49</v>
      </c>
      <c r="H1983" s="19" t="s">
        <v>79</v>
      </c>
      <c r="I1983" s="19">
        <v>4</v>
      </c>
      <c r="J1983" s="21">
        <v>4368</v>
      </c>
      <c r="K1983" s="22">
        <v>0.15</v>
      </c>
      <c r="L1983" s="21">
        <v>14851.199999999999</v>
      </c>
    </row>
    <row r="1984" spans="1:12">
      <c r="A1984" s="19" t="s">
        <v>2054</v>
      </c>
      <c r="B1984" s="20">
        <v>46230</v>
      </c>
      <c r="C1984" s="19" t="s">
        <v>86</v>
      </c>
      <c r="D1984" s="19" t="s">
        <v>14</v>
      </c>
      <c r="E1984" s="19" t="s">
        <v>22</v>
      </c>
      <c r="F1984" s="19" t="s">
        <v>16</v>
      </c>
      <c r="G1984" s="19" t="s">
        <v>42</v>
      </c>
      <c r="H1984" s="19" t="s">
        <v>93</v>
      </c>
      <c r="I1984" s="19">
        <v>3</v>
      </c>
      <c r="J1984" s="21">
        <v>47.7</v>
      </c>
      <c r="K1984" s="22">
        <v>0.05</v>
      </c>
      <c r="L1984" s="21">
        <v>135.94500000000002</v>
      </c>
    </row>
    <row r="1985" spans="1:12">
      <c r="A1985" s="19" t="s">
        <v>2055</v>
      </c>
      <c r="B1985" s="20">
        <v>46112</v>
      </c>
      <c r="C1985" s="19" t="s">
        <v>31</v>
      </c>
      <c r="D1985" s="19" t="s">
        <v>41</v>
      </c>
      <c r="E1985" s="19" t="s">
        <v>15</v>
      </c>
      <c r="F1985" s="19" t="s">
        <v>16</v>
      </c>
      <c r="G1985" s="19" t="s">
        <v>17</v>
      </c>
      <c r="H1985" s="19" t="s">
        <v>33</v>
      </c>
      <c r="I1985" s="19">
        <v>2</v>
      </c>
      <c r="J1985" s="21">
        <v>15.6</v>
      </c>
      <c r="K1985" s="22">
        <v>0.1</v>
      </c>
      <c r="L1985" s="21">
        <v>28.08</v>
      </c>
    </row>
    <row r="1986" spans="1:12">
      <c r="A1986" s="19" t="s">
        <v>2056</v>
      </c>
      <c r="B1986" s="20">
        <v>46241</v>
      </c>
      <c r="C1986" s="19" t="s">
        <v>47</v>
      </c>
      <c r="D1986" s="19" t="s">
        <v>21</v>
      </c>
      <c r="E1986" s="19" t="s">
        <v>22</v>
      </c>
      <c r="F1986" s="19" t="s">
        <v>60</v>
      </c>
      <c r="G1986" s="19" t="s">
        <v>91</v>
      </c>
      <c r="H1986" s="19" t="s">
        <v>83</v>
      </c>
      <c r="I1986" s="19">
        <v>3</v>
      </c>
      <c r="J1986" s="21">
        <v>603.20000000000005</v>
      </c>
      <c r="K1986" s="22">
        <v>0.08</v>
      </c>
      <c r="L1986" s="21">
        <v>1664.8320000000001</v>
      </c>
    </row>
    <row r="1987" spans="1:12">
      <c r="A1987" s="19" t="s">
        <v>2057</v>
      </c>
      <c r="B1987" s="20">
        <v>46233</v>
      </c>
      <c r="C1987" s="19" t="s">
        <v>20</v>
      </c>
      <c r="D1987" s="19" t="s">
        <v>21</v>
      </c>
      <c r="E1987" s="19" t="s">
        <v>22</v>
      </c>
      <c r="F1987" s="19" t="s">
        <v>16</v>
      </c>
      <c r="G1987" s="19" t="s">
        <v>17</v>
      </c>
      <c r="H1987" s="19" t="s">
        <v>63</v>
      </c>
      <c r="I1987" s="19">
        <v>4</v>
      </c>
      <c r="J1987" s="21">
        <v>15.3</v>
      </c>
      <c r="K1987" s="22">
        <v>0.1</v>
      </c>
      <c r="L1987" s="21">
        <v>55.080000000000005</v>
      </c>
    </row>
    <row r="1988" spans="1:12">
      <c r="A1988" s="19" t="s">
        <v>2058</v>
      </c>
      <c r="B1988" s="20">
        <v>46048</v>
      </c>
      <c r="C1988" s="19" t="s">
        <v>31</v>
      </c>
      <c r="D1988" s="19" t="s">
        <v>21</v>
      </c>
      <c r="E1988" s="19" t="s">
        <v>22</v>
      </c>
      <c r="F1988" s="19" t="s">
        <v>73</v>
      </c>
      <c r="G1988" s="19" t="s">
        <v>145</v>
      </c>
      <c r="H1988" s="19" t="s">
        <v>33</v>
      </c>
      <c r="I1988" s="19">
        <v>3</v>
      </c>
      <c r="J1988" s="21">
        <v>18</v>
      </c>
      <c r="K1988" s="22">
        <v>0.1</v>
      </c>
      <c r="L1988" s="21">
        <v>48.6</v>
      </c>
    </row>
    <row r="1989" spans="1:12">
      <c r="A1989" s="19" t="s">
        <v>2059</v>
      </c>
      <c r="B1989" s="20">
        <v>46249</v>
      </c>
      <c r="C1989" s="19" t="s">
        <v>20</v>
      </c>
      <c r="D1989" s="19" t="s">
        <v>14</v>
      </c>
      <c r="E1989" s="19" t="s">
        <v>15</v>
      </c>
      <c r="F1989" s="19" t="s">
        <v>16</v>
      </c>
      <c r="G1989" s="19" t="s">
        <v>17</v>
      </c>
      <c r="H1989" s="19" t="s">
        <v>63</v>
      </c>
      <c r="I1989" s="19">
        <v>2</v>
      </c>
      <c r="J1989" s="21">
        <v>15.3</v>
      </c>
      <c r="K1989" s="22">
        <v>0</v>
      </c>
      <c r="L1989" s="21">
        <v>30.6</v>
      </c>
    </row>
    <row r="1990" spans="1:12">
      <c r="A1990" s="19" t="s">
        <v>2060</v>
      </c>
      <c r="B1990" s="20">
        <v>46232</v>
      </c>
      <c r="C1990" s="19" t="s">
        <v>20</v>
      </c>
      <c r="D1990" s="19" t="s">
        <v>35</v>
      </c>
      <c r="E1990" s="19" t="s">
        <v>15</v>
      </c>
      <c r="F1990" s="19" t="s">
        <v>48</v>
      </c>
      <c r="G1990" s="19" t="s">
        <v>71</v>
      </c>
      <c r="H1990" s="19" t="s">
        <v>63</v>
      </c>
      <c r="I1990" s="19">
        <v>1</v>
      </c>
      <c r="J1990" s="21">
        <v>3040</v>
      </c>
      <c r="K1990" s="22">
        <v>0.1</v>
      </c>
      <c r="L1990" s="21">
        <v>2736</v>
      </c>
    </row>
    <row r="1991" spans="1:12">
      <c r="A1991" s="19" t="s">
        <v>2061</v>
      </c>
      <c r="B1991" s="20">
        <v>46087</v>
      </c>
      <c r="C1991" s="19" t="s">
        <v>20</v>
      </c>
      <c r="D1991" s="19" t="s">
        <v>41</v>
      </c>
      <c r="E1991" s="19" t="s">
        <v>22</v>
      </c>
      <c r="F1991" s="19" t="s">
        <v>16</v>
      </c>
      <c r="G1991" s="19" t="s">
        <v>17</v>
      </c>
      <c r="H1991" s="19" t="s">
        <v>25</v>
      </c>
      <c r="I1991" s="19">
        <v>1</v>
      </c>
      <c r="J1991" s="21">
        <v>15</v>
      </c>
      <c r="K1991" s="22">
        <v>0.1</v>
      </c>
      <c r="L1991" s="21">
        <v>13.5</v>
      </c>
    </row>
    <row r="1992" spans="1:12">
      <c r="A1992" s="19" t="s">
        <v>2062</v>
      </c>
      <c r="B1992" s="20">
        <v>46361</v>
      </c>
      <c r="C1992" s="19" t="s">
        <v>20</v>
      </c>
      <c r="D1992" s="19" t="s">
        <v>14</v>
      </c>
      <c r="E1992" s="19" t="s">
        <v>15</v>
      </c>
      <c r="F1992" s="19" t="s">
        <v>60</v>
      </c>
      <c r="G1992" s="19" t="s">
        <v>67</v>
      </c>
      <c r="H1992" s="19" t="s">
        <v>63</v>
      </c>
      <c r="I1992" s="19">
        <v>1</v>
      </c>
      <c r="J1992" s="21">
        <v>1590</v>
      </c>
      <c r="K1992" s="22">
        <v>0.03</v>
      </c>
      <c r="L1992" s="21">
        <v>1542.3</v>
      </c>
    </row>
    <row r="1993" spans="1:12">
      <c r="A1993" s="19" t="s">
        <v>2063</v>
      </c>
      <c r="B1993" s="20">
        <v>46059</v>
      </c>
      <c r="C1993" s="19" t="s">
        <v>31</v>
      </c>
      <c r="D1993" s="19" t="s">
        <v>14</v>
      </c>
      <c r="E1993" s="19" t="s">
        <v>22</v>
      </c>
      <c r="F1993" s="19" t="s">
        <v>60</v>
      </c>
      <c r="G1993" s="19" t="s">
        <v>91</v>
      </c>
      <c r="H1993" s="19" t="s">
        <v>39</v>
      </c>
      <c r="I1993" s="19">
        <v>1</v>
      </c>
      <c r="J1993" s="21">
        <v>580</v>
      </c>
      <c r="K1993" s="22">
        <v>0.05</v>
      </c>
      <c r="L1993" s="21">
        <v>551</v>
      </c>
    </row>
    <row r="1994" spans="1:12">
      <c r="A1994" s="19" t="s">
        <v>2064</v>
      </c>
      <c r="B1994" s="20">
        <v>46205</v>
      </c>
      <c r="C1994" s="19" t="s">
        <v>86</v>
      </c>
      <c r="D1994" s="19" t="s">
        <v>41</v>
      </c>
      <c r="E1994" s="19" t="s">
        <v>22</v>
      </c>
      <c r="F1994" s="19" t="s">
        <v>27</v>
      </c>
      <c r="G1994" s="19" t="s">
        <v>32</v>
      </c>
      <c r="H1994" s="19" t="s">
        <v>93</v>
      </c>
      <c r="I1994" s="19">
        <v>3</v>
      </c>
      <c r="J1994" s="21">
        <v>280</v>
      </c>
      <c r="K1994" s="22">
        <v>0.15</v>
      </c>
      <c r="L1994" s="21">
        <v>714</v>
      </c>
    </row>
    <row r="1995" spans="1:12">
      <c r="A1995" s="19" t="s">
        <v>2065</v>
      </c>
      <c r="B1995" s="20">
        <v>46028</v>
      </c>
      <c r="C1995" s="19" t="s">
        <v>13</v>
      </c>
      <c r="D1995" s="19" t="s">
        <v>41</v>
      </c>
      <c r="E1995" s="19" t="s">
        <v>22</v>
      </c>
      <c r="F1995" s="19" t="s">
        <v>73</v>
      </c>
      <c r="G1995" s="19" t="s">
        <v>127</v>
      </c>
      <c r="H1995" s="19" t="s">
        <v>18</v>
      </c>
      <c r="I1995" s="19">
        <v>8</v>
      </c>
      <c r="J1995" s="21">
        <v>24.25</v>
      </c>
      <c r="K1995" s="22">
        <v>0.15</v>
      </c>
      <c r="L1995" s="21">
        <v>164.9</v>
      </c>
    </row>
    <row r="1996" spans="1:12">
      <c r="A1996" s="19" t="s">
        <v>2066</v>
      </c>
      <c r="B1996" s="20">
        <v>46274</v>
      </c>
      <c r="C1996" s="19" t="s">
        <v>20</v>
      </c>
      <c r="D1996" s="19" t="s">
        <v>14</v>
      </c>
      <c r="E1996" s="19" t="s">
        <v>22</v>
      </c>
      <c r="F1996" s="19" t="s">
        <v>16</v>
      </c>
      <c r="G1996" s="19" t="s">
        <v>42</v>
      </c>
      <c r="H1996" s="19" t="s">
        <v>25</v>
      </c>
      <c r="I1996" s="19">
        <v>2</v>
      </c>
      <c r="J1996" s="21">
        <v>47.7</v>
      </c>
      <c r="K1996" s="22">
        <v>0.15</v>
      </c>
      <c r="L1996" s="21">
        <v>81.09</v>
      </c>
    </row>
    <row r="1997" spans="1:12">
      <c r="A1997" s="19" t="s">
        <v>2067</v>
      </c>
      <c r="B1997" s="20">
        <v>46382</v>
      </c>
      <c r="C1997" s="19" t="s">
        <v>47</v>
      </c>
      <c r="D1997" s="19" t="s">
        <v>21</v>
      </c>
      <c r="E1997" s="19" t="s">
        <v>15</v>
      </c>
      <c r="F1997" s="19" t="s">
        <v>73</v>
      </c>
      <c r="G1997" s="19" t="s">
        <v>127</v>
      </c>
      <c r="H1997" s="19" t="s">
        <v>83</v>
      </c>
      <c r="I1997" s="19">
        <v>4</v>
      </c>
      <c r="J1997" s="21">
        <v>25.5</v>
      </c>
      <c r="K1997" s="22">
        <v>0.2</v>
      </c>
      <c r="L1997" s="21">
        <v>81.600000000000009</v>
      </c>
    </row>
    <row r="1998" spans="1:12">
      <c r="A1998" s="19" t="s">
        <v>2068</v>
      </c>
      <c r="B1998" s="20">
        <v>46241</v>
      </c>
      <c r="C1998" s="19" t="s">
        <v>31</v>
      </c>
      <c r="D1998" s="19" t="s">
        <v>41</v>
      </c>
      <c r="E1998" s="19" t="s">
        <v>15</v>
      </c>
      <c r="F1998" s="19" t="s">
        <v>73</v>
      </c>
      <c r="G1998" s="19" t="s">
        <v>145</v>
      </c>
      <c r="H1998" s="19" t="s">
        <v>33</v>
      </c>
      <c r="I1998" s="19">
        <v>5</v>
      </c>
      <c r="J1998" s="21">
        <v>18</v>
      </c>
      <c r="K1998" s="22">
        <v>0.15</v>
      </c>
      <c r="L1998" s="21">
        <v>76.5</v>
      </c>
    </row>
    <row r="1999" spans="1:12">
      <c r="A1999" s="19" t="s">
        <v>2069</v>
      </c>
      <c r="B1999" s="20">
        <v>46090</v>
      </c>
      <c r="C1999" s="19" t="s">
        <v>47</v>
      </c>
      <c r="D1999" s="19" t="s">
        <v>21</v>
      </c>
      <c r="E1999" s="19" t="s">
        <v>15</v>
      </c>
      <c r="F1999" s="19" t="s">
        <v>60</v>
      </c>
      <c r="G1999" s="19" t="s">
        <v>61</v>
      </c>
      <c r="H1999" s="19" t="s">
        <v>83</v>
      </c>
      <c r="I1999" s="19">
        <v>2</v>
      </c>
      <c r="J1999" s="21">
        <v>807.5</v>
      </c>
      <c r="K1999" s="22">
        <v>0.08</v>
      </c>
      <c r="L1999" s="21">
        <v>1485.8</v>
      </c>
    </row>
    <row r="2000" spans="1:12">
      <c r="A2000" s="19" t="s">
        <v>2070</v>
      </c>
      <c r="B2000" s="20">
        <v>46118</v>
      </c>
      <c r="C2000" s="19" t="s">
        <v>47</v>
      </c>
      <c r="D2000" s="19" t="s">
        <v>21</v>
      </c>
      <c r="E2000" s="19" t="s">
        <v>22</v>
      </c>
      <c r="F2000" s="19" t="s">
        <v>27</v>
      </c>
      <c r="G2000" s="19" t="s">
        <v>28</v>
      </c>
      <c r="H2000" s="19" t="s">
        <v>55</v>
      </c>
      <c r="I2000" s="19">
        <v>4</v>
      </c>
      <c r="J2000" s="21">
        <v>19.399999999999999</v>
      </c>
      <c r="K2000" s="22">
        <v>0.03</v>
      </c>
      <c r="L2000" s="21">
        <v>75.271999999999991</v>
      </c>
    </row>
    <row r="2001" spans="1:12">
      <c r="A2001" s="19" t="s">
        <v>2071</v>
      </c>
      <c r="B2001" s="20">
        <v>46096</v>
      </c>
      <c r="C2001" s="19" t="s">
        <v>13</v>
      </c>
      <c r="D2001" s="19" t="s">
        <v>41</v>
      </c>
      <c r="E2001" s="19" t="s">
        <v>22</v>
      </c>
      <c r="F2001" s="19" t="s">
        <v>60</v>
      </c>
      <c r="G2001" s="19" t="s">
        <v>91</v>
      </c>
      <c r="H2001" s="19" t="s">
        <v>29</v>
      </c>
      <c r="I2001" s="19">
        <v>3</v>
      </c>
      <c r="J2001" s="21">
        <v>580</v>
      </c>
      <c r="K2001" s="22">
        <v>0</v>
      </c>
      <c r="L2001" s="21">
        <v>1740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E4277-E0DD-49DA-B6B2-0C68FBCBB6BE}">
  <dimension ref="A1:M41"/>
  <sheetViews>
    <sheetView topLeftCell="B1" zoomScale="60" zoomScaleNormal="60" workbookViewId="0">
      <selection activeCell="AA35" sqref="AA35"/>
    </sheetView>
  </sheetViews>
  <sheetFormatPr defaultRowHeight="16.5"/>
  <cols>
    <col min="1" max="1" width="23.875" customWidth="1"/>
    <col min="2" max="2" width="19.5" bestFit="1" customWidth="1"/>
    <col min="3" max="3" width="23.875" bestFit="1" customWidth="1"/>
    <col min="4" max="4" width="17" bestFit="1" customWidth="1"/>
    <col min="6" max="6" width="32.25" bestFit="1" customWidth="1"/>
    <col min="7" max="7" width="17" bestFit="1" customWidth="1"/>
    <col min="9" max="9" width="35.125" bestFit="1" customWidth="1"/>
    <col min="10" max="10" width="19.5" bestFit="1" customWidth="1"/>
    <col min="11" max="11" width="20.875" bestFit="1" customWidth="1"/>
    <col min="12" max="12" width="30.5" bestFit="1" customWidth="1"/>
    <col min="13" max="13" width="22.25" bestFit="1" customWidth="1"/>
  </cols>
  <sheetData>
    <row r="1" spans="1:13" ht="20.25">
      <c r="A1" s="5" t="s">
        <v>2072</v>
      </c>
      <c r="B1" s="5"/>
      <c r="C1" s="5"/>
      <c r="D1" s="5"/>
      <c r="E1" s="5"/>
      <c r="F1" s="5"/>
      <c r="G1" s="5"/>
      <c r="H1" s="5"/>
      <c r="I1" s="5"/>
      <c r="J1" s="5"/>
      <c r="K1" s="5"/>
      <c r="L1" s="5"/>
      <c r="M1" s="5"/>
    </row>
    <row r="2" spans="1:13" ht="20.25">
      <c r="A2" s="16">
        <v>2452084.3012999957</v>
      </c>
      <c r="B2" s="5"/>
      <c r="C2" s="7" t="s">
        <v>2094</v>
      </c>
      <c r="D2" s="5" t="s">
        <v>2072</v>
      </c>
      <c r="E2" s="5"/>
      <c r="F2" s="7" t="s">
        <v>2074</v>
      </c>
      <c r="G2" s="5" t="s">
        <v>2072</v>
      </c>
      <c r="H2" s="5"/>
      <c r="I2" s="7" t="s">
        <v>2075</v>
      </c>
      <c r="J2" s="5" t="s">
        <v>2072</v>
      </c>
      <c r="K2" s="5"/>
      <c r="L2" s="7" t="s">
        <v>2076</v>
      </c>
      <c r="M2" s="5" t="s">
        <v>2072</v>
      </c>
    </row>
    <row r="3" spans="1:13" ht="20.25">
      <c r="A3" s="5"/>
      <c r="B3" s="5"/>
      <c r="C3" s="14" t="s">
        <v>2082</v>
      </c>
      <c r="D3" s="16">
        <v>168680.62810000006</v>
      </c>
      <c r="E3" s="5"/>
      <c r="F3" s="14" t="s">
        <v>47</v>
      </c>
      <c r="G3" s="16">
        <v>556705.17709999974</v>
      </c>
      <c r="H3" s="5"/>
      <c r="I3" s="14" t="s">
        <v>48</v>
      </c>
      <c r="J3" s="16">
        <v>1346491.2599999995</v>
      </c>
      <c r="K3" s="5"/>
      <c r="L3" s="14" t="s">
        <v>35</v>
      </c>
      <c r="M3" s="16">
        <v>718745.00499999954</v>
      </c>
    </row>
    <row r="4" spans="1:13" ht="20.25">
      <c r="A4" s="5" t="s">
        <v>2073</v>
      </c>
      <c r="B4" s="5"/>
      <c r="C4" s="14" t="s">
        <v>2083</v>
      </c>
      <c r="D4" s="16">
        <v>173605.24770000001</v>
      </c>
      <c r="E4" s="5"/>
      <c r="F4" s="14" t="s">
        <v>20</v>
      </c>
      <c r="G4" s="16">
        <v>467808.84970000037</v>
      </c>
      <c r="H4" s="5"/>
      <c r="I4" s="14" t="s">
        <v>60</v>
      </c>
      <c r="J4" s="16">
        <v>526744.59000000008</v>
      </c>
      <c r="K4" s="5"/>
      <c r="L4" s="14" t="s">
        <v>41</v>
      </c>
      <c r="M4" s="16">
        <v>310402.93139999988</v>
      </c>
    </row>
    <row r="5" spans="1:13" ht="20.25">
      <c r="A5" s="17">
        <v>2000</v>
      </c>
      <c r="B5" s="5"/>
      <c r="C5" s="14" t="s">
        <v>2084</v>
      </c>
      <c r="D5" s="16">
        <v>236738.69749999995</v>
      </c>
      <c r="E5" s="5"/>
      <c r="F5" s="14" t="s">
        <v>31</v>
      </c>
      <c r="G5" s="16">
        <v>561753.72460000007</v>
      </c>
      <c r="H5" s="5"/>
      <c r="I5" s="14" t="s">
        <v>27</v>
      </c>
      <c r="J5" s="16">
        <v>259475.30900000001</v>
      </c>
      <c r="K5" s="5"/>
      <c r="L5" s="14" t="s">
        <v>14</v>
      </c>
      <c r="M5" s="16">
        <v>791536.99460000044</v>
      </c>
    </row>
    <row r="6" spans="1:13" ht="20.25">
      <c r="A6" s="5"/>
      <c r="B6" s="5"/>
      <c r="C6" s="14" t="s">
        <v>2085</v>
      </c>
      <c r="D6" s="16">
        <v>241034.34019999998</v>
      </c>
      <c r="E6" s="5"/>
      <c r="F6" s="14" t="s">
        <v>86</v>
      </c>
      <c r="G6" s="16">
        <v>444494.30199999973</v>
      </c>
      <c r="H6" s="5"/>
      <c r="I6" s="14" t="s">
        <v>23</v>
      </c>
      <c r="J6" s="16">
        <v>229837.62600000011</v>
      </c>
      <c r="K6" s="5"/>
      <c r="L6" s="14" t="s">
        <v>21</v>
      </c>
      <c r="M6" s="16">
        <v>631399.37030000018</v>
      </c>
    </row>
    <row r="7" spans="1:13" ht="20.25">
      <c r="A7" s="5" t="s">
        <v>2079</v>
      </c>
      <c r="B7" s="5"/>
      <c r="C7" s="14" t="s">
        <v>2086</v>
      </c>
      <c r="D7" s="16">
        <v>153642.42719999998</v>
      </c>
      <c r="E7" s="5"/>
      <c r="F7" s="14" t="s">
        <v>13</v>
      </c>
      <c r="G7" s="16">
        <v>421322.24789999996</v>
      </c>
      <c r="H7" s="5"/>
      <c r="I7" s="14" t="s">
        <v>16</v>
      </c>
      <c r="J7" s="16">
        <v>72895.258099999992</v>
      </c>
      <c r="K7" s="5"/>
      <c r="L7" s="8" t="s">
        <v>2081</v>
      </c>
      <c r="M7" s="6">
        <v>2452084.3012999999</v>
      </c>
    </row>
    <row r="8" spans="1:13" ht="20.25">
      <c r="A8" s="17">
        <v>5552</v>
      </c>
      <c r="B8" s="5"/>
      <c r="C8" s="14" t="s">
        <v>2087</v>
      </c>
      <c r="D8" s="16">
        <v>258658.95200000011</v>
      </c>
      <c r="E8" s="5"/>
      <c r="F8" s="8" t="s">
        <v>2081</v>
      </c>
      <c r="G8" s="6">
        <v>2452084.3012999999</v>
      </c>
      <c r="H8" s="5"/>
      <c r="I8" s="14" t="s">
        <v>73</v>
      </c>
      <c r="J8" s="16">
        <v>16640.258200000007</v>
      </c>
      <c r="K8" s="5"/>
      <c r="L8" s="5"/>
      <c r="M8" s="5"/>
    </row>
    <row r="9" spans="1:13" ht="20.25">
      <c r="A9" s="5"/>
      <c r="B9" s="5"/>
      <c r="C9" s="14" t="s">
        <v>2088</v>
      </c>
      <c r="D9" s="16">
        <v>150713.13980000003</v>
      </c>
      <c r="E9" s="5"/>
      <c r="F9" s="5"/>
      <c r="G9" s="5"/>
      <c r="H9" s="5"/>
      <c r="I9" s="8" t="s">
        <v>2081</v>
      </c>
      <c r="J9" s="6">
        <v>2452084.3012999999</v>
      </c>
      <c r="K9" s="5"/>
      <c r="L9" s="5"/>
      <c r="M9" s="5"/>
    </row>
    <row r="10" spans="1:13" ht="20.25">
      <c r="A10" s="5" t="s">
        <v>2080</v>
      </c>
      <c r="B10" s="5"/>
      <c r="C10" s="14" t="s">
        <v>2089</v>
      </c>
      <c r="D10" s="16">
        <v>185321.6210000001</v>
      </c>
      <c r="E10" s="5"/>
      <c r="F10" s="5"/>
      <c r="G10" s="5"/>
      <c r="H10" s="5"/>
      <c r="I10" s="5"/>
      <c r="J10" s="5"/>
      <c r="K10" s="5"/>
      <c r="L10" s="5"/>
      <c r="M10" s="5"/>
    </row>
    <row r="11" spans="1:13" ht="20.25">
      <c r="A11" s="18">
        <v>1226.0421506499979</v>
      </c>
      <c r="B11" s="5"/>
      <c r="C11" s="14" t="s">
        <v>2090</v>
      </c>
      <c r="D11" s="16">
        <v>233080.36130000014</v>
      </c>
      <c r="E11" s="5"/>
      <c r="F11" s="5"/>
      <c r="G11" s="5"/>
      <c r="H11" s="5"/>
      <c r="I11" s="5"/>
      <c r="J11" s="5"/>
      <c r="K11" s="5"/>
      <c r="L11" s="5"/>
      <c r="M11" s="5"/>
    </row>
    <row r="12" spans="1:13" ht="20.25">
      <c r="A12" s="5"/>
      <c r="B12" s="5"/>
      <c r="C12" s="14" t="s">
        <v>2091</v>
      </c>
      <c r="D12" s="16">
        <v>189721.56950000001</v>
      </c>
      <c r="E12" s="5"/>
      <c r="F12" s="5"/>
      <c r="G12" s="5"/>
      <c r="H12" s="5"/>
      <c r="I12" s="5"/>
      <c r="J12" s="5"/>
      <c r="K12" s="5"/>
      <c r="L12" s="5"/>
      <c r="M12" s="5"/>
    </row>
    <row r="13" spans="1:13" ht="20.25">
      <c r="A13" s="5"/>
      <c r="B13" s="5"/>
      <c r="C13" s="14" t="s">
        <v>2092</v>
      </c>
      <c r="D13" s="16">
        <v>274368.30580000003</v>
      </c>
      <c r="E13" s="5"/>
      <c r="F13" s="7" t="s">
        <v>2077</v>
      </c>
      <c r="G13" s="5" t="s">
        <v>2072</v>
      </c>
      <c r="H13" s="5"/>
      <c r="I13" s="5"/>
      <c r="J13" s="5"/>
      <c r="K13" s="5"/>
      <c r="L13" s="5"/>
      <c r="M13" s="5"/>
    </row>
    <row r="14" spans="1:13" ht="20.25">
      <c r="A14" s="5"/>
      <c r="B14" s="5"/>
      <c r="C14" s="14" t="s">
        <v>2093</v>
      </c>
      <c r="D14" s="16">
        <v>186519.01119999995</v>
      </c>
      <c r="E14" s="5"/>
      <c r="F14" s="14" t="s">
        <v>67</v>
      </c>
      <c r="G14" s="16">
        <v>190959.45000000004</v>
      </c>
      <c r="H14" s="5"/>
      <c r="I14" s="5"/>
      <c r="J14" s="5"/>
      <c r="K14" s="5"/>
      <c r="L14" s="5"/>
      <c r="M14" s="5"/>
    </row>
    <row r="15" spans="1:13" ht="20.25">
      <c r="A15" s="5"/>
      <c r="B15" s="5"/>
      <c r="C15" s="8" t="s">
        <v>2081</v>
      </c>
      <c r="D15" s="6">
        <v>2452084.3013000004</v>
      </c>
      <c r="E15" s="5"/>
      <c r="F15" s="14" t="s">
        <v>99</v>
      </c>
      <c r="G15" s="16">
        <v>254994.00000000003</v>
      </c>
      <c r="H15" s="5"/>
      <c r="I15" s="7" t="s">
        <v>2077</v>
      </c>
      <c r="J15" s="5" t="s">
        <v>2078</v>
      </c>
      <c r="K15" s="5" t="s">
        <v>2095</v>
      </c>
      <c r="L15" s="5"/>
      <c r="M15" s="5"/>
    </row>
    <row r="16" spans="1:13" ht="20.25">
      <c r="A16" s="5"/>
      <c r="B16" s="5"/>
      <c r="C16" s="5"/>
      <c r="D16" s="5"/>
      <c r="E16" s="5"/>
      <c r="F16" s="14" t="s">
        <v>71</v>
      </c>
      <c r="G16" s="16">
        <v>263486.39999999991</v>
      </c>
      <c r="H16" s="5"/>
      <c r="I16" s="14" t="s">
        <v>2082</v>
      </c>
      <c r="J16" s="15">
        <v>168680.62810000006</v>
      </c>
      <c r="K16" s="13"/>
      <c r="L16" s="5"/>
      <c r="M16" s="11" t="s">
        <v>2096</v>
      </c>
    </row>
    <row r="17" spans="1:13" ht="20.25">
      <c r="A17" s="5"/>
      <c r="B17" s="5"/>
      <c r="C17" s="5"/>
      <c r="D17" s="5"/>
      <c r="E17" s="5"/>
      <c r="F17" s="14" t="s">
        <v>96</v>
      </c>
      <c r="G17" s="16">
        <v>273532.5</v>
      </c>
      <c r="H17" s="5"/>
      <c r="I17" s="14" t="s">
        <v>2083</v>
      </c>
      <c r="J17" s="15">
        <v>173605.24770000001</v>
      </c>
      <c r="K17" s="13">
        <v>2.919493278789816E-2</v>
      </c>
      <c r="L17" s="5"/>
      <c r="M17" s="12">
        <f>(J27-J16)/J27</f>
        <v>9.5638417688544419E-2</v>
      </c>
    </row>
    <row r="18" spans="1:13" ht="20.25">
      <c r="A18" s="5"/>
      <c r="B18" s="5"/>
      <c r="C18" s="5"/>
      <c r="D18" s="5"/>
      <c r="E18" s="5"/>
      <c r="F18" s="14" t="s">
        <v>49</v>
      </c>
      <c r="G18" s="16">
        <v>432576.06000000017</v>
      </c>
      <c r="H18" s="5"/>
      <c r="I18" s="14" t="s">
        <v>2084</v>
      </c>
      <c r="J18" s="15">
        <v>236738.69749999995</v>
      </c>
      <c r="K18" s="13">
        <v>0.36366095285954853</v>
      </c>
      <c r="L18" s="5"/>
      <c r="M18" s="5"/>
    </row>
    <row r="19" spans="1:13" ht="20.25">
      <c r="A19" s="5"/>
      <c r="B19" s="5"/>
      <c r="C19" s="5"/>
      <c r="D19" s="5"/>
      <c r="E19" s="5"/>
      <c r="F19" s="8" t="s">
        <v>2081</v>
      </c>
      <c r="G19" s="6">
        <v>1415548.41</v>
      </c>
      <c r="H19" s="5"/>
      <c r="I19" s="14" t="s">
        <v>2085</v>
      </c>
      <c r="J19" s="15">
        <v>241034.34019999998</v>
      </c>
      <c r="K19" s="13">
        <v>1.8145080400300957E-2</v>
      </c>
      <c r="L19" s="5"/>
      <c r="M19" s="5"/>
    </row>
    <row r="20" spans="1:13" ht="20.25">
      <c r="A20" s="5"/>
      <c r="B20" s="5"/>
      <c r="C20" s="5"/>
      <c r="D20" s="5"/>
      <c r="E20" s="5"/>
      <c r="F20" s="5"/>
      <c r="G20" s="5"/>
      <c r="H20" s="5"/>
      <c r="I20" s="14" t="s">
        <v>2086</v>
      </c>
      <c r="J20" s="15">
        <v>153642.42719999998</v>
      </c>
      <c r="K20" s="13">
        <v>-0.36257038282381643</v>
      </c>
      <c r="L20" s="5"/>
      <c r="M20" s="5"/>
    </row>
    <row r="21" spans="1:13" ht="20.25">
      <c r="A21" s="5"/>
      <c r="B21" s="5"/>
      <c r="C21" s="5"/>
      <c r="D21" s="5"/>
      <c r="E21" s="5"/>
      <c r="F21" s="5"/>
      <c r="G21" s="5"/>
      <c r="H21" s="5"/>
      <c r="I21" s="14" t="s">
        <v>2087</v>
      </c>
      <c r="J21" s="15">
        <v>258658.95200000011</v>
      </c>
      <c r="K21" s="13">
        <v>0.68351253435548531</v>
      </c>
      <c r="L21" s="5"/>
      <c r="M21" s="5"/>
    </row>
    <row r="22" spans="1:13" ht="20.25">
      <c r="A22" s="5"/>
      <c r="B22" s="5"/>
      <c r="C22" s="5"/>
      <c r="D22" s="5"/>
      <c r="E22" s="5"/>
      <c r="F22" s="5"/>
      <c r="G22" s="5"/>
      <c r="H22" s="5"/>
      <c r="I22" s="14" t="s">
        <v>2088</v>
      </c>
      <c r="J22" s="15">
        <v>150713.13980000003</v>
      </c>
      <c r="K22" s="13">
        <v>-0.41732873100019374</v>
      </c>
      <c r="L22" s="5"/>
      <c r="M22" s="5"/>
    </row>
    <row r="23" spans="1:13" ht="20.25">
      <c r="A23" s="5"/>
      <c r="B23" s="5"/>
      <c r="C23" s="5"/>
      <c r="D23" s="5"/>
      <c r="E23" s="5"/>
      <c r="F23" s="5"/>
      <c r="G23" s="5"/>
      <c r="H23" s="5"/>
      <c r="I23" s="14" t="s">
        <v>2089</v>
      </c>
      <c r="J23" s="15">
        <v>185321.6210000001</v>
      </c>
      <c r="K23" s="13">
        <v>0.22963147901985426</v>
      </c>
      <c r="L23" s="5"/>
      <c r="M23" s="5"/>
    </row>
    <row r="24" spans="1:13" ht="20.25">
      <c r="A24" s="7" t="s">
        <v>2097</v>
      </c>
      <c r="B24" s="5" t="s">
        <v>2078</v>
      </c>
      <c r="C24" s="5"/>
      <c r="D24" s="5"/>
      <c r="E24" s="5"/>
      <c r="F24" s="5"/>
      <c r="G24" s="5"/>
      <c r="H24" s="5"/>
      <c r="I24" s="14" t="s">
        <v>2090</v>
      </c>
      <c r="J24" s="15">
        <v>233080.36130000014</v>
      </c>
      <c r="K24" s="13">
        <v>0.25770733086777831</v>
      </c>
      <c r="L24" s="5"/>
      <c r="M24" s="5"/>
    </row>
    <row r="25" spans="1:13" ht="20.25">
      <c r="A25" s="14" t="s">
        <v>79</v>
      </c>
      <c r="B25" s="16">
        <v>224065.7998000001</v>
      </c>
      <c r="C25" s="5"/>
      <c r="D25" s="5"/>
      <c r="E25" s="5"/>
      <c r="F25" s="5"/>
      <c r="G25" s="5"/>
      <c r="H25" s="5"/>
      <c r="I25" s="14" t="s">
        <v>2091</v>
      </c>
      <c r="J25" s="15">
        <v>189721.56950000001</v>
      </c>
      <c r="K25" s="13">
        <v>-0.1860250754639623</v>
      </c>
      <c r="L25" s="5"/>
      <c r="M25" s="5"/>
    </row>
    <row r="26" spans="1:13" ht="20.25">
      <c r="A26" s="14" t="s">
        <v>83</v>
      </c>
      <c r="B26" s="16">
        <v>203961.995</v>
      </c>
      <c r="C26" s="5"/>
      <c r="D26" s="5"/>
      <c r="E26" s="5"/>
      <c r="F26" s="5"/>
      <c r="G26" s="5"/>
      <c r="H26" s="5"/>
      <c r="I26" s="14" t="s">
        <v>2092</v>
      </c>
      <c r="J26" s="15">
        <v>274368.30580000003</v>
      </c>
      <c r="K26" s="13">
        <v>0.44616295618406221</v>
      </c>
      <c r="L26" s="5"/>
      <c r="M26" s="5"/>
    </row>
    <row r="27" spans="1:13" ht="20.25">
      <c r="A27" s="14" t="s">
        <v>63</v>
      </c>
      <c r="B27" s="16">
        <v>194689.21729999987</v>
      </c>
      <c r="C27" s="5"/>
      <c r="D27" s="5"/>
      <c r="E27" s="5"/>
      <c r="F27" s="5"/>
      <c r="G27" s="5"/>
      <c r="H27" s="5"/>
      <c r="I27" s="14" t="s">
        <v>2093</v>
      </c>
      <c r="J27" s="15">
        <v>186519.01119999995</v>
      </c>
      <c r="K27" s="13">
        <v>-0.3201874733448169</v>
      </c>
      <c r="L27" s="5"/>
      <c r="M27" s="5"/>
    </row>
    <row r="28" spans="1:13" ht="20.25">
      <c r="A28" s="14" t="s">
        <v>93</v>
      </c>
      <c r="B28" s="16">
        <v>189044.5417</v>
      </c>
      <c r="C28" s="5"/>
      <c r="D28" s="5"/>
      <c r="E28" s="5"/>
      <c r="F28" s="5"/>
      <c r="G28" s="5"/>
      <c r="H28" s="5"/>
      <c r="I28" s="8" t="s">
        <v>2081</v>
      </c>
      <c r="J28" s="9">
        <v>2452084.3013000004</v>
      </c>
      <c r="K28" s="10"/>
      <c r="L28" s="5"/>
      <c r="M28" s="5"/>
    </row>
    <row r="29" spans="1:13" ht="20.25">
      <c r="A29" s="14" t="s">
        <v>50</v>
      </c>
      <c r="B29" s="16">
        <v>182494.64730000022</v>
      </c>
      <c r="C29" s="5"/>
      <c r="D29" s="5"/>
      <c r="E29" s="5"/>
      <c r="F29" s="5"/>
      <c r="G29" s="5"/>
      <c r="H29" s="5"/>
      <c r="I29" s="5"/>
      <c r="J29" s="5"/>
      <c r="K29" s="5"/>
      <c r="L29" s="5"/>
      <c r="M29" s="5"/>
    </row>
    <row r="30" spans="1:13" ht="20.25">
      <c r="A30" s="14" t="s">
        <v>33</v>
      </c>
      <c r="B30" s="16">
        <v>177297.04360000006</v>
      </c>
      <c r="C30" s="5"/>
      <c r="D30" s="5"/>
      <c r="E30" s="5"/>
      <c r="F30" s="5"/>
      <c r="G30" s="5"/>
      <c r="H30" s="5"/>
      <c r="I30" s="5"/>
      <c r="J30" s="5"/>
      <c r="K30" s="5"/>
      <c r="L30" s="5"/>
      <c r="M30" s="5"/>
    </row>
    <row r="31" spans="1:13" ht="20.25">
      <c r="A31" s="14" t="s">
        <v>55</v>
      </c>
      <c r="B31" s="16">
        <v>170248.53479999999</v>
      </c>
      <c r="C31" s="5"/>
      <c r="D31" s="5"/>
      <c r="E31" s="5"/>
      <c r="F31" s="5"/>
      <c r="G31" s="5"/>
      <c r="H31" s="5"/>
      <c r="I31" s="5"/>
      <c r="J31" s="5"/>
      <c r="K31" s="5"/>
      <c r="L31" s="5"/>
      <c r="M31" s="5"/>
    </row>
    <row r="32" spans="1:13" ht="20.25">
      <c r="A32" s="14" t="s">
        <v>18</v>
      </c>
      <c r="B32" s="16">
        <v>168765.66740000006</v>
      </c>
      <c r="C32" s="5"/>
      <c r="D32" s="5"/>
      <c r="E32" s="5"/>
      <c r="F32" s="5"/>
      <c r="G32" s="5"/>
      <c r="H32" s="5"/>
      <c r="I32" s="5"/>
      <c r="J32" s="5"/>
      <c r="K32" s="5"/>
      <c r="L32" s="5"/>
      <c r="M32" s="5"/>
    </row>
    <row r="33" spans="1:13" ht="20.25">
      <c r="A33" s="14" t="s">
        <v>39</v>
      </c>
      <c r="B33" s="16">
        <v>160390.88120000003</v>
      </c>
      <c r="C33" s="5"/>
      <c r="D33" s="5"/>
      <c r="E33" s="5"/>
      <c r="F33" s="5"/>
      <c r="G33" s="5"/>
      <c r="H33" s="5"/>
      <c r="I33" s="5"/>
      <c r="J33" s="5"/>
      <c r="K33" s="5"/>
      <c r="L33" s="5"/>
      <c r="M33" s="5"/>
    </row>
    <row r="34" spans="1:13" ht="20.25">
      <c r="A34" s="14" t="s">
        <v>25</v>
      </c>
      <c r="B34" s="16">
        <v>144874.24880000006</v>
      </c>
      <c r="C34" s="5"/>
      <c r="D34" s="5"/>
      <c r="E34" s="5"/>
      <c r="F34" s="5"/>
      <c r="G34" s="5"/>
      <c r="H34" s="5"/>
      <c r="I34" s="5"/>
      <c r="J34" s="5"/>
      <c r="K34" s="5"/>
      <c r="L34" s="5"/>
      <c r="M34" s="5"/>
    </row>
    <row r="35" spans="1:13" ht="20.25">
      <c r="A35" s="14" t="s">
        <v>43</v>
      </c>
      <c r="B35" s="16">
        <v>134986.44549999991</v>
      </c>
      <c r="C35" s="5"/>
      <c r="D35" s="5"/>
      <c r="E35" s="5"/>
      <c r="F35" s="5"/>
      <c r="G35" s="5"/>
      <c r="H35" s="5"/>
      <c r="I35" s="5"/>
      <c r="J35" s="5"/>
      <c r="K35" s="5"/>
      <c r="L35" s="5"/>
      <c r="M35" s="5"/>
    </row>
    <row r="36" spans="1:13" ht="20.25">
      <c r="A36" s="14" t="s">
        <v>87</v>
      </c>
      <c r="B36" s="16">
        <v>128275.8952</v>
      </c>
      <c r="C36" s="5"/>
      <c r="D36" s="5"/>
      <c r="E36" s="5"/>
      <c r="F36" s="5"/>
      <c r="G36" s="5"/>
      <c r="H36" s="5"/>
      <c r="I36" s="5"/>
      <c r="J36" s="5"/>
      <c r="K36" s="5"/>
      <c r="L36" s="5"/>
      <c r="M36" s="5"/>
    </row>
    <row r="37" spans="1:13" ht="20.25">
      <c r="A37" s="14" t="s">
        <v>58</v>
      </c>
      <c r="B37" s="16">
        <v>128245.38359999996</v>
      </c>
      <c r="C37" s="5"/>
      <c r="D37" s="5"/>
      <c r="E37" s="5"/>
      <c r="F37" s="5"/>
      <c r="G37" s="5"/>
      <c r="H37" s="5"/>
      <c r="I37" s="5"/>
      <c r="J37" s="5"/>
      <c r="K37" s="5"/>
      <c r="L37" s="5"/>
      <c r="M37" s="5"/>
    </row>
    <row r="38" spans="1:13" ht="20.25">
      <c r="A38" s="14" t="s">
        <v>102</v>
      </c>
      <c r="B38" s="16">
        <v>127173.86510000004</v>
      </c>
      <c r="C38" s="5"/>
      <c r="D38" s="5"/>
      <c r="E38" s="5"/>
      <c r="F38" s="5"/>
      <c r="G38" s="5"/>
      <c r="H38" s="5"/>
      <c r="I38" s="5"/>
      <c r="J38" s="5"/>
      <c r="K38" s="5"/>
      <c r="L38" s="5"/>
      <c r="M38" s="5"/>
    </row>
    <row r="39" spans="1:13" ht="20.25">
      <c r="A39" s="14" t="s">
        <v>29</v>
      </c>
      <c r="B39" s="16">
        <v>117570.13499999999</v>
      </c>
      <c r="C39" s="5"/>
      <c r="D39" s="5"/>
      <c r="E39" s="5"/>
      <c r="F39" s="5"/>
      <c r="G39" s="5"/>
      <c r="H39" s="5"/>
      <c r="I39" s="5"/>
      <c r="J39" s="5"/>
      <c r="K39" s="5"/>
      <c r="L39" s="5"/>
      <c r="M39" s="5"/>
    </row>
    <row r="40" spans="1:13" ht="20.25">
      <c r="A40" s="8" t="s">
        <v>2081</v>
      </c>
      <c r="B40" s="6">
        <v>2452084.3013000004</v>
      </c>
      <c r="C40" s="5"/>
      <c r="D40" s="5"/>
      <c r="E40" s="5"/>
      <c r="F40" s="5"/>
      <c r="G40" s="5"/>
      <c r="H40" s="5"/>
      <c r="I40" s="5"/>
      <c r="J40" s="5"/>
      <c r="K40" s="5"/>
      <c r="L40" s="5"/>
      <c r="M40" s="5"/>
    </row>
    <row r="41" spans="1:13" ht="20.25">
      <c r="A41" s="5"/>
      <c r="B41" s="5"/>
      <c r="C41" s="5"/>
      <c r="D41" s="5"/>
      <c r="E41" s="5"/>
      <c r="F41" s="5"/>
      <c r="G41" s="5"/>
      <c r="H41" s="5"/>
      <c r="I41" s="5"/>
      <c r="J41" s="5"/>
      <c r="K41" s="5"/>
      <c r="L41" s="5"/>
      <c r="M41"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7C466-3D2E-4F80-B872-ADA63D7E9537}">
  <dimension ref="A1:AD55"/>
  <sheetViews>
    <sheetView showGridLines="0" tabSelected="1" zoomScale="61" zoomScaleNormal="61" workbookViewId="0">
      <selection activeCell="T51" sqref="T51"/>
      <extLst>
        <ext xmlns:xlsdti="http://schemas.microsoft.com/office/spreadsheetml/2023/showDataTypeIcons" uri="{77bfe23e-c014-4d31-8a63-9c772dbf06b6}">
          <xlsdti:showDataTypeIcons visible="0"/>
        </ext>
      </extLst>
    </sheetView>
  </sheetViews>
  <sheetFormatPr defaultRowHeight="16.5"/>
  <sheetData>
    <row r="1" spans="1:30">
      <c r="A1" s="4"/>
      <c r="B1" s="4"/>
      <c r="C1" s="4"/>
      <c r="D1" s="4"/>
      <c r="E1" s="4"/>
      <c r="F1" s="4"/>
      <c r="G1" s="4"/>
      <c r="H1" s="4"/>
      <c r="I1" s="4"/>
      <c r="J1" s="4"/>
      <c r="K1" s="4"/>
      <c r="L1" s="4"/>
      <c r="M1" s="4"/>
      <c r="N1" s="4"/>
      <c r="O1" s="4"/>
      <c r="P1" s="4"/>
      <c r="Q1" s="4"/>
      <c r="R1" s="4"/>
      <c r="S1" s="4"/>
      <c r="T1" s="4"/>
      <c r="U1" s="4"/>
      <c r="V1" s="4"/>
      <c r="W1" s="4"/>
      <c r="X1" s="4"/>
      <c r="Y1" s="4"/>
      <c r="Z1" s="4"/>
      <c r="AA1" s="4"/>
      <c r="AB1" s="4"/>
      <c r="AC1" s="4"/>
      <c r="AD1" s="4"/>
    </row>
    <row r="2" spans="1:30">
      <c r="A2" s="4"/>
      <c r="B2" s="4"/>
      <c r="C2" s="4"/>
      <c r="D2" s="4"/>
      <c r="E2" s="4"/>
      <c r="F2" s="4"/>
      <c r="G2" s="4"/>
      <c r="H2" s="4"/>
      <c r="I2" s="4"/>
      <c r="J2" s="4"/>
      <c r="K2" s="4"/>
      <c r="L2" s="4"/>
      <c r="M2" s="4"/>
      <c r="N2" s="4"/>
      <c r="O2" s="4"/>
      <c r="P2" s="4"/>
      <c r="Q2" s="4"/>
      <c r="R2" s="4"/>
      <c r="S2" s="4"/>
      <c r="T2" s="4"/>
      <c r="U2" s="4"/>
      <c r="V2" s="4"/>
      <c r="W2" s="4"/>
      <c r="X2" s="4"/>
      <c r="Y2" s="4"/>
      <c r="Z2" s="4"/>
      <c r="AA2" s="4"/>
      <c r="AB2" s="4"/>
      <c r="AC2" s="4"/>
      <c r="AD2" s="4"/>
    </row>
    <row r="3" spans="1:30">
      <c r="A3" s="4"/>
      <c r="B3" s="4"/>
      <c r="C3" s="4"/>
      <c r="D3" s="4"/>
      <c r="E3" s="4"/>
      <c r="F3" s="4"/>
      <c r="G3" s="4"/>
      <c r="H3" s="4"/>
      <c r="I3" s="4"/>
      <c r="J3" s="4"/>
      <c r="K3" s="4"/>
      <c r="L3" s="4"/>
      <c r="M3" s="4"/>
      <c r="N3" s="4"/>
      <c r="O3" s="4"/>
      <c r="P3" s="4"/>
      <c r="Q3" s="4"/>
      <c r="R3" s="4"/>
      <c r="S3" s="4"/>
      <c r="T3" s="4"/>
      <c r="U3" s="4"/>
      <c r="V3" s="4"/>
      <c r="W3" s="4"/>
      <c r="X3" s="4"/>
      <c r="Y3" s="4"/>
      <c r="Z3" s="4"/>
      <c r="AA3" s="4"/>
      <c r="AB3" s="4"/>
      <c r="AC3" s="4"/>
      <c r="AD3" s="4"/>
    </row>
    <row r="4" spans="1:30">
      <c r="A4" s="4"/>
      <c r="B4" s="4"/>
      <c r="C4" s="4"/>
      <c r="D4" s="4"/>
      <c r="E4" s="4"/>
      <c r="F4" s="4"/>
      <c r="G4" s="4"/>
      <c r="H4" s="4"/>
      <c r="I4" s="4"/>
      <c r="J4" s="4"/>
      <c r="K4" s="4"/>
      <c r="L4" s="4"/>
      <c r="M4" s="4"/>
      <c r="N4" s="4"/>
      <c r="O4" s="4"/>
      <c r="P4" s="4"/>
      <c r="Q4" s="4"/>
      <c r="R4" s="4"/>
      <c r="S4" s="4"/>
      <c r="T4" s="4"/>
      <c r="U4" s="4"/>
      <c r="V4" s="4"/>
      <c r="W4" s="4"/>
      <c r="X4" s="4"/>
      <c r="Y4" s="4"/>
      <c r="Z4" s="4"/>
      <c r="AA4" s="4"/>
      <c r="AB4" s="4"/>
      <c r="AC4" s="4"/>
      <c r="AD4" s="4"/>
    </row>
    <row r="5" spans="1:30">
      <c r="A5" s="4"/>
      <c r="B5" s="4"/>
      <c r="C5" s="4"/>
      <c r="D5" s="4"/>
      <c r="E5" s="4"/>
      <c r="F5" s="4"/>
      <c r="G5" s="4"/>
      <c r="H5" s="4"/>
      <c r="I5" s="4"/>
      <c r="J5" s="4"/>
      <c r="K5" s="4"/>
      <c r="L5" s="4"/>
      <c r="M5" s="4"/>
      <c r="N5" s="4"/>
      <c r="O5" s="4"/>
      <c r="P5" s="4"/>
      <c r="Q5" s="4"/>
      <c r="R5" s="4"/>
      <c r="S5" s="4"/>
      <c r="T5" s="4"/>
      <c r="U5" s="4"/>
      <c r="V5" s="4"/>
      <c r="W5" s="4"/>
      <c r="X5" s="4"/>
      <c r="Y5" s="4"/>
      <c r="Z5" s="4"/>
      <c r="AA5" s="4"/>
      <c r="AB5" s="4"/>
      <c r="AC5" s="4"/>
      <c r="AD5" s="4"/>
    </row>
    <row r="6" spans="1:30">
      <c r="A6" s="4"/>
      <c r="B6" s="4"/>
      <c r="C6" s="4"/>
      <c r="D6" s="4"/>
      <c r="E6" s="4"/>
      <c r="F6" s="4"/>
      <c r="G6" s="4"/>
      <c r="H6" s="4"/>
      <c r="I6" s="4"/>
      <c r="J6" s="4"/>
      <c r="K6" s="4"/>
      <c r="L6" s="4"/>
      <c r="M6" s="4"/>
      <c r="N6" s="4"/>
      <c r="O6" s="4"/>
      <c r="P6" s="4"/>
      <c r="Q6" s="4"/>
      <c r="R6" s="4"/>
      <c r="S6" s="4"/>
      <c r="T6" s="4"/>
      <c r="U6" s="4"/>
      <c r="V6" s="4"/>
      <c r="W6" s="4"/>
      <c r="X6" s="4"/>
      <c r="Y6" s="4"/>
      <c r="Z6" s="4"/>
      <c r="AA6" s="4"/>
      <c r="AB6" s="4"/>
      <c r="AC6" s="4"/>
      <c r="AD6" s="4"/>
    </row>
    <row r="7" spans="1:30">
      <c r="A7" s="4"/>
      <c r="B7" s="4"/>
      <c r="C7" s="4"/>
      <c r="D7" s="4"/>
      <c r="E7" s="4"/>
      <c r="F7" s="4"/>
      <c r="G7" s="4"/>
      <c r="H7" s="4"/>
      <c r="I7" s="4"/>
      <c r="J7" s="4"/>
      <c r="K7" s="4"/>
      <c r="L7" s="4"/>
      <c r="M7" s="4"/>
      <c r="N7" s="4"/>
      <c r="O7" s="4"/>
      <c r="P7" s="4"/>
      <c r="Q7" s="4"/>
      <c r="R7" s="4"/>
      <c r="S7" s="4"/>
      <c r="T7" s="4"/>
      <c r="U7" s="4"/>
      <c r="V7" s="4"/>
      <c r="W7" s="4"/>
      <c r="X7" s="4"/>
      <c r="Y7" s="4"/>
      <c r="Z7" s="4"/>
      <c r="AA7" s="4"/>
      <c r="AB7" s="4"/>
      <c r="AC7" s="4"/>
      <c r="AD7" s="4"/>
    </row>
    <row r="8" spans="1:30">
      <c r="A8" s="4"/>
      <c r="B8" s="4"/>
      <c r="C8" s="4"/>
      <c r="D8" s="4"/>
      <c r="E8" s="4"/>
      <c r="F8" s="4"/>
      <c r="G8" s="4"/>
      <c r="H8" s="4"/>
      <c r="I8" s="4"/>
      <c r="J8" s="4"/>
      <c r="K8" s="4"/>
      <c r="L8" s="4"/>
      <c r="M8" s="4"/>
      <c r="N8" s="4"/>
      <c r="O8" s="4"/>
      <c r="P8" s="4"/>
      <c r="Q8" s="4"/>
      <c r="R8" s="4"/>
      <c r="S8" s="4"/>
      <c r="T8" s="4"/>
      <c r="U8" s="4"/>
      <c r="V8" s="4"/>
      <c r="W8" s="4"/>
      <c r="X8" s="4"/>
      <c r="Y8" s="4"/>
      <c r="Z8" s="4"/>
      <c r="AA8" s="4"/>
      <c r="AB8" s="4"/>
      <c r="AC8" s="4"/>
      <c r="AD8" s="4"/>
    </row>
    <row r="9" spans="1:30">
      <c r="A9" s="4"/>
      <c r="B9" s="4"/>
      <c r="C9" s="4"/>
      <c r="D9" s="4"/>
      <c r="E9" s="4"/>
      <c r="F9" s="4"/>
      <c r="G9" s="4"/>
      <c r="H9" s="4"/>
      <c r="I9" s="4"/>
      <c r="J9" s="4"/>
      <c r="K9" s="4"/>
      <c r="L9" s="4"/>
      <c r="M9" s="4"/>
      <c r="N9" s="4"/>
      <c r="O9" s="4"/>
      <c r="P9" s="4"/>
      <c r="Q9" s="4"/>
      <c r="R9" s="4"/>
      <c r="S9" s="4"/>
      <c r="T9" s="4"/>
      <c r="U9" s="4"/>
      <c r="V9" s="4"/>
      <c r="W9" s="4"/>
      <c r="X9" s="4"/>
      <c r="Y9" s="4"/>
      <c r="Z9" s="4"/>
      <c r="AA9" s="4"/>
      <c r="AB9" s="4"/>
      <c r="AC9" s="4"/>
      <c r="AD9" s="4"/>
    </row>
    <row r="10" spans="1:30">
      <c r="A10" s="4"/>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row>
    <row r="11" spans="1:30">
      <c r="A11" s="4"/>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row>
    <row r="12" spans="1:30">
      <c r="A12" s="4"/>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row>
    <row r="13" spans="1:30">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row>
    <row r="14" spans="1:30">
      <c r="A14" s="4"/>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row>
    <row r="15" spans="1:30">
      <c r="A15" s="4"/>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row>
    <row r="16" spans="1:30">
      <c r="A16" s="4"/>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row>
    <row r="17" spans="1:30">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row>
    <row r="18" spans="1:30">
      <c r="A18" s="4"/>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row>
    <row r="19" spans="1:30">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row>
    <row r="20" spans="1:30">
      <c r="A20" s="4"/>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row>
    <row r="21" spans="1:30">
      <c r="A21" s="4"/>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row>
    <row r="22" spans="1:30">
      <c r="A22" s="4"/>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row>
    <row r="23" spans="1:30">
      <c r="A23" s="4"/>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row>
    <row r="24" spans="1:30">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row>
    <row r="25" spans="1:30">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row>
    <row r="26" spans="1:30">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row>
    <row r="27" spans="1:30">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row>
    <row r="28" spans="1:30">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row>
    <row r="29" spans="1:30">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row>
    <row r="30" spans="1:30">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row>
    <row r="31" spans="1:30">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row>
    <row r="32" spans="1:30">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row>
    <row r="33" spans="1:30">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row>
    <row r="34" spans="1:30">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row>
    <row r="35" spans="1:30">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row>
    <row r="36" spans="1:30">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row>
    <row r="37" spans="1:30">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row>
    <row r="38" spans="1:30">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row>
    <row r="39" spans="1:30">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row>
    <row r="40" spans="1:30">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row>
    <row r="41" spans="1:30">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row>
    <row r="42" spans="1:30">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row>
    <row r="43" spans="1:30">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row>
    <row r="44" spans="1:30">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row>
    <row r="45" spans="1:30">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row>
    <row r="46" spans="1:30">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row>
    <row r="47" spans="1:30">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row>
    <row r="48" spans="1:30">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row>
    <row r="49" spans="1:30">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row>
    <row r="50" spans="1:30">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row>
    <row r="51" spans="1:30">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row>
    <row r="52" spans="1:30">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row>
    <row r="53" spans="1:30">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row>
    <row r="54" spans="1:30">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row>
    <row r="55" spans="1:30">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Sales_Data</vt:lpstr>
      <vt:lpstr>PivotTable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WenXin Margerate Tan</dc:creator>
  <cp:lastModifiedBy>مصطفي محروس مغازي احمد عمر</cp:lastModifiedBy>
  <dcterms:created xsi:type="dcterms:W3CDTF">2015-06-05T18:17:20Z</dcterms:created>
  <dcterms:modified xsi:type="dcterms:W3CDTF">2026-08-26T13:21:13Z</dcterms:modified>
</cp:coreProperties>
</file>